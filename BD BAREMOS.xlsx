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CION" sheetId="1" r:id="rId5"/>
    <sheet state="visible" name="ALUMNOS" sheetId="2" r:id="rId6"/>
    <sheet state="visible" name="DATOS" sheetId="3" r:id="rId7"/>
    <sheet state="visible" name="BAREMOS" sheetId="4" r:id="rId8"/>
  </sheets>
  <definedNames>
    <definedName name="NombreIntervalo1">DATOS!$D$2:$D$5</definedName>
    <definedName name="CURSO">CONFIGURACION!$E$2:$E$17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tc={aef0bc5b-2391-4a83-a5ec-ad31edd38000}</author>
  </authors>
  <commentList>
    <comment authorId="0" xr:uid="{aef0bc5b-2391-4a83-a5ec-ad31edd38000}" ref="A1">
      <text>
        <t xml:space="preserve">[Threaded comment]
 Your version of Excel allows you to read this threaded comment; however, any edits to it will get removed if the file is opened in a newer version of Excel. Learn more: https://go.microsoft.com/fwlink/?linkid=870924
Comment:
	Número de registros 1 POR CADA TRIMESTRE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tc={bb87186b-753e-42cf-9453-277c7ad3af41}</author>
  </authors>
  <commentList>
    <comment authorId="0" xr:uid="{bb87186b-753e-42cf-9453-277c7ad3af41}" ref="K1">
      <text>
        <t xml:space="preserve">[Threaded comment]
 Your version of Excel allows you to read this threaded comment; however, any edits to it will get removed if the file is opened in a newer version of Excel. Learn more: https://go.microsoft.com/fwlink/?linkid=870924
Comment:
	Usa rangos.
Controla valores fuera de escala.
Funciona para todas las pruebas.
</t>
      </text>
    </comment>
  </commentList>
</comments>
</file>

<file path=xl/sharedStrings.xml><?xml version="1.0" encoding="utf-8"?>
<sst xmlns="http://schemas.openxmlformats.org/spreadsheetml/2006/main" count="801" uniqueCount="217">
  <si>
    <t>ANIO_ACADEMICO</t>
  </si>
  <si>
    <t>CICLO</t>
  </si>
  <si>
    <t>GRADO</t>
  </si>
  <si>
    <t>CURSO</t>
  </si>
  <si>
    <t>GENERO</t>
  </si>
  <si>
    <t>PERIODO</t>
  </si>
  <si>
    <t>PRUEBA</t>
  </si>
  <si>
    <t>HABILITAR</t>
  </si>
  <si>
    <t>NOMBRE_PRUEBA</t>
  </si>
  <si>
    <t>UNIDAD</t>
  </si>
  <si>
    <t>TIPO</t>
  </si>
  <si>
    <t>OBJETIVO</t>
  </si>
  <si>
    <t>MEDIO</t>
  </si>
  <si>
    <t>MATERIAL</t>
  </si>
  <si>
    <t>DESCRIPCION</t>
  </si>
  <si>
    <t>VALORACION</t>
  </si>
  <si>
    <t>2024-2025</t>
  </si>
  <si>
    <t>ESO</t>
  </si>
  <si>
    <t>A</t>
  </si>
  <si>
    <t>MASCULINO</t>
  </si>
  <si>
    <t>1 TRIMESTRE</t>
  </si>
  <si>
    <t>S. HORIZONTAL</t>
  </si>
  <si>
    <t>SI</t>
  </si>
  <si>
    <t>Test de Salto Horizontal</t>
  </si>
  <si>
    <t>cm</t>
  </si>
  <si>
    <t>Fuerza</t>
  </si>
  <si>
    <t>Determinar la potencia de las piernas.</t>
  </si>
  <si>
    <t>Superficie plana y antideslizante, con una línea dibujada en el suelo.</t>
  </si>
  <si>
    <t>Posición inicial: El ejecutante ha de situarse derecho con los pies ligeramente separados y la punta de los pies detrás de la línea de salida.
Desarrollo: Ha de tomar impulso para saltar, flexionando las piernas y empujando con los brazos desde detrás hacia adelante. Se salta haciendo una rápida extensión de las piernas y estirando los brazos hacia adelante.
Finalización: En el momento de la caída, el ejecutante ha de mantener los pies en el mismo sitio donde ha tomado contacto con el suelo sin perder el equilibrio.</t>
  </si>
  <si>
    <t>Se registrará la distancia en centímetros. Hay que anotar el mejor de los dos resultados.</t>
  </si>
  <si>
    <t>B</t>
  </si>
  <si>
    <t>FEMENINO</t>
  </si>
  <si>
    <t>2 TRIMESTRE</t>
  </si>
  <si>
    <t>L. BALON</t>
  </si>
  <si>
    <t>Test de Balón medicinal</t>
  </si>
  <si>
    <t>m</t>
  </si>
  <si>
    <t>Medir la fuerza del tren superior.</t>
  </si>
  <si>
    <t>Superficie plana y antideslizante.</t>
  </si>
  <si>
    <t>Balón medicinal.</t>
  </si>
  <si>
    <t>Posición inicial: El ejecutante se colocará en la línea con los pies separados a la anchura de los hombros, cogiendo el balón con las dos manos por detrás de la cabeza.
Desarrollo: Lanzar el balón lo más lejos posible. No se podrá saltar en el momento del lanzamiento. De igual modo, se tendrá que mantener la posición de equilibrio. Se ejecutarán dos intentos.</t>
  </si>
  <si>
    <t>3 TRIMESTRE</t>
  </si>
  <si>
    <t>ABDOMINALES</t>
  </si>
  <si>
    <t xml:space="preserve">Test de Abdominales </t>
  </si>
  <si>
    <t>repeticiones</t>
  </si>
  <si>
    <t>Medir la fuerza-resistencia de los músculos abdominales.</t>
  </si>
  <si>
    <t>Superficie plana y lisa.</t>
  </si>
  <si>
    <t>Cronómetro con precisión de centésimas de segundo.</t>
  </si>
  <si>
    <t>Posición Inicial: El ejecutante ha de colocarse en decúbito supino con las piernas flexionadas 90o, los pies ligeramente separados y los dedos entrelazados detrás de la nuca o brazos cruzados sobre el pecho. Un ayudante ha de sujetarle los pies para fijarlos al suelo.
Desarrollo: Al oír la señal del observador "preparado...ya!", el ejecutante ha de tratar de hacer el mayor número de repeticiones posibles, tocando siempre con los codos las rodillas y con la espalda en la colchoneta. El ayudante contará el número de repeticiones. Finalización: Cuando hayan pasado 30” se indicará el final.</t>
  </si>
  <si>
    <t>Se registra el número de repeticiones realizadas correctamente.
Solo habrá un intento.</t>
  </si>
  <si>
    <t>FLEXIBILIDAD</t>
  </si>
  <si>
    <t>Test de Flexión anterior del tronco</t>
  </si>
  <si>
    <t>Flexibilidad</t>
  </si>
  <si>
    <t>Medir la flexibilidad del tronco.</t>
  </si>
  <si>
    <t>Superficie antideslizante.</t>
  </si>
  <si>
    <t>Posición Inicial: El ejecutante descalzo, se ha de sentar enfrente del cajón con las piernas completamente extendidas y las plantas de los pies en completo contacto con la pared del cajón.
Desarrollo: Flexionar el tronco hacia adelante sin doblar las piernas, y extender los brazos y las palmas de la mano sobre la
regla, ha de tratar de llegar lo más lejos posible.
Finalización: El ejecutante, en el momento en que llega a la posición máxima, ha de permanecer inmóvil durante 2 segundos
para que se pueda registrar el resultado conseguido.</t>
  </si>
  <si>
    <t>El registro se hará en centímetros. Se anota el mejor de los 2 resultados.</t>
  </si>
  <si>
    <t>S. VERTICAL</t>
  </si>
  <si>
    <t>Test de Salto Vertical</t>
  </si>
  <si>
    <t>Medir la fuerza explosiva del tren inferior en el sentido
vertical.</t>
  </si>
  <si>
    <t>Tabla graduada o escala pintada sobre la pared.</t>
  </si>
  <si>
    <t>Posición Inicial: El ejecutante se colocará junto a una pared,
lateralmente, y con el brazo más próximo a ella señalará su punto
más alto.
Desarrollo: A la señal y previa separación de la pared, ha de
tomar impulso para saltar, flexionando las piernas, hasta alcanzar el
máximo posible dejando marca con los dedos en la tabla.</t>
  </si>
  <si>
    <t>Se registrará la diferencia entre el máximo estático y
el de la marca del salto en centímetros.
Hay que anotar el mejor de los dos resultados.</t>
  </si>
  <si>
    <t>COOPER</t>
  </si>
  <si>
    <t>Test de Cooper</t>
  </si>
  <si>
    <t>Resistencia</t>
  </si>
  <si>
    <t>Valorar la resistencia aeróbica. Determinar el VO2 máximo.</t>
  </si>
  <si>
    <t>Pista o terreno liso y sin pendiente.</t>
  </si>
  <si>
    <t>Cronómetro</t>
  </si>
  <si>
    <t>Consiste en cubrir la máxima distancia posible
durante 12 minutos de carrera continua.</t>
  </si>
  <si>
    <t>Se anotará la distancia recorrida al finalizar los doce minutos.</t>
  </si>
  <si>
    <t>VELOCIDAD</t>
  </si>
  <si>
    <t>Test de Velocidad en 50m</t>
  </si>
  <si>
    <t>seg</t>
  </si>
  <si>
    <t>Velocidad</t>
  </si>
  <si>
    <t>Medir la velocidad de traslación partiendo de una velocidad inicial igual a 0.</t>
  </si>
  <si>
    <t>Recorrer la distancia de 50 metros en el menor tiempo posible. Se realizarán dos intentos con un periodo de reposo entre cada uno.</t>
  </si>
  <si>
    <t>El registro se hará en centésimas de segundo. Se anota el mejor de los dos resultados.</t>
  </si>
  <si>
    <t>INTESIDAD FISICA</t>
  </si>
  <si>
    <t>NO</t>
  </si>
  <si>
    <t>Test de intensidad de esfuerzos físicos</t>
  </si>
  <si>
    <t>fc</t>
  </si>
  <si>
    <t>Medición</t>
  </si>
  <si>
    <t>Calcular la zona de actividad a partir de la frecuencia cardiaca y ejercicio físico</t>
  </si>
  <si>
    <t>Cualquier medio</t>
  </si>
  <si>
    <t>Conocer la intensidad de nuestros esfuerzos y nos va a ayudar a situarnos en la
ZONA DE ACTIVIDAD apropiada según el objetivo que pretendamos.</t>
  </si>
  <si>
    <t>Toma el pulso nada más parar la actividad física, durante 15” y multiplica tu resultado por 4 para saber los latidos por minuto.</t>
  </si>
  <si>
    <t>A1</t>
  </si>
  <si>
    <t>A2-C</t>
  </si>
  <si>
    <t>BCH</t>
  </si>
  <si>
    <t>B1</t>
  </si>
  <si>
    <t>B2</t>
  </si>
  <si>
    <t>C</t>
  </si>
  <si>
    <t>NOMBRE_ALUMNO</t>
  </si>
  <si>
    <t>Peso (kg)</t>
  </si>
  <si>
    <t>Talla (cm)</t>
  </si>
  <si>
    <t>Manolo Díaz Camacho</t>
  </si>
  <si>
    <t>Juan Carlos Huizar Moreno</t>
  </si>
  <si>
    <t>Gerardo Huizar Castro</t>
  </si>
  <si>
    <t>Alumno de prueba</t>
  </si>
  <si>
    <t>Alumno de prueba 2</t>
  </si>
  <si>
    <t>Alumna de prueba 3</t>
  </si>
  <si>
    <t>MEDICION</t>
  </si>
  <si>
    <t>NOMBRE_CORTO</t>
  </si>
  <si>
    <t>POSICION_TABLA_BAREMO</t>
  </si>
  <si>
    <t>BAREMO</t>
  </si>
  <si>
    <t xml:space="preserve">PRUEBA </t>
  </si>
  <si>
    <t>PUNTUACION</t>
  </si>
  <si>
    <t>metros</t>
  </si>
  <si>
    <t>centímetros</t>
  </si>
  <si>
    <t>34.5</t>
  </si>
  <si>
    <t>37.5</t>
  </si>
  <si>
    <t>35.5</t>
  </si>
  <si>
    <t>53.5</t>
  </si>
  <si>
    <t>58.5</t>
  </si>
  <si>
    <t>172.5</t>
  </si>
  <si>
    <t>192.5</t>
  </si>
  <si>
    <t>212.5</t>
  </si>
  <si>
    <t>4.75</t>
  </si>
  <si>
    <t>5.65</t>
  </si>
  <si>
    <t>6.25</t>
  </si>
  <si>
    <t>6.75</t>
  </si>
  <si>
    <t>7.85</t>
  </si>
  <si>
    <t>8.55</t>
  </si>
  <si>
    <t>segundos</t>
  </si>
  <si>
    <t>9.65</t>
  </si>
  <si>
    <t>8.27</t>
  </si>
  <si>
    <t>8.25</t>
  </si>
  <si>
    <t>8.15</t>
  </si>
  <si>
    <t>7.75</t>
  </si>
  <si>
    <t>1.33</t>
  </si>
  <si>
    <t>1.36</t>
  </si>
  <si>
    <t>1.39</t>
  </si>
  <si>
    <t>1.42</t>
  </si>
  <si>
    <t>1.45</t>
  </si>
  <si>
    <t>1.48</t>
  </si>
  <si>
    <t>1.51</t>
  </si>
  <si>
    <t>1.54</t>
  </si>
  <si>
    <t>1.57</t>
  </si>
  <si>
    <t>1.63</t>
  </si>
  <si>
    <t>1.66</t>
  </si>
  <si>
    <t>1.69</t>
  </si>
  <si>
    <t>1.72</t>
  </si>
  <si>
    <t>1.75</t>
  </si>
  <si>
    <t>1.78</t>
  </si>
  <si>
    <t>1.81</t>
  </si>
  <si>
    <t>1.84</t>
  </si>
  <si>
    <t>3.23</t>
  </si>
  <si>
    <t>3.47</t>
  </si>
  <si>
    <t>3.71</t>
  </si>
  <si>
    <t>3.95</t>
  </si>
  <si>
    <t>4.18</t>
  </si>
  <si>
    <t>4.42</t>
  </si>
  <si>
    <t>4.66</t>
  </si>
  <si>
    <t>5.13</t>
  </si>
  <si>
    <t>5.37</t>
  </si>
  <si>
    <t>5.61</t>
  </si>
  <si>
    <t>5.85</t>
  </si>
  <si>
    <t>6.32</t>
  </si>
  <si>
    <t>6.56</t>
  </si>
  <si>
    <t>7.27</t>
  </si>
  <si>
    <t>7.51</t>
  </si>
  <si>
    <t>1.24</t>
  </si>
  <si>
    <t>1.28</t>
  </si>
  <si>
    <t>1.32</t>
  </si>
  <si>
    <t>1.44</t>
  </si>
  <si>
    <t>1.52</t>
  </si>
  <si>
    <t>1.56</t>
  </si>
  <si>
    <t>1.64</t>
  </si>
  <si>
    <t>1.68</t>
  </si>
  <si>
    <t>1.76</t>
  </si>
  <si>
    <t>1.88</t>
  </si>
  <si>
    <t>1.92</t>
  </si>
  <si>
    <t>3.25</t>
  </si>
  <si>
    <t>3.38</t>
  </si>
  <si>
    <t>3.51</t>
  </si>
  <si>
    <t>3.63</t>
  </si>
  <si>
    <t>3.76</t>
  </si>
  <si>
    <t>4.15</t>
  </si>
  <si>
    <t>4.27</t>
  </si>
  <si>
    <t>4.53</t>
  </si>
  <si>
    <t>4.65</t>
  </si>
  <si>
    <t>4.78</t>
  </si>
  <si>
    <t>4.91</t>
  </si>
  <si>
    <t>5.16</t>
  </si>
  <si>
    <t>1.87</t>
  </si>
  <si>
    <t>1.93</t>
  </si>
  <si>
    <t>1.96</t>
  </si>
  <si>
    <t>1.98</t>
  </si>
  <si>
    <t>2.16</t>
  </si>
  <si>
    <t>2.21</t>
  </si>
  <si>
    <t>2.27</t>
  </si>
  <si>
    <t>2.33</t>
  </si>
  <si>
    <t>3.65</t>
  </si>
  <si>
    <t>5.15</t>
  </si>
  <si>
    <t>6.15</t>
  </si>
  <si>
    <t>6.65</t>
  </si>
  <si>
    <t>7.15</t>
  </si>
  <si>
    <t>1.26</t>
  </si>
  <si>
    <t>1.29</t>
  </si>
  <si>
    <t>1.35</t>
  </si>
  <si>
    <t>1.38</t>
  </si>
  <si>
    <t>1.41</t>
  </si>
  <si>
    <t>1.47</t>
  </si>
  <si>
    <t>1.53</t>
  </si>
  <si>
    <t>1.65</t>
  </si>
  <si>
    <t>2.49</t>
  </si>
  <si>
    <t>2.67</t>
  </si>
  <si>
    <t>2.86</t>
  </si>
  <si>
    <t>3.42</t>
  </si>
  <si>
    <t>3.61</t>
  </si>
  <si>
    <t>3.98</t>
  </si>
  <si>
    <t>4.28</t>
  </si>
  <si>
    <t>4.59</t>
  </si>
  <si>
    <t>4.89</t>
  </si>
  <si>
    <t>5.19</t>
  </si>
  <si>
    <t>5.44</t>
  </si>
  <si>
    <t>5.79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</si>
</sst>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9">
    <font>
      <sz val="10.0"/>
      <color rgb="FF000000"/>
      <name val="Arial"/>
      <scheme val="minor"/>
    </font>
    <font>
      <b/>
      <sz val="11.0"/>
      <color rgb="FFFFFFFF"/>
      <name val="Calibri"/>
    </font>
    <font>
      <sz val="11.0"/>
      <color theme="1"/>
      <name val="Calibri"/>
    </font>
    <font>
      <b/>
      <sz val="12.0"/>
      <color rgb="FFFFFFFF"/>
      <name val="Calibri"/>
    </font>
    <font>
      <sz val="10.0"/>
      <color theme="1"/>
      <name val="Calibri"/>
    </font>
    <font>
      <sz val="10.0"/>
      <color rgb="FF000000"/>
      <name val="Calibri"/>
    </font>
    <font>
      <b/>
      <sz val="10.0"/>
      <color rgb="FFFFFFFF"/>
      <name val="Calibri"/>
    </font>
    <font>
      <sz val="10.0"/>
      <color rgb="FF222222"/>
      <name val="Calibri"/>
    </font>
    <font>
      <b/>
      <sz val="10.0"/>
      <color theme="1"/>
      <name val="Calibri"/>
    </font>
  </fonts>
  <fills count="5">
    <fill>
      <patternFill patternType="none"/>
    </fill>
    <fill>
      <patternFill patternType="lightGray"/>
    </fill>
    <fill>
      <patternFill patternType="solid">
        <fgColor rgb="FF8F1737"/>
        <bgColor rgb="FF8F1737"/>
      </patternFill>
    </fill>
    <fill>
      <patternFill patternType="solid">
        <fgColor rgb="FFFFFFFF"/>
        <bgColor rgb="FFFFFFFF"/>
      </patternFill>
    </fill>
    <fill>
      <patternFill patternType="solid">
        <fgColor rgb="FFD9D9D9"/>
        <bgColor rgb="FFD9D9D9"/>
      </patternFill>
    </fill>
  </fills>
  <borders count="3">
    <border/>
    <border>
      <left style="thin">
        <color rgb="FFCCCCCC"/>
      </left>
      <right style="thin">
        <color rgb="FFCCCCCC"/>
      </right>
      <top style="thin">
        <color rgb="FFCCCCCC"/>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1" fillId="2" fontId="1" numFmtId="0" xfId="0" applyAlignment="1" applyBorder="1" applyFont="1">
      <alignment horizontal="center" shrinkToFit="0" vertical="center" wrapText="1"/>
    </xf>
    <xf borderId="1" fillId="2" fontId="3" numFmtId="0" xfId="0" applyAlignment="1" applyBorder="1" applyFont="1">
      <alignment horizontal="center" readingOrder="0"/>
    </xf>
    <xf borderId="1" fillId="2" fontId="1" numFmtId="0" xfId="0" applyAlignment="1" applyBorder="1" applyFont="1">
      <alignment horizontal="center" readingOrder="0"/>
    </xf>
    <xf borderId="2" fillId="3" fontId="4" numFmtId="0" xfId="0" applyAlignment="1" applyBorder="1" applyFill="1" applyFont="1">
      <alignment horizontal="center" readingOrder="0" shrinkToFit="0" vertical="center" wrapText="1"/>
    </xf>
    <xf borderId="0" fillId="0" fontId="4" numFmtId="0" xfId="0" applyAlignment="1" applyFont="1">
      <alignment shrinkToFit="0" vertical="center" wrapText="1"/>
    </xf>
    <xf borderId="2" fillId="3" fontId="4" numFmtId="0" xfId="0" applyAlignment="1" applyBorder="1" applyFont="1">
      <alignment readingOrder="0" shrinkToFit="0" vertical="center" wrapText="1"/>
    </xf>
    <xf borderId="2" fillId="0" fontId="5" numFmtId="0" xfId="0" applyAlignment="1" applyBorder="1" applyFont="1">
      <alignment horizontal="left" readingOrder="0" shrinkToFit="0" vertical="bottom" wrapText="0"/>
    </xf>
    <xf borderId="2" fillId="0" fontId="5" numFmtId="0" xfId="0" applyAlignment="1" applyBorder="1" applyFont="1">
      <alignment horizontal="center" readingOrder="0" shrinkToFit="0" vertical="bottom" wrapText="0"/>
    </xf>
    <xf borderId="2" fillId="0" fontId="4"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0" fillId="3" fontId="4" numFmtId="0" xfId="0" applyAlignment="1" applyFont="1">
      <alignment horizontal="center" readingOrder="0" shrinkToFit="0" vertical="center" wrapText="1"/>
    </xf>
    <xf borderId="2" fillId="0" fontId="4" numFmtId="0" xfId="0" applyAlignment="1" applyBorder="1" applyFont="1">
      <alignment shrinkToFit="0" vertical="center" wrapText="1"/>
    </xf>
    <xf borderId="0" fillId="0" fontId="4" numFmtId="0" xfId="0" applyAlignment="1" applyFont="1">
      <alignment horizontal="center" shrinkToFit="0" vertical="center" wrapText="1"/>
    </xf>
    <xf borderId="0" fillId="0" fontId="4" numFmtId="0" xfId="0" applyFont="1"/>
    <xf borderId="0" fillId="0" fontId="4" numFmtId="0" xfId="0" applyAlignment="1" applyFont="1">
      <alignment horizontal="center"/>
    </xf>
    <xf borderId="1" fillId="2" fontId="3" numFmtId="0" xfId="0" applyAlignment="1" applyBorder="1" applyFont="1">
      <alignment horizontal="center"/>
    </xf>
    <xf borderId="1" fillId="2" fontId="6" numFmtId="0" xfId="0" applyAlignment="1" applyBorder="1" applyFont="1">
      <alignment horizontal="center" readingOrder="0"/>
    </xf>
    <xf borderId="2" fillId="4" fontId="4" numFmtId="0" xfId="0" applyAlignment="1" applyBorder="1" applyFill="1" applyFont="1">
      <alignment horizontal="center" readingOrder="0" shrinkToFit="0" vertical="center" wrapText="1"/>
    </xf>
    <xf borderId="2" fillId="3" fontId="7" numFmtId="0" xfId="0" applyAlignment="1" applyBorder="1" applyFont="1">
      <alignment readingOrder="0"/>
    </xf>
    <xf borderId="2" fillId="3" fontId="7" numFmtId="2" xfId="0" applyAlignment="1" applyBorder="1" applyFont="1" applyNumberFormat="1">
      <alignment readingOrder="0"/>
    </xf>
    <xf borderId="0" fillId="4" fontId="4" numFmtId="0" xfId="0" applyAlignment="1" applyFont="1">
      <alignment horizontal="center" readingOrder="0" shrinkToFit="0" vertical="center" wrapText="1"/>
    </xf>
    <xf borderId="0" fillId="3" fontId="7" numFmtId="0" xfId="0" applyAlignment="1" applyFont="1">
      <alignment readingOrder="0"/>
    </xf>
    <xf borderId="0" fillId="3" fontId="7" numFmtId="2" xfId="0" applyAlignment="1" applyFont="1" applyNumberFormat="1">
      <alignment readingOrder="0"/>
    </xf>
    <xf borderId="0" fillId="4" fontId="7" numFmtId="0" xfId="0" applyAlignment="1" applyFont="1">
      <alignment readingOrder="0"/>
    </xf>
    <xf borderId="0" fillId="0" fontId="5" numFmtId="0" xfId="0" applyAlignment="1" applyFont="1">
      <alignment horizontal="left" readingOrder="0" shrinkToFit="0" vertical="bottom" wrapText="0"/>
    </xf>
    <xf borderId="0" fillId="0" fontId="4" numFmtId="0" xfId="0" applyAlignment="1" applyFont="1">
      <alignment readingOrder="0"/>
    </xf>
    <xf borderId="0" fillId="4" fontId="4" numFmtId="0" xfId="0" applyFont="1"/>
    <xf borderId="0" fillId="4" fontId="8" numFmtId="0" xfId="0" applyFont="1"/>
    <xf borderId="1" fillId="2" fontId="3" numFmtId="0" xfId="0" applyAlignment="1" applyBorder="1" applyFont="1">
      <alignment horizontal="left" readingOrder="0"/>
    </xf>
    <xf borderId="1" fillId="2" fontId="3" numFmtId="0" xfId="0" applyAlignment="1" applyBorder="1" applyFont="1">
      <alignment horizontal="right" readingOrder="0"/>
    </xf>
    <xf borderId="1" fillId="2" fontId="3" numFmtId="164" xfId="0" applyAlignment="1" applyBorder="1" applyFont="1" applyNumberFormat="1">
      <alignment horizontal="right" readingOrder="0"/>
    </xf>
    <xf borderId="2" fillId="0" fontId="5" numFmtId="0" xfId="0" applyAlignment="1" applyBorder="1" applyFont="1">
      <alignment horizontal="right" readingOrder="0" shrinkToFit="0" vertical="bottom" wrapText="0"/>
    </xf>
    <xf borderId="2" fillId="0" fontId="5" numFmtId="164" xfId="0" applyAlignment="1" applyBorder="1" applyFont="1" applyNumberFormat="1">
      <alignment horizontal="right" readingOrder="0" shrinkToFit="0" vertical="bottom" wrapText="0"/>
    </xf>
    <xf borderId="2" fillId="0" fontId="4" numFmtId="0" xfId="0" applyAlignment="1" applyBorder="1" applyFont="1">
      <alignment horizontal="center" readingOrder="0"/>
    </xf>
    <xf borderId="2" fillId="0" fontId="5" numFmtId="165" xfId="0" applyAlignment="1" applyBorder="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milia Huizar Castro" id="{71776530-b48b-4ed3-a8e5-2b357116b9f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4T16:50:39.00" personId="{71776530-b48b-4ed3-a8e5-2b357116b9f8}" id="{aef0bc5b-2391-4a83-a5ec-ad31edd38000}" done="0">
    <x18tc:text xml:space="preserve">Número de registros 1 POR CADA TRIMESTRE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2-14T14:41:39.00" personId="{71776530-b48b-4ed3-a8e5-2b357116b9f8}" id="{bb87186b-753e-42cf-9453-277c7ad3af41}" done="1">
    <x18tc:text xml:space="preserve">Usa rangos.
Controla valores fuera de escala.
Funciona para todas las pruebas.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38"/>
    <col customWidth="1" min="3" max="5" width="7.5"/>
    <col customWidth="1" min="6" max="6" width="1.38"/>
    <col customWidth="1" min="7" max="7" width="11.88"/>
    <col customWidth="1" min="8" max="8" width="1.38"/>
    <col customWidth="1" min="9" max="9" width="15.88"/>
    <col customWidth="1" min="10" max="10" width="1.38"/>
    <col customWidth="1" min="11" max="11" width="14.13"/>
    <col customWidth="1" min="12" max="12" width="9.0"/>
    <col customWidth="1" min="13" max="13" width="28.63"/>
    <col customWidth="1" min="14" max="15" width="10.75"/>
    <col customWidth="1" min="16" max="20" width="28.63"/>
  </cols>
  <sheetData>
    <row r="1" ht="19.5" customHeight="1">
      <c r="A1" s="1" t="s">
        <v>0</v>
      </c>
      <c r="B1" s="2"/>
      <c r="C1" s="3" t="s">
        <v>1</v>
      </c>
      <c r="D1" s="1" t="s">
        <v>2</v>
      </c>
      <c r="E1" s="4" t="s">
        <v>3</v>
      </c>
      <c r="F1" s="2"/>
      <c r="G1" s="1" t="s">
        <v>4</v>
      </c>
      <c r="H1" s="2"/>
      <c r="I1" s="1" t="s">
        <v>5</v>
      </c>
      <c r="J1" s="2"/>
      <c r="K1" s="1" t="s">
        <v>6</v>
      </c>
      <c r="L1" s="1" t="s">
        <v>7</v>
      </c>
      <c r="M1" s="1" t="s">
        <v>8</v>
      </c>
      <c r="N1" s="5" t="s">
        <v>9</v>
      </c>
      <c r="O1" s="1" t="s">
        <v>10</v>
      </c>
      <c r="P1" s="1" t="s">
        <v>11</v>
      </c>
      <c r="Q1" s="1" t="s">
        <v>12</v>
      </c>
      <c r="R1" s="1" t="s">
        <v>13</v>
      </c>
      <c r="S1" s="1" t="s">
        <v>14</v>
      </c>
      <c r="T1" s="1" t="s">
        <v>15</v>
      </c>
      <c r="U1" s="2"/>
      <c r="V1" s="2"/>
      <c r="W1" s="2"/>
      <c r="X1" s="2"/>
      <c r="Y1" s="2"/>
      <c r="Z1" s="2"/>
      <c r="AA1" s="2"/>
      <c r="AB1" s="2"/>
      <c r="AC1" s="2"/>
      <c r="AD1" s="2"/>
      <c r="AE1" s="2"/>
      <c r="AF1" s="2"/>
      <c r="AG1" s="2"/>
      <c r="AH1" s="2"/>
      <c r="AI1" s="2"/>
      <c r="AJ1" s="2"/>
      <c r="AK1" s="2"/>
      <c r="AL1" s="2"/>
      <c r="AM1" s="2"/>
      <c r="AN1" s="2"/>
      <c r="AO1" s="2"/>
    </row>
    <row r="2" ht="19.5" customHeight="1">
      <c r="A2" s="6" t="s">
        <v>16</v>
      </c>
      <c r="B2" s="7"/>
      <c r="C2" s="6" t="s">
        <v>17</v>
      </c>
      <c r="D2" s="6">
        <v>1.0</v>
      </c>
      <c r="E2" s="6" t="s">
        <v>18</v>
      </c>
      <c r="F2" s="7"/>
      <c r="G2" s="8" t="s">
        <v>19</v>
      </c>
      <c r="H2" s="7"/>
      <c r="I2" s="6" t="s">
        <v>20</v>
      </c>
      <c r="J2" s="7"/>
      <c r="K2" s="9" t="s">
        <v>21</v>
      </c>
      <c r="L2" s="6" t="s">
        <v>22</v>
      </c>
      <c r="M2" s="8" t="s">
        <v>23</v>
      </c>
      <c r="N2" s="10" t="s">
        <v>24</v>
      </c>
      <c r="O2" s="11" t="s">
        <v>25</v>
      </c>
      <c r="P2" s="12" t="s">
        <v>26</v>
      </c>
      <c r="Q2" s="12" t="s">
        <v>27</v>
      </c>
      <c r="R2" s="12"/>
      <c r="S2" s="12" t="s">
        <v>28</v>
      </c>
      <c r="T2" s="12" t="s">
        <v>29</v>
      </c>
      <c r="U2" s="7"/>
      <c r="V2" s="7"/>
      <c r="W2" s="7"/>
      <c r="X2" s="7"/>
      <c r="Y2" s="7"/>
      <c r="Z2" s="7"/>
      <c r="AA2" s="7"/>
      <c r="AB2" s="7"/>
      <c r="AC2" s="7"/>
      <c r="AD2" s="7"/>
      <c r="AE2" s="7"/>
      <c r="AF2" s="7"/>
      <c r="AG2" s="7"/>
      <c r="AH2" s="7"/>
      <c r="AI2" s="7"/>
      <c r="AJ2" s="7"/>
      <c r="AK2" s="7"/>
      <c r="AL2" s="7"/>
      <c r="AM2" s="7"/>
      <c r="AN2" s="7"/>
      <c r="AO2" s="7"/>
    </row>
    <row r="3" ht="19.5" customHeight="1">
      <c r="A3" s="13"/>
      <c r="B3" s="7"/>
      <c r="C3" s="6" t="s">
        <v>17</v>
      </c>
      <c r="D3" s="6">
        <v>1.0</v>
      </c>
      <c r="E3" s="6" t="s">
        <v>30</v>
      </c>
      <c r="F3" s="7"/>
      <c r="G3" s="8" t="s">
        <v>31</v>
      </c>
      <c r="H3" s="7"/>
      <c r="I3" s="6" t="s">
        <v>32</v>
      </c>
      <c r="J3" s="7"/>
      <c r="K3" s="9" t="s">
        <v>33</v>
      </c>
      <c r="L3" s="6" t="s">
        <v>22</v>
      </c>
      <c r="M3" s="8" t="s">
        <v>34</v>
      </c>
      <c r="N3" s="10" t="s">
        <v>35</v>
      </c>
      <c r="O3" s="11" t="s">
        <v>25</v>
      </c>
      <c r="P3" s="12" t="s">
        <v>36</v>
      </c>
      <c r="Q3" s="12" t="s">
        <v>37</v>
      </c>
      <c r="R3" s="12" t="s">
        <v>38</v>
      </c>
      <c r="S3" s="12" t="s">
        <v>39</v>
      </c>
      <c r="T3" s="12" t="s">
        <v>29</v>
      </c>
      <c r="U3" s="7"/>
      <c r="V3" s="7"/>
      <c r="W3" s="7"/>
      <c r="X3" s="7"/>
      <c r="Y3" s="7"/>
      <c r="Z3" s="7"/>
      <c r="AA3" s="7"/>
      <c r="AB3" s="7"/>
      <c r="AC3" s="7"/>
      <c r="AD3" s="7"/>
      <c r="AE3" s="7"/>
      <c r="AF3" s="7"/>
      <c r="AG3" s="7"/>
      <c r="AH3" s="7"/>
      <c r="AI3" s="7"/>
      <c r="AJ3" s="7"/>
      <c r="AK3" s="7"/>
      <c r="AL3" s="7"/>
      <c r="AM3" s="7"/>
      <c r="AN3" s="7"/>
      <c r="AO3" s="7"/>
    </row>
    <row r="4" ht="19.5" customHeight="1">
      <c r="A4" s="13"/>
      <c r="B4" s="7"/>
      <c r="C4" s="6" t="s">
        <v>17</v>
      </c>
      <c r="D4" s="6">
        <v>2.0</v>
      </c>
      <c r="E4" s="6" t="s">
        <v>18</v>
      </c>
      <c r="F4" s="7"/>
      <c r="G4" s="7"/>
      <c r="H4" s="7"/>
      <c r="I4" s="6" t="s">
        <v>40</v>
      </c>
      <c r="J4" s="7"/>
      <c r="K4" s="9" t="s">
        <v>41</v>
      </c>
      <c r="L4" s="6" t="s">
        <v>22</v>
      </c>
      <c r="M4" s="8" t="s">
        <v>42</v>
      </c>
      <c r="N4" s="11" t="s">
        <v>43</v>
      </c>
      <c r="O4" s="11" t="s">
        <v>25</v>
      </c>
      <c r="P4" s="12" t="s">
        <v>44</v>
      </c>
      <c r="Q4" s="12" t="s">
        <v>45</v>
      </c>
      <c r="R4" s="12" t="s">
        <v>46</v>
      </c>
      <c r="S4" s="12" t="s">
        <v>47</v>
      </c>
      <c r="T4" s="12" t="s">
        <v>48</v>
      </c>
      <c r="U4" s="7"/>
      <c r="V4" s="7"/>
      <c r="W4" s="7"/>
      <c r="X4" s="7"/>
      <c r="Y4" s="7"/>
      <c r="Z4" s="7"/>
      <c r="AA4" s="7"/>
      <c r="AB4" s="7"/>
      <c r="AC4" s="7"/>
      <c r="AD4" s="7"/>
      <c r="AE4" s="7"/>
      <c r="AF4" s="7"/>
      <c r="AG4" s="7"/>
      <c r="AH4" s="7"/>
      <c r="AI4" s="7"/>
      <c r="AJ4" s="7"/>
      <c r="AK4" s="7"/>
      <c r="AL4" s="7"/>
      <c r="AM4" s="7"/>
      <c r="AN4" s="7"/>
      <c r="AO4" s="7"/>
    </row>
    <row r="5" ht="19.5" customHeight="1">
      <c r="A5" s="13"/>
      <c r="B5" s="7"/>
      <c r="C5" s="6" t="s">
        <v>17</v>
      </c>
      <c r="D5" s="6">
        <v>2.0</v>
      </c>
      <c r="E5" s="6" t="s">
        <v>30</v>
      </c>
      <c r="F5" s="7"/>
      <c r="G5" s="7"/>
      <c r="H5" s="7"/>
      <c r="I5" s="7"/>
      <c r="J5" s="7"/>
      <c r="K5" s="9" t="s">
        <v>49</v>
      </c>
      <c r="L5" s="6" t="s">
        <v>22</v>
      </c>
      <c r="M5" s="8" t="s">
        <v>50</v>
      </c>
      <c r="N5" s="10" t="s">
        <v>24</v>
      </c>
      <c r="O5" s="11" t="s">
        <v>51</v>
      </c>
      <c r="P5" s="12" t="s">
        <v>52</v>
      </c>
      <c r="Q5" s="12" t="s">
        <v>53</v>
      </c>
      <c r="R5" s="14"/>
      <c r="S5" s="12" t="s">
        <v>54</v>
      </c>
      <c r="T5" s="12" t="s">
        <v>55</v>
      </c>
      <c r="U5" s="7"/>
      <c r="V5" s="7"/>
      <c r="W5" s="7"/>
      <c r="X5" s="7"/>
      <c r="Y5" s="7"/>
      <c r="Z5" s="7"/>
      <c r="AA5" s="7"/>
      <c r="AB5" s="7"/>
      <c r="AC5" s="7"/>
      <c r="AD5" s="7"/>
      <c r="AE5" s="7"/>
      <c r="AF5" s="7"/>
      <c r="AG5" s="7"/>
      <c r="AH5" s="7"/>
      <c r="AI5" s="7"/>
      <c r="AJ5" s="7"/>
      <c r="AK5" s="7"/>
      <c r="AL5" s="7"/>
      <c r="AM5" s="7"/>
      <c r="AN5" s="7"/>
      <c r="AO5" s="7"/>
    </row>
    <row r="6" ht="19.5" customHeight="1">
      <c r="A6" s="13"/>
      <c r="B6" s="7"/>
      <c r="C6" s="6" t="s">
        <v>17</v>
      </c>
      <c r="D6" s="6">
        <v>3.0</v>
      </c>
      <c r="E6" s="6" t="s">
        <v>18</v>
      </c>
      <c r="F6" s="7"/>
      <c r="G6" s="7"/>
      <c r="H6" s="7"/>
      <c r="I6" s="7"/>
      <c r="J6" s="7"/>
      <c r="K6" s="9" t="s">
        <v>56</v>
      </c>
      <c r="L6" s="6" t="s">
        <v>22</v>
      </c>
      <c r="M6" s="8" t="s">
        <v>57</v>
      </c>
      <c r="N6" s="10" t="s">
        <v>24</v>
      </c>
      <c r="O6" s="11" t="s">
        <v>25</v>
      </c>
      <c r="P6" s="12" t="s">
        <v>58</v>
      </c>
      <c r="Q6" s="12" t="s">
        <v>37</v>
      </c>
      <c r="R6" s="12" t="s">
        <v>59</v>
      </c>
      <c r="S6" s="12" t="s">
        <v>60</v>
      </c>
      <c r="T6" s="12" t="s">
        <v>61</v>
      </c>
      <c r="U6" s="7"/>
      <c r="V6" s="7"/>
      <c r="W6" s="7"/>
      <c r="X6" s="7"/>
      <c r="Y6" s="7"/>
      <c r="Z6" s="7"/>
      <c r="AA6" s="7"/>
      <c r="AB6" s="7"/>
      <c r="AC6" s="7"/>
      <c r="AD6" s="7"/>
      <c r="AE6" s="7"/>
      <c r="AF6" s="7"/>
      <c r="AG6" s="7"/>
      <c r="AH6" s="7"/>
      <c r="AI6" s="7"/>
      <c r="AJ6" s="7"/>
      <c r="AK6" s="7"/>
      <c r="AL6" s="7"/>
      <c r="AM6" s="7"/>
      <c r="AN6" s="7"/>
      <c r="AO6" s="7"/>
    </row>
    <row r="7" ht="19.5" customHeight="1">
      <c r="A7" s="13"/>
      <c r="B7" s="7"/>
      <c r="C7" s="6" t="s">
        <v>17</v>
      </c>
      <c r="D7" s="6">
        <v>3.0</v>
      </c>
      <c r="E7" s="6" t="s">
        <v>30</v>
      </c>
      <c r="F7" s="7"/>
      <c r="G7" s="7"/>
      <c r="H7" s="7"/>
      <c r="I7" s="7"/>
      <c r="J7" s="7"/>
      <c r="K7" s="9" t="s">
        <v>62</v>
      </c>
      <c r="L7" s="6" t="s">
        <v>22</v>
      </c>
      <c r="M7" s="8" t="s">
        <v>63</v>
      </c>
      <c r="N7" s="11" t="s">
        <v>35</v>
      </c>
      <c r="O7" s="11" t="s">
        <v>64</v>
      </c>
      <c r="P7" s="12" t="s">
        <v>65</v>
      </c>
      <c r="Q7" s="12" t="s">
        <v>66</v>
      </c>
      <c r="R7" s="12" t="s">
        <v>67</v>
      </c>
      <c r="S7" s="12" t="s">
        <v>68</v>
      </c>
      <c r="T7" s="12" t="s">
        <v>69</v>
      </c>
      <c r="U7" s="7"/>
      <c r="V7" s="7"/>
      <c r="W7" s="7"/>
      <c r="X7" s="7"/>
      <c r="Y7" s="7"/>
      <c r="Z7" s="7"/>
      <c r="AA7" s="7"/>
      <c r="AB7" s="7"/>
      <c r="AC7" s="7"/>
      <c r="AD7" s="7"/>
      <c r="AE7" s="7"/>
      <c r="AF7" s="7"/>
      <c r="AG7" s="7"/>
      <c r="AH7" s="7"/>
      <c r="AI7" s="7"/>
      <c r="AJ7" s="7"/>
      <c r="AK7" s="7"/>
      <c r="AL7" s="7"/>
      <c r="AM7" s="7"/>
      <c r="AN7" s="7"/>
      <c r="AO7" s="7"/>
    </row>
    <row r="8" ht="19.5" customHeight="1">
      <c r="A8" s="13"/>
      <c r="B8" s="7"/>
      <c r="C8" s="6" t="s">
        <v>17</v>
      </c>
      <c r="D8" s="6">
        <v>4.0</v>
      </c>
      <c r="E8" s="6" t="s">
        <v>18</v>
      </c>
      <c r="F8" s="7"/>
      <c r="G8" s="7"/>
      <c r="H8" s="7"/>
      <c r="I8" s="7"/>
      <c r="J8" s="7"/>
      <c r="K8" s="9" t="s">
        <v>70</v>
      </c>
      <c r="L8" s="6" t="s">
        <v>22</v>
      </c>
      <c r="M8" s="8" t="s">
        <v>71</v>
      </c>
      <c r="N8" s="11" t="s">
        <v>72</v>
      </c>
      <c r="O8" s="11" t="s">
        <v>73</v>
      </c>
      <c r="P8" s="12" t="s">
        <v>74</v>
      </c>
      <c r="Q8" s="12" t="s">
        <v>66</v>
      </c>
      <c r="R8" s="12" t="s">
        <v>67</v>
      </c>
      <c r="S8" s="12" t="s">
        <v>75</v>
      </c>
      <c r="T8" s="12" t="s">
        <v>76</v>
      </c>
      <c r="U8" s="7"/>
      <c r="V8" s="7"/>
      <c r="W8" s="7"/>
      <c r="X8" s="7"/>
      <c r="Y8" s="7"/>
      <c r="Z8" s="7"/>
      <c r="AA8" s="7"/>
      <c r="AB8" s="7"/>
      <c r="AC8" s="7"/>
      <c r="AD8" s="7"/>
      <c r="AE8" s="7"/>
      <c r="AF8" s="7"/>
      <c r="AG8" s="7"/>
      <c r="AH8" s="7"/>
      <c r="AI8" s="7"/>
      <c r="AJ8" s="7"/>
      <c r="AK8" s="7"/>
      <c r="AL8" s="7"/>
      <c r="AM8" s="7"/>
      <c r="AN8" s="7"/>
      <c r="AO8" s="7"/>
    </row>
    <row r="9" ht="19.5" customHeight="1">
      <c r="A9" s="13"/>
      <c r="B9" s="7"/>
      <c r="C9" s="6" t="s">
        <v>17</v>
      </c>
      <c r="D9" s="6">
        <v>4.0</v>
      </c>
      <c r="E9" s="6" t="s">
        <v>30</v>
      </c>
      <c r="F9" s="7"/>
      <c r="G9" s="7"/>
      <c r="H9" s="7"/>
      <c r="I9" s="7"/>
      <c r="J9" s="7"/>
      <c r="K9" s="9" t="s">
        <v>77</v>
      </c>
      <c r="L9" s="6" t="s">
        <v>78</v>
      </c>
      <c r="M9" s="8" t="s">
        <v>79</v>
      </c>
      <c r="N9" s="11" t="s">
        <v>80</v>
      </c>
      <c r="O9" s="11" t="s">
        <v>81</v>
      </c>
      <c r="P9" s="8" t="s">
        <v>82</v>
      </c>
      <c r="Q9" s="12" t="s">
        <v>83</v>
      </c>
      <c r="R9" s="12" t="s">
        <v>67</v>
      </c>
      <c r="S9" s="12" t="s">
        <v>84</v>
      </c>
      <c r="T9" s="12" t="s">
        <v>85</v>
      </c>
      <c r="U9" s="7"/>
      <c r="V9" s="7"/>
      <c r="W9" s="7"/>
      <c r="X9" s="7"/>
      <c r="Y9" s="7"/>
      <c r="Z9" s="7"/>
      <c r="AA9" s="7"/>
      <c r="AB9" s="7"/>
      <c r="AC9" s="7"/>
      <c r="AD9" s="7"/>
      <c r="AE9" s="7"/>
      <c r="AF9" s="7"/>
      <c r="AG9" s="7"/>
      <c r="AH9" s="7"/>
      <c r="AI9" s="7"/>
      <c r="AJ9" s="7"/>
      <c r="AK9" s="7"/>
      <c r="AL9" s="7"/>
      <c r="AM9" s="7"/>
      <c r="AN9" s="7"/>
      <c r="AO9" s="7"/>
    </row>
    <row r="10" ht="19.5" customHeight="1">
      <c r="A10" s="13"/>
      <c r="B10" s="7"/>
      <c r="C10" s="6" t="s">
        <v>17</v>
      </c>
      <c r="D10" s="6">
        <v>1.0</v>
      </c>
      <c r="E10" s="6" t="s">
        <v>86</v>
      </c>
      <c r="F10" s="7"/>
      <c r="G10" s="7"/>
      <c r="H10" s="7"/>
      <c r="I10" s="7"/>
      <c r="J10" s="7"/>
      <c r="K10" s="7"/>
      <c r="L10" s="15"/>
      <c r="M10" s="7"/>
      <c r="N10" s="15"/>
      <c r="O10" s="15"/>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ht="19.5" customHeight="1">
      <c r="A11" s="13"/>
      <c r="B11" s="7"/>
      <c r="C11" s="6" t="s">
        <v>17</v>
      </c>
      <c r="D11" s="6">
        <v>1.0</v>
      </c>
      <c r="E11" s="6" t="s">
        <v>87</v>
      </c>
      <c r="F11" s="7"/>
      <c r="G11" s="7"/>
      <c r="H11" s="7"/>
      <c r="I11" s="7"/>
      <c r="J11" s="7"/>
      <c r="K11" s="7"/>
      <c r="L11" s="15"/>
      <c r="M11" s="7"/>
      <c r="N11" s="15"/>
      <c r="O11" s="15"/>
      <c r="P11" s="7"/>
      <c r="Q11" s="7"/>
      <c r="R11" s="7"/>
      <c r="S11" s="7"/>
      <c r="T11" s="7"/>
      <c r="U11" s="7"/>
      <c r="V11" s="7"/>
      <c r="W11" s="7"/>
      <c r="X11" s="7"/>
      <c r="Y11" s="7"/>
      <c r="Z11" s="7"/>
      <c r="AA11" s="7"/>
      <c r="AB11" s="7"/>
      <c r="AC11" s="7"/>
      <c r="AD11" s="7"/>
      <c r="AE11" s="7"/>
      <c r="AF11" s="7"/>
      <c r="AG11" s="7"/>
      <c r="AH11" s="7"/>
      <c r="AI11" s="7"/>
      <c r="AJ11" s="7"/>
      <c r="AK11" s="7"/>
      <c r="AL11" s="7"/>
      <c r="AM11" s="7"/>
      <c r="AN11" s="7"/>
      <c r="AO11" s="7"/>
    </row>
    <row r="12" ht="19.5" customHeight="1">
      <c r="A12" s="13"/>
      <c r="B12" s="7"/>
      <c r="C12" s="6" t="s">
        <v>88</v>
      </c>
      <c r="D12" s="6">
        <v>1.0</v>
      </c>
      <c r="E12" s="6" t="s">
        <v>89</v>
      </c>
      <c r="F12" s="7"/>
      <c r="G12" s="7"/>
      <c r="H12" s="7"/>
      <c r="I12" s="7"/>
      <c r="J12" s="7"/>
      <c r="K12" s="7"/>
      <c r="L12" s="15"/>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row>
    <row r="13" ht="19.5" customHeight="1">
      <c r="A13" s="13"/>
      <c r="B13" s="7"/>
      <c r="C13" s="6" t="s">
        <v>88</v>
      </c>
      <c r="D13" s="6">
        <v>1.0</v>
      </c>
      <c r="E13" s="6" t="s">
        <v>90</v>
      </c>
      <c r="F13" s="7"/>
      <c r="G13" s="7"/>
      <c r="H13" s="7"/>
      <c r="I13" s="7"/>
      <c r="J13" s="7"/>
      <c r="K13" s="16"/>
      <c r="L13" s="17"/>
      <c r="M13" s="16"/>
      <c r="N13" s="7"/>
      <c r="O13" s="7"/>
      <c r="P13" s="16"/>
      <c r="Q13" s="7"/>
      <c r="R13" s="7"/>
      <c r="S13" s="7"/>
      <c r="T13" s="7"/>
      <c r="U13" s="7"/>
      <c r="V13" s="7"/>
      <c r="W13" s="7"/>
      <c r="X13" s="7"/>
      <c r="Y13" s="7"/>
      <c r="Z13" s="7"/>
      <c r="AA13" s="7"/>
      <c r="AB13" s="7"/>
      <c r="AC13" s="7"/>
      <c r="AD13" s="7"/>
      <c r="AE13" s="7"/>
      <c r="AF13" s="7"/>
      <c r="AG13" s="7"/>
      <c r="AH13" s="7"/>
      <c r="AI13" s="7"/>
      <c r="AJ13" s="7"/>
      <c r="AK13" s="7"/>
      <c r="AL13" s="7"/>
      <c r="AM13" s="7"/>
      <c r="AN13" s="7"/>
      <c r="AO13" s="7"/>
    </row>
    <row r="14" ht="19.5" customHeight="1">
      <c r="A14" s="13"/>
      <c r="B14" s="7"/>
      <c r="C14" s="6" t="s">
        <v>88</v>
      </c>
      <c r="D14" s="6">
        <v>2.0</v>
      </c>
      <c r="E14" s="6" t="s">
        <v>86</v>
      </c>
      <c r="F14" s="7"/>
      <c r="G14" s="7"/>
      <c r="H14" s="7"/>
      <c r="I14" s="7"/>
      <c r="J14" s="7"/>
      <c r="K14" s="16"/>
      <c r="L14" s="17"/>
      <c r="M14" s="16"/>
      <c r="N14" s="7"/>
      <c r="O14" s="7"/>
      <c r="P14" s="16"/>
      <c r="Q14" s="7"/>
      <c r="R14" s="7"/>
      <c r="S14" s="7"/>
      <c r="T14" s="7"/>
      <c r="U14" s="7"/>
      <c r="V14" s="7"/>
      <c r="W14" s="7"/>
      <c r="X14" s="7"/>
      <c r="Y14" s="7"/>
      <c r="Z14" s="7"/>
      <c r="AA14" s="7"/>
      <c r="AB14" s="7"/>
      <c r="AC14" s="7"/>
      <c r="AD14" s="7"/>
      <c r="AE14" s="7"/>
      <c r="AF14" s="7"/>
      <c r="AG14" s="7"/>
      <c r="AH14" s="7"/>
      <c r="AI14" s="7"/>
      <c r="AJ14" s="7"/>
      <c r="AK14" s="7"/>
      <c r="AL14" s="7"/>
      <c r="AM14" s="7"/>
      <c r="AN14" s="7"/>
      <c r="AO14" s="7"/>
    </row>
    <row r="15" ht="19.5" customHeight="1">
      <c r="A15" s="13"/>
      <c r="B15" s="7"/>
      <c r="C15" s="6" t="s">
        <v>88</v>
      </c>
      <c r="D15" s="6">
        <v>2.0</v>
      </c>
      <c r="E15" s="6" t="s">
        <v>89</v>
      </c>
      <c r="F15" s="7"/>
      <c r="G15" s="7"/>
      <c r="H15" s="7"/>
      <c r="I15" s="7"/>
      <c r="J15" s="7"/>
      <c r="K15" s="16"/>
      <c r="L15" s="17"/>
      <c r="M15" s="16"/>
      <c r="N15" s="7"/>
      <c r="O15" s="7"/>
      <c r="P15" s="16"/>
      <c r="Q15" s="7"/>
      <c r="R15" s="7"/>
      <c r="S15" s="7"/>
      <c r="T15" s="7"/>
      <c r="U15" s="7"/>
      <c r="V15" s="7"/>
      <c r="W15" s="7"/>
      <c r="X15" s="7"/>
      <c r="Y15" s="7"/>
      <c r="Z15" s="7"/>
      <c r="AA15" s="7"/>
      <c r="AB15" s="7"/>
      <c r="AC15" s="7"/>
      <c r="AD15" s="7"/>
      <c r="AE15" s="7"/>
      <c r="AF15" s="7"/>
      <c r="AG15" s="7"/>
      <c r="AH15" s="7"/>
      <c r="AI15" s="7"/>
      <c r="AJ15" s="7"/>
      <c r="AK15" s="7"/>
      <c r="AL15" s="7"/>
      <c r="AM15" s="7"/>
      <c r="AN15" s="7"/>
      <c r="AO15" s="7"/>
    </row>
    <row r="16" ht="19.5" customHeight="1">
      <c r="A16" s="13"/>
      <c r="B16" s="7"/>
      <c r="C16" s="6" t="s">
        <v>88</v>
      </c>
      <c r="D16" s="6">
        <v>2.0</v>
      </c>
      <c r="E16" s="6" t="s">
        <v>90</v>
      </c>
      <c r="F16" s="7"/>
      <c r="G16" s="7"/>
      <c r="H16" s="7"/>
      <c r="I16" s="7"/>
      <c r="J16" s="7"/>
      <c r="K16" s="16"/>
      <c r="L16" s="17"/>
      <c r="M16" s="16"/>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ht="19.5" customHeight="1">
      <c r="A17" s="13"/>
      <c r="B17" s="7"/>
      <c r="C17" s="6" t="s">
        <v>88</v>
      </c>
      <c r="D17" s="6">
        <v>2.0</v>
      </c>
      <c r="E17" s="6" t="s">
        <v>91</v>
      </c>
      <c r="F17" s="7"/>
      <c r="G17" s="7"/>
      <c r="H17" s="7"/>
      <c r="I17" s="7"/>
      <c r="J17" s="7"/>
      <c r="K17" s="16"/>
      <c r="L17" s="17"/>
      <c r="M17" s="16"/>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38"/>
    <col customWidth="1" min="3" max="3" width="6.75"/>
    <col customWidth="1" min="4" max="4" width="48.63"/>
    <col customWidth="1" min="5" max="5" width="11.88"/>
  </cols>
  <sheetData>
    <row r="1">
      <c r="A1" s="18" t="s">
        <v>1</v>
      </c>
      <c r="B1" s="18" t="s">
        <v>2</v>
      </c>
      <c r="C1" s="18" t="s">
        <v>3</v>
      </c>
      <c r="D1" s="19" t="s">
        <v>92</v>
      </c>
      <c r="E1" s="18" t="s">
        <v>4</v>
      </c>
      <c r="F1" s="4" t="s">
        <v>93</v>
      </c>
      <c r="G1" s="4" t="s">
        <v>94</v>
      </c>
    </row>
    <row r="2">
      <c r="A2" s="20" t="str">
        <f t="array" ref="A2">IF(C2="","",IFERROR(INDEX(CONFIGURACION!C:C,MATCH(C2,CONFIGURACION!E:E,0)),""))
</f>
        <v>BCH</v>
      </c>
      <c r="B2" s="20">
        <f t="array" ref="B2">IF(C2="","",IFERROR(INDEX(CONFIGURACION!D:D,MATCH(C2,CONFIGURACION!E:E,0)),""))
</f>
        <v>1</v>
      </c>
      <c r="C2" s="6" t="s">
        <v>89</v>
      </c>
      <c r="D2" s="21" t="s">
        <v>95</v>
      </c>
      <c r="E2" s="21" t="s">
        <v>19</v>
      </c>
      <c r="F2" s="22"/>
      <c r="G2" s="22"/>
    </row>
    <row r="3">
      <c r="A3" s="20" t="str">
        <f t="array" ref="A3">IF(C3="","",IFERROR(INDEX(CONFIGURACION!C:C,MATCH(C3,CONFIGURACION!E:E,0)),""))
</f>
        <v>BCH</v>
      </c>
      <c r="B3" s="20">
        <f t="array" ref="B3">IF(C3="","",IFERROR(INDEX(CONFIGURACION!D:D,MATCH(C3,CONFIGURACION!E:E,0)),""))
</f>
        <v>1</v>
      </c>
      <c r="C3" s="6" t="s">
        <v>89</v>
      </c>
      <c r="D3" s="21" t="s">
        <v>96</v>
      </c>
      <c r="E3" s="21" t="s">
        <v>19</v>
      </c>
      <c r="F3" s="22"/>
      <c r="G3" s="22"/>
    </row>
    <row r="4">
      <c r="A4" s="20" t="str">
        <f t="array" ref="A4">IF(C4="","",IFERROR(INDEX(CONFIGURACION!C:C,MATCH(C4,CONFIGURACION!E:E,0)),""))
</f>
        <v>BCH</v>
      </c>
      <c r="B4" s="20">
        <f t="array" ref="B4">IF(C4="","",IFERROR(INDEX(CONFIGURACION!D:D,MATCH(C4,CONFIGURACION!E:E,0)),""))
</f>
        <v>1</v>
      </c>
      <c r="C4" s="6" t="s">
        <v>89</v>
      </c>
      <c r="D4" s="21" t="s">
        <v>97</v>
      </c>
      <c r="E4" s="21" t="s">
        <v>19</v>
      </c>
      <c r="F4" s="22"/>
      <c r="G4" s="22"/>
    </row>
    <row r="5">
      <c r="A5" s="23" t="s">
        <v>88</v>
      </c>
      <c r="B5" s="23">
        <v>1.0</v>
      </c>
      <c r="C5" s="13" t="s">
        <v>90</v>
      </c>
      <c r="D5" s="24" t="s">
        <v>98</v>
      </c>
      <c r="E5" s="24" t="s">
        <v>19</v>
      </c>
      <c r="F5" s="25"/>
      <c r="G5" s="25"/>
    </row>
    <row r="6">
      <c r="A6" s="23" t="s">
        <v>17</v>
      </c>
      <c r="B6" s="23">
        <v>1.0</v>
      </c>
      <c r="C6" s="13" t="s">
        <v>18</v>
      </c>
      <c r="D6" s="24" t="s">
        <v>99</v>
      </c>
      <c r="E6" s="24" t="s">
        <v>19</v>
      </c>
      <c r="F6" s="25"/>
      <c r="G6" s="25"/>
    </row>
    <row r="7">
      <c r="A7" s="23" t="s">
        <v>17</v>
      </c>
      <c r="B7" s="23">
        <v>1.0</v>
      </c>
      <c r="C7" s="13" t="s">
        <v>18</v>
      </c>
      <c r="D7" s="24" t="s">
        <v>100</v>
      </c>
      <c r="E7" s="24" t="s">
        <v>19</v>
      </c>
      <c r="F7" s="25"/>
      <c r="G7" s="25"/>
    </row>
  </sheetData>
  <dataValidations>
    <dataValidation type="list" allowBlank="1" showInputMessage="1" showErrorMessage="1" prompt="Haz clic e introduce un valor del intervalo" sqref="E2">
      <formula1>CONFIGURACION!$G$2:$G$3</formula1>
    </dataValidation>
    <dataValidation type="list" allowBlank="1" showErrorMessage="1" sqref="C2:C7">
      <formula1>CONFIGURACION!$E$2:$E$17</formula1>
    </dataValidation>
    <dataValidation type="decimal" operator="greaterThan" allowBlank="1" showDropDown="1" showInputMessage="1" prompt="Introduce un número mayor que 0" sqref="F2:G7">
      <formula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38"/>
    <col customWidth="1" min="3" max="3" width="13.5"/>
    <col customWidth="1" min="4" max="4" width="8.0"/>
    <col customWidth="1" min="5" max="5" width="23.75"/>
    <col customWidth="1" min="6" max="6" width="28.0"/>
    <col customWidth="1" min="7" max="7" width="15.63"/>
    <col customWidth="1" min="8" max="8" width="14.25"/>
    <col customWidth="1" min="9" max="9" width="17.88"/>
    <col customWidth="1" min="10" max="10" width="23.88"/>
    <col customWidth="1" min="11" max="11" width="14.25"/>
  </cols>
  <sheetData>
    <row r="1">
      <c r="A1" s="18" t="s">
        <v>1</v>
      </c>
      <c r="B1" s="4" t="s">
        <v>2</v>
      </c>
      <c r="C1" s="4" t="s">
        <v>4</v>
      </c>
      <c r="D1" s="4" t="s">
        <v>3</v>
      </c>
      <c r="E1" s="18" t="s">
        <v>6</v>
      </c>
      <c r="F1" s="4" t="s">
        <v>92</v>
      </c>
      <c r="G1" s="4" t="s">
        <v>5</v>
      </c>
      <c r="H1" s="4" t="s">
        <v>101</v>
      </c>
      <c r="I1" s="4" t="s">
        <v>102</v>
      </c>
      <c r="J1" s="4" t="s">
        <v>103</v>
      </c>
      <c r="K1" s="4" t="s">
        <v>104</v>
      </c>
    </row>
    <row r="2">
      <c r="A2" s="23" t="str">
        <f t="array" ref="A2">IF(D2="","",IFERROR(INDEX(CONFIGURACION!C:C,MATCH(D2,CONFIGURACION!E:E,0)),""))
</f>
        <v>BCH</v>
      </c>
      <c r="B2" s="23">
        <f t="array" ref="B2">IF(D2="","",IFERROR(INDEX(CONFIGURACION!D:D,MATCH(D2,CONFIGURACION!E:E,0)),""))
</f>
        <v>1</v>
      </c>
      <c r="C2" s="26" t="s">
        <v>19</v>
      </c>
      <c r="D2" s="13" t="s">
        <v>89</v>
      </c>
      <c r="E2" s="27" t="s">
        <v>62</v>
      </c>
      <c r="F2" s="24" t="s">
        <v>95</v>
      </c>
      <c r="G2" s="27" t="s">
        <v>20</v>
      </c>
      <c r="H2" s="28">
        <v>1900.0</v>
      </c>
      <c r="I2" s="29" t="str">
        <f>IFERROR(__xludf.DUMMYFUNCTION("IF(F2="""","""",LET(
  nombre, TRIM(F2),
  primer, REGEXEXTRACT(nombre, ""^\S+""),
  resto, TRIM(REGEXREPLACE(nombre, ""^\S+\s*"", """")),
  iniciales, IF(
    resto="""",
    """",
    TEXTJOIN("""",1,ARRAYFORMULA(LEFT(SPLIT(resto,"" ""),1) &amp; "".""))
  )"&amp;",
  UPPER(primer) &amp; "" "" &amp; UPPER(iniciales)
))"),"MANOLO D.C.")</f>
        <v>MANOLO D.C.</v>
      </c>
      <c r="J2" s="29">
        <f>IFERROR(__xludf.DUMMYFUNCTION("IF(H2="""","""",IFERROR(
IF(REGEXMATCH(E2,""VELOCIDAD""),
   IF(H2&gt;=MAX(INDEX(BAREMOS!G:Y,MATCH(1,(BAREMOS!A:A=A2)*(BAREMOS!B:B=B2)*(BAREMOS!C:C=C2)*(BAREMOS!D:D=E2),0),0)),1,
      IF(H2&lt;=MIN(INDEX(BAREMOS!G:Y,MATCH(1,(BAREMOS!A:A=A2)*(BAREMOS!B:B=B2)*(B"&amp;"AREMOS!C:C=C2)*(BAREMOS!D:D=E2),0),0)),19,
         MATCH(H2,INDEX(BAREMOS!G:Y,MATCH(1,(BAREMOS!A:A=A2)*(BAREMOS!B:B=B2)*(BAREMOS!C:C=C2)*(BAREMOS!D:D=E2),0),0),-1)
      )
   ),
   IF(H2&lt;=MIN(INDEX(BAREMOS!G:Y,MATCH(1,(BAREMOS!A:A=A2)*(BAREMOS!B:B=B2)*(B"&amp;"AREMOS!C:C=C2)*(BAREMOS!D:D=E2),0),0)),1,
      IF(H2&gt;=MAX(INDEX(BAREMOS!G:Y,MATCH(1,(BAREMOS!A:A=A2)*(BAREMOS!B:B=B2)*(BAREMOS!C:C=C2)*(BAREMOS!D:D=E2),0),0)),19,
         MATCH(H2,INDEX(BAREMOS!G:Y,MATCH(1,(BAREMOS!A:A=A2)*(BAREMOS!B:B=B2)*(BAREMOS!C:C="&amp;"C2)*(BAREMOS!D:D=E2),0),0),1)
      )
   )
)
,""""))
"),1.0)</f>
        <v>1</v>
      </c>
      <c r="K2" s="30">
        <f t="shared" ref="K2:K60" si="1">IF(J2="","",INDEX(SEQUENCE(1,19,1,0.5),1,J2))
</f>
        <v>1</v>
      </c>
    </row>
    <row r="3">
      <c r="A3" s="23" t="str">
        <f t="array" ref="A3">IF(D3="","",IFERROR(INDEX(CONFIGURACION!C:C,MATCH(D3,CONFIGURACION!E:E,0)),""))
</f>
        <v>BCH</v>
      </c>
      <c r="B3" s="23">
        <f t="array" ref="B3">IF(D3="","",IFERROR(INDEX(CONFIGURACION!D:D,MATCH(D3,CONFIGURACION!E:E,0)),""))
</f>
        <v>1</v>
      </c>
      <c r="C3" s="26" t="s">
        <v>19</v>
      </c>
      <c r="D3" s="13" t="s">
        <v>89</v>
      </c>
      <c r="E3" s="27" t="s">
        <v>21</v>
      </c>
      <c r="F3" s="24" t="s">
        <v>95</v>
      </c>
      <c r="G3" s="27" t="s">
        <v>20</v>
      </c>
      <c r="H3" s="28">
        <v>33.0</v>
      </c>
      <c r="I3" s="29" t="str">
        <f>IFERROR(__xludf.DUMMYFUNCTION("IF(F3="""","""",LET(
  nombre, TRIM(F3),
  primer, REGEXEXTRACT(nombre, ""^\S+""),
  resto, TRIM(REGEXREPLACE(nombre, ""^\S+\s*"", """")),
  iniciales, IF(
    resto="""",
    """",
    TEXTJOIN("""",1,ARRAYFORMULA(LEFT(SPLIT(resto,"" ""),1) &amp; "".""))
  )"&amp;",
  UPPER(primer) &amp; "" "" &amp; UPPER(iniciales)
))"),"MANOLO D.C.")</f>
        <v>MANOLO D.C.</v>
      </c>
      <c r="J3" s="29">
        <f>IFERROR(__xludf.DUMMYFUNCTION("IF(H3="""","""",IFERROR(
IF(REGEXMATCH(E3,""VELOCIDAD""),
   IF(H3&gt;=MAX(INDEX(BAREMOS!G:Y,MATCH(1,(BAREMOS!A:A=A3)*(BAREMOS!B:B=B3)*(BAREMOS!C:C=C3)*(BAREMOS!D:D=E3),0),0)),1,
      IF(H3&lt;=MIN(INDEX(BAREMOS!G:Y,MATCH(1,(BAREMOS!A:A=A3)*(BAREMOS!B:B=B3)*(B"&amp;"AREMOS!C:C=C3)*(BAREMOS!D:D=E3),0),0)),19,
         MATCH(H3,INDEX(BAREMOS!G:Y,MATCH(1,(BAREMOS!A:A=A3)*(BAREMOS!B:B=B3)*(BAREMOS!C:C=C3)*(BAREMOS!D:D=E3),0),0),-1)
      )
   ),
   IF(H3&lt;=MIN(INDEX(BAREMOS!G:Y,MATCH(1,(BAREMOS!A:A=A3)*(BAREMOS!B:B=B3)*(B"&amp;"AREMOS!C:C=C3)*(BAREMOS!D:D=E3),0),0)),1,
      IF(H3&gt;=MAX(INDEX(BAREMOS!G:Y,MATCH(1,(BAREMOS!A:A=A3)*(BAREMOS!B:B=B3)*(BAREMOS!C:C=C3)*(BAREMOS!D:D=E3),0),0)),19,
         MATCH(H3,INDEX(BAREMOS!G:Y,MATCH(1,(BAREMOS!A:A=A3)*(BAREMOS!B:B=B3)*(BAREMOS!C:C="&amp;"C3)*(BAREMOS!D:D=E3),0),0),1)
      )
   )
)
,""""))
"),1.0)</f>
        <v>1</v>
      </c>
      <c r="K3" s="30">
        <f t="shared" si="1"/>
        <v>1</v>
      </c>
    </row>
    <row r="4">
      <c r="A4" s="23" t="str">
        <f t="array" ref="A4">IF(D4="","",IFERROR(INDEX(CONFIGURACION!C:C,MATCH(D4,CONFIGURACION!E:E,0)),""))
</f>
        <v>BCH</v>
      </c>
      <c r="B4" s="23">
        <f t="array" ref="B4">IF(D4="","",IFERROR(INDEX(CONFIGURACION!D:D,MATCH(D4,CONFIGURACION!E:E,0)),""))
</f>
        <v>1</v>
      </c>
      <c r="C4" s="26" t="s">
        <v>19</v>
      </c>
      <c r="D4" s="13" t="s">
        <v>89</v>
      </c>
      <c r="E4" s="27" t="s">
        <v>56</v>
      </c>
      <c r="F4" s="24" t="s">
        <v>95</v>
      </c>
      <c r="G4" s="27" t="s">
        <v>20</v>
      </c>
      <c r="H4" s="28">
        <v>37.0</v>
      </c>
      <c r="I4" s="29" t="str">
        <f>IFERROR(__xludf.DUMMYFUNCTION("IF(F4="""","""",LET(
  nombre, TRIM(F4),
  primer, REGEXEXTRACT(nombre, ""^\S+""),
  resto, TRIM(REGEXREPLACE(nombre, ""^\S+\s*"", """")),
  iniciales, IF(
    resto="""",
    """",
    TEXTJOIN("""",1,ARRAYFORMULA(LEFT(SPLIT(resto,"" ""),1) &amp; "".""))
  )"&amp;",
  UPPER(primer) &amp; "" "" &amp; UPPER(iniciales)
))"),"MANOLO D.C.")</f>
        <v>MANOLO D.C.</v>
      </c>
      <c r="J4" s="29">
        <f>IFERROR(__xludf.DUMMYFUNCTION("IF(H4="""","""",IFERROR(
IF(REGEXMATCH(E4,""VELOCIDAD""),
   IF(H4&gt;=MAX(INDEX(BAREMOS!G:Y,MATCH(1,(BAREMOS!A:A=A4)*(BAREMOS!B:B=B4)*(BAREMOS!C:C=C4)*(BAREMOS!D:D=E4),0),0)),1,
      IF(H4&lt;=MIN(INDEX(BAREMOS!G:Y,MATCH(1,(BAREMOS!A:A=A4)*(BAREMOS!B:B=B4)*(B"&amp;"AREMOS!C:C=C4)*(BAREMOS!D:D=E4),0),0)),19,
         MATCH(H4,INDEX(BAREMOS!G:Y,MATCH(1,(BAREMOS!A:A=A4)*(BAREMOS!B:B=B4)*(BAREMOS!C:C=C4)*(BAREMOS!D:D=E4),0),0),-1)
      )
   ),
   IF(H4&lt;=MIN(INDEX(BAREMOS!G:Y,MATCH(1,(BAREMOS!A:A=A4)*(BAREMOS!B:B=B4)*(B"&amp;"AREMOS!C:C=C4)*(BAREMOS!D:D=E4),0),0)),1,
      IF(H4&gt;=MAX(INDEX(BAREMOS!G:Y,MATCH(1,(BAREMOS!A:A=A4)*(BAREMOS!B:B=B4)*(BAREMOS!C:C=C4)*(BAREMOS!D:D=E4),0),0)),19,
         MATCH(H4,INDEX(BAREMOS!G:Y,MATCH(1,(BAREMOS!A:A=A4)*(BAREMOS!B:B=B4)*(BAREMOS!C:C="&amp;"C4)*(BAREMOS!D:D=E4),0),0),1)
      )
   )
)
,""""))
"),3.0)</f>
        <v>3</v>
      </c>
      <c r="K4" s="30">
        <f t="shared" si="1"/>
        <v>2</v>
      </c>
    </row>
    <row r="5">
      <c r="A5" s="23" t="str">
        <f t="array" ref="A5">IF(D5="","",IFERROR(INDEX(CONFIGURACION!C:C,MATCH(D5,CONFIGURACION!E:E,0)),""))
</f>
        <v>BCH</v>
      </c>
      <c r="B5" s="23">
        <f t="array" ref="B5">IF(D5="","",IFERROR(INDEX(CONFIGURACION!D:D,MATCH(D5,CONFIGURACION!E:E,0)),""))
</f>
        <v>1</v>
      </c>
      <c r="C5" s="26" t="s">
        <v>19</v>
      </c>
      <c r="D5" s="13" t="s">
        <v>89</v>
      </c>
      <c r="E5" s="27" t="s">
        <v>21</v>
      </c>
      <c r="F5" s="24" t="s">
        <v>95</v>
      </c>
      <c r="G5" s="27" t="s">
        <v>20</v>
      </c>
      <c r="H5" s="28">
        <v>144.0</v>
      </c>
      <c r="I5" s="29" t="str">
        <f>IFERROR(__xludf.DUMMYFUNCTION("IF(F5="""","""",LET(
  nombre, TRIM(F5),
  primer, REGEXEXTRACT(nombre, ""^\S+""),
  resto, TRIM(REGEXREPLACE(nombre, ""^\S+\s*"", """")),
  iniciales, IF(
    resto="""",
    """",
    TEXTJOIN("""",1,ARRAYFORMULA(LEFT(SPLIT(resto,"" ""),1) &amp; "".""))
  )"&amp;",
  UPPER(primer) &amp; "" "" &amp; UPPER(iniciales)
))"),"MANOLO D.C.")</f>
        <v>MANOLO D.C.</v>
      </c>
      <c r="J5" s="29">
        <f>IFERROR(__xludf.DUMMYFUNCTION("IF(H5="""","""",IFERROR(
IF(REGEXMATCH(E5,""VELOCIDAD""),
   IF(H5&gt;=MAX(INDEX(BAREMOS!G:Y,MATCH(1,(BAREMOS!A:A=A5)*(BAREMOS!B:B=B5)*(BAREMOS!C:C=C5)*(BAREMOS!D:D=E5),0),0)),1,
      IF(H5&lt;=MIN(INDEX(BAREMOS!G:Y,MATCH(1,(BAREMOS!A:A=A5)*(BAREMOS!B:B=B5)*(B"&amp;"AREMOS!C:C=C5)*(BAREMOS!D:D=E5),0),0)),19,
         MATCH(H5,INDEX(BAREMOS!G:Y,MATCH(1,(BAREMOS!A:A=A5)*(BAREMOS!B:B=B5)*(BAREMOS!C:C=C5)*(BAREMOS!D:D=E5),0),0),-1)
      )
   ),
   IF(H5&lt;=MIN(INDEX(BAREMOS!G:Y,MATCH(1,(BAREMOS!A:A=A5)*(BAREMOS!B:B=B5)*(B"&amp;"AREMOS!C:C=C5)*(BAREMOS!D:D=E5),0),0)),1,
      IF(H5&gt;=MAX(INDEX(BAREMOS!G:Y,MATCH(1,(BAREMOS!A:A=A5)*(BAREMOS!B:B=B5)*(BAREMOS!C:C=C5)*(BAREMOS!D:D=E5),0),0)),19,
         MATCH(H5,INDEX(BAREMOS!G:Y,MATCH(1,(BAREMOS!A:A=A5)*(BAREMOS!B:B=B5)*(BAREMOS!C:C="&amp;"C5)*(BAREMOS!D:D=E5),0),0),1)
      )
   )
)
,""""))
"),1.0)</f>
        <v>1</v>
      </c>
      <c r="K5" s="30">
        <f t="shared" si="1"/>
        <v>1</v>
      </c>
    </row>
    <row r="6">
      <c r="A6" s="23" t="str">
        <f t="array" ref="A6">IF(D6="","",IFERROR(INDEX(CONFIGURACION!C:C,MATCH(D6,CONFIGURACION!E:E,0)),""))
</f>
        <v>BCH</v>
      </c>
      <c r="B6" s="23">
        <f t="array" ref="B6">IF(D6="","",IFERROR(INDEX(CONFIGURACION!D:D,MATCH(D6,CONFIGURACION!E:E,0)),""))
</f>
        <v>1</v>
      </c>
      <c r="C6" s="26" t="s">
        <v>19</v>
      </c>
      <c r="D6" s="13" t="s">
        <v>89</v>
      </c>
      <c r="E6" s="27" t="s">
        <v>21</v>
      </c>
      <c r="F6" s="24" t="s">
        <v>95</v>
      </c>
      <c r="G6" s="27" t="s">
        <v>20</v>
      </c>
      <c r="H6" s="28">
        <v>10.0</v>
      </c>
      <c r="I6" s="29" t="str">
        <f>IFERROR(__xludf.DUMMYFUNCTION("IF(F6="""","""",LET(
  nombre, TRIM(F6),
  primer, REGEXEXTRACT(nombre, ""^\S+""),
  resto, TRIM(REGEXREPLACE(nombre, ""^\S+\s*"", """")),
  iniciales, IF(
    resto="""",
    """",
    TEXTJOIN("""",1,ARRAYFORMULA(LEFT(SPLIT(resto,"" ""),1) &amp; "".""))
  )"&amp;",
  UPPER(primer) &amp; "" "" &amp; UPPER(iniciales)
))"),"MANOLO D.C.")</f>
        <v>MANOLO D.C.</v>
      </c>
      <c r="J6" s="29">
        <f>IFERROR(__xludf.DUMMYFUNCTION("IF(H6="""","""",IFERROR(
IF(REGEXMATCH(E6,""VELOCIDAD""),
   IF(H6&gt;=MAX(INDEX(BAREMOS!G:Y,MATCH(1,(BAREMOS!A:A=A6)*(BAREMOS!B:B=B6)*(BAREMOS!C:C=C6)*(BAREMOS!D:D=E6),0),0)),1,
      IF(H6&lt;=MIN(INDEX(BAREMOS!G:Y,MATCH(1,(BAREMOS!A:A=A6)*(BAREMOS!B:B=B6)*(B"&amp;"AREMOS!C:C=C6)*(BAREMOS!D:D=E6),0),0)),19,
         MATCH(H6,INDEX(BAREMOS!G:Y,MATCH(1,(BAREMOS!A:A=A6)*(BAREMOS!B:B=B6)*(BAREMOS!C:C=C6)*(BAREMOS!D:D=E6),0),0),-1)
      )
   ),
   IF(H6&lt;=MIN(INDEX(BAREMOS!G:Y,MATCH(1,(BAREMOS!A:A=A6)*(BAREMOS!B:B=B6)*(B"&amp;"AREMOS!C:C=C6)*(BAREMOS!D:D=E6),0),0)),1,
      IF(H6&gt;=MAX(INDEX(BAREMOS!G:Y,MATCH(1,(BAREMOS!A:A=A6)*(BAREMOS!B:B=B6)*(BAREMOS!C:C=C6)*(BAREMOS!D:D=E6),0),0)),19,
         MATCH(H6,INDEX(BAREMOS!G:Y,MATCH(1,(BAREMOS!A:A=A6)*(BAREMOS!B:B=B6)*(BAREMOS!C:C="&amp;"C6)*(BAREMOS!D:D=E6),0),0),1)
      )
   )
)
,""""))
"),1.0)</f>
        <v>1</v>
      </c>
      <c r="K6" s="30">
        <f t="shared" si="1"/>
        <v>1</v>
      </c>
    </row>
    <row r="7">
      <c r="A7" s="23" t="str">
        <f t="array" ref="A7">IF(D7="","",IFERROR(INDEX(CONFIGURACION!C:C,MATCH(D7,CONFIGURACION!E:E,0)),""))
</f>
        <v>BCH</v>
      </c>
      <c r="B7" s="23">
        <f t="array" ref="B7">IF(D7="","",IFERROR(INDEX(CONFIGURACION!D:D,MATCH(D7,CONFIGURACION!E:E,0)),""))
</f>
        <v>1</v>
      </c>
      <c r="C7" s="26" t="s">
        <v>19</v>
      </c>
      <c r="D7" s="13" t="s">
        <v>89</v>
      </c>
      <c r="E7" s="27" t="s">
        <v>33</v>
      </c>
      <c r="F7" s="24" t="s">
        <v>96</v>
      </c>
      <c r="G7" s="27" t="s">
        <v>20</v>
      </c>
      <c r="H7" s="28">
        <v>15.0</v>
      </c>
      <c r="I7" s="29" t="str">
        <f>IFERROR(__xludf.DUMMYFUNCTION("IF(F7="""","""",LET(
  nombre, TRIM(F7),
  primer, REGEXEXTRACT(nombre, ""^\S+""),
  resto, TRIM(REGEXREPLACE(nombre, ""^\S+\s*"", """")),
  iniciales, IF(
    resto="""",
    """",
    TEXTJOIN("""",1,ARRAYFORMULA(LEFT(SPLIT(resto,"" ""),1) &amp; "".""))
  )"&amp;",
  UPPER(primer) &amp; "" "" &amp; UPPER(iniciales)
))"),"JUAN C.H.M.")</f>
        <v>JUAN C.H.M.</v>
      </c>
      <c r="J7" s="29">
        <f>IFERROR(__xludf.DUMMYFUNCTION("IF(H7="""","""",IFERROR(
IF(REGEXMATCH(E7,""VELOCIDAD""),
   IF(H7&gt;=MAX(INDEX(BAREMOS!G:Y,MATCH(1,(BAREMOS!A:A=A7)*(BAREMOS!B:B=B7)*(BAREMOS!C:C=C7)*(BAREMOS!D:D=E7),0),0)),1,
      IF(H7&lt;=MIN(INDEX(BAREMOS!G:Y,MATCH(1,(BAREMOS!A:A=A7)*(BAREMOS!B:B=B7)*(B"&amp;"AREMOS!C:C=C7)*(BAREMOS!D:D=E7),0),0)),19,
         MATCH(H7,INDEX(BAREMOS!G:Y,MATCH(1,(BAREMOS!A:A=A7)*(BAREMOS!B:B=B7)*(BAREMOS!C:C=C7)*(BAREMOS!D:D=E7),0),0),-1)
      )
   ),
   IF(H7&lt;=MIN(INDEX(BAREMOS!G:Y,MATCH(1,(BAREMOS!A:A=A7)*(BAREMOS!B:B=B7)*(B"&amp;"AREMOS!C:C=C7)*(BAREMOS!D:D=E7),0),0)),1,
      IF(H7&gt;=MAX(INDEX(BAREMOS!G:Y,MATCH(1,(BAREMOS!A:A=A7)*(BAREMOS!B:B=B7)*(BAREMOS!C:C=C7)*(BAREMOS!D:D=E7),0),0)),19,
         MATCH(H7,INDEX(BAREMOS!G:Y,MATCH(1,(BAREMOS!A:A=A7)*(BAREMOS!B:B=B7)*(BAREMOS!C:C="&amp;"C7)*(BAREMOS!D:D=E7),0),0),1)
      )
   )
)
,""""))
"),11.0)</f>
        <v>11</v>
      </c>
      <c r="K7" s="30">
        <f t="shared" si="1"/>
        <v>6</v>
      </c>
    </row>
    <row r="8">
      <c r="A8" s="23" t="str">
        <f t="array" ref="A8">IF(D8="","",IFERROR(INDEX(CONFIGURACION!C:C,MATCH(D8,CONFIGURACION!E:E,0)),""))
</f>
        <v>BCH</v>
      </c>
      <c r="B8" s="23">
        <f t="array" ref="B8">IF(D8="","",IFERROR(INDEX(CONFIGURACION!D:D,MATCH(D8,CONFIGURACION!E:E,0)),""))
</f>
        <v>1</v>
      </c>
      <c r="C8" s="26" t="s">
        <v>19</v>
      </c>
      <c r="D8" s="13" t="s">
        <v>89</v>
      </c>
      <c r="E8" s="27" t="s">
        <v>41</v>
      </c>
      <c r="F8" s="24" t="s">
        <v>96</v>
      </c>
      <c r="G8" s="27" t="s">
        <v>20</v>
      </c>
      <c r="H8" s="28">
        <v>20.0</v>
      </c>
      <c r="I8" s="29" t="str">
        <f>IFERROR(__xludf.DUMMYFUNCTION("IF(F8="""","""",LET(
  nombre, TRIM(F8),
  primer, REGEXEXTRACT(nombre, ""^\S+""),
  resto, TRIM(REGEXREPLACE(nombre, ""^\S+\s*"", """")),
  iniciales, IF(
    resto="""",
    """",
    TEXTJOIN("""",1,ARRAYFORMULA(LEFT(SPLIT(resto,"" ""),1) &amp; "".""))
  )"&amp;",
  UPPER(primer) &amp; "" "" &amp; UPPER(iniciales)
))"),"JUAN C.H.M.")</f>
        <v>JUAN C.H.M.</v>
      </c>
      <c r="J8" s="29">
        <f>IFERROR(__xludf.DUMMYFUNCTION("IF(H8="""","""",IFERROR(
IF(REGEXMATCH(E8,""VELOCIDAD""),
   IF(H8&gt;=MAX(INDEX(BAREMOS!G:Y,MATCH(1,(BAREMOS!A:A=A8)*(BAREMOS!B:B=B8)*(BAREMOS!C:C=C8)*(BAREMOS!D:D=E8),0),0)),1,
      IF(H8&lt;=MIN(INDEX(BAREMOS!G:Y,MATCH(1,(BAREMOS!A:A=A8)*(BAREMOS!B:B=B8)*(B"&amp;"AREMOS!C:C=C8)*(BAREMOS!D:D=E8),0),0)),19,
         MATCH(H8,INDEX(BAREMOS!G:Y,MATCH(1,(BAREMOS!A:A=A8)*(BAREMOS!B:B=B8)*(BAREMOS!C:C=C8)*(BAREMOS!D:D=E8),0),0),-1)
      )
   ),
   IF(H8&lt;=MIN(INDEX(BAREMOS!G:Y,MATCH(1,(BAREMOS!A:A=A8)*(BAREMOS!B:B=B8)*(B"&amp;"AREMOS!C:C=C8)*(BAREMOS!D:D=E8),0),0)),1,
      IF(H8&gt;=MAX(INDEX(BAREMOS!G:Y,MATCH(1,(BAREMOS!A:A=A8)*(BAREMOS!B:B=B8)*(BAREMOS!C:C=C8)*(BAREMOS!D:D=E8),0),0)),19,
         MATCH(H8,INDEX(BAREMOS!G:Y,MATCH(1,(BAREMOS!A:A=A8)*(BAREMOS!B:B=B8)*(BAREMOS!C:C="&amp;"C8)*(BAREMOS!D:D=E8),0),0),1)
      )
   )
)
,""""))
"),6.0)</f>
        <v>6</v>
      </c>
      <c r="K8" s="30">
        <f t="shared" si="1"/>
        <v>3.5</v>
      </c>
    </row>
    <row r="9">
      <c r="A9" s="23" t="str">
        <f t="array" ref="A9">IF(D9="","",IFERROR(INDEX(CONFIGURACION!C:C,MATCH(D9,CONFIGURACION!E:E,0)),""))
</f>
        <v>BCH</v>
      </c>
      <c r="B9" s="23">
        <f t="array" ref="B9">IF(D9="","",IFERROR(INDEX(CONFIGURACION!D:D,MATCH(D9,CONFIGURACION!E:E,0)),""))
</f>
        <v>1</v>
      </c>
      <c r="C9" s="26" t="s">
        <v>19</v>
      </c>
      <c r="D9" s="13" t="s">
        <v>89</v>
      </c>
      <c r="E9" s="27" t="s">
        <v>49</v>
      </c>
      <c r="F9" s="24" t="s">
        <v>96</v>
      </c>
      <c r="G9" s="27" t="s">
        <v>20</v>
      </c>
      <c r="H9" s="28">
        <v>25.0</v>
      </c>
      <c r="I9" s="29" t="str">
        <f>IFERROR(__xludf.DUMMYFUNCTION("IF(F9="""","""",LET(
  nombre, TRIM(F9),
  primer, REGEXEXTRACT(nombre, ""^\S+""),
  resto, TRIM(REGEXREPLACE(nombre, ""^\S+\s*"", """")),
  iniciales, IF(
    resto="""",
    """",
    TEXTJOIN("""",1,ARRAYFORMULA(LEFT(SPLIT(resto,"" ""),1) &amp; "".""))
  )"&amp;",
  UPPER(primer) &amp; "" "" &amp; UPPER(iniciales)
))"),"JUAN C.H.M.")</f>
        <v>JUAN C.H.M.</v>
      </c>
      <c r="J9" s="29">
        <f>IFERROR(__xludf.DUMMYFUNCTION("IF(H9="""","""",IFERROR(
IF(REGEXMATCH(E9,""VELOCIDAD""),
   IF(H9&gt;=MAX(INDEX(BAREMOS!G:Y,MATCH(1,(BAREMOS!A:A=A9)*(BAREMOS!B:B=B9)*(BAREMOS!C:C=C9)*(BAREMOS!D:D=E9),0),0)),1,
      IF(H9&lt;=MIN(INDEX(BAREMOS!G:Y,MATCH(1,(BAREMOS!A:A=A9)*(BAREMOS!B:B=B9)*(B"&amp;"AREMOS!C:C=C9)*(BAREMOS!D:D=E9),0),0)),19,
         MATCH(H9,INDEX(BAREMOS!G:Y,MATCH(1,(BAREMOS!A:A=A9)*(BAREMOS!B:B=B9)*(BAREMOS!C:C=C9)*(BAREMOS!D:D=E9),0),0),-1)
      )
   ),
   IF(H9&lt;=MIN(INDEX(BAREMOS!G:Y,MATCH(1,(BAREMOS!A:A=A9)*(BAREMOS!B:B=B9)*(B"&amp;"AREMOS!C:C=C9)*(BAREMOS!D:D=E9),0),0)),1,
      IF(H9&gt;=MAX(INDEX(BAREMOS!G:Y,MATCH(1,(BAREMOS!A:A=A9)*(BAREMOS!B:B=B9)*(BAREMOS!C:C=C9)*(BAREMOS!D:D=E9),0),0)),19,
         MATCH(H9,INDEX(BAREMOS!G:Y,MATCH(1,(BAREMOS!A:A=A9)*(BAREMOS!B:B=B9)*(BAREMOS!C:C="&amp;"C9)*(BAREMOS!D:D=E9),0),0),1)
      )
   )
)
,""""))
"),1.0)</f>
        <v>1</v>
      </c>
      <c r="K9" s="30">
        <f t="shared" si="1"/>
        <v>1</v>
      </c>
    </row>
    <row r="10">
      <c r="A10" s="23" t="str">
        <f t="array" ref="A10">IF(D10="","",IFERROR(INDEX(CONFIGURACION!C:C,MATCH(D10,CONFIGURACION!E:E,0)),""))
</f>
        <v>BCH</v>
      </c>
      <c r="B10" s="23">
        <f t="array" ref="B10">IF(D10="","",IFERROR(INDEX(CONFIGURACION!D:D,MATCH(D10,CONFIGURACION!E:E,0)),""))
</f>
        <v>1</v>
      </c>
      <c r="C10" s="26" t="s">
        <v>19</v>
      </c>
      <c r="D10" s="13" t="s">
        <v>89</v>
      </c>
      <c r="E10" s="27" t="s">
        <v>56</v>
      </c>
      <c r="F10" s="24" t="s">
        <v>96</v>
      </c>
      <c r="G10" s="27" t="s">
        <v>20</v>
      </c>
      <c r="H10" s="28">
        <v>30.0</v>
      </c>
      <c r="I10" s="29" t="str">
        <f>IFERROR(__xludf.DUMMYFUNCTION("IF(F10="""","""",LET(
  nombre, TRIM(F10),
  primer, REGEXEXTRACT(nombre, ""^\S+""),
  resto, TRIM(REGEXREPLACE(nombre, ""^\S+\s*"", """")),
  iniciales, IF(
    resto="""",
    """",
    TEXTJOIN("""",1,ARRAYFORMULA(LEFT(SPLIT(resto,"" ""),1) &amp; "".""))
 "&amp;" ),
  UPPER(primer) &amp; "" "" &amp; UPPER(iniciales)
))"),"JUAN C.H.M.")</f>
        <v>JUAN C.H.M.</v>
      </c>
      <c r="J10" s="29">
        <f>IFERROR(__xludf.DUMMYFUNCTION("IF(H10="""","""",IFERROR(
IF(REGEXMATCH(E10,""VELOCIDAD""),
   IF(H10&gt;=MAX(INDEX(BAREMOS!G:Y,MATCH(1,(BAREMOS!A:A=A10)*(BAREMOS!B:B=B10)*(BAREMOS!C:C=C10)*(BAREMOS!D:D=E10),0),0)),1,
      IF(H10&lt;=MIN(INDEX(BAREMOS!G:Y,MATCH(1,(BAREMOS!A:A=A10)*(BAREMOS!B"&amp;":B=B10)*(BAREMOS!C:C=C10)*(BAREMOS!D:D=E10),0),0)),19,
         MATCH(H10,INDEX(BAREMOS!G:Y,MATCH(1,(BAREMOS!A:A=A10)*(BAREMOS!B:B=B10)*(BAREMOS!C:C=C10)*(BAREMOS!D:D=E10),0),0),-1)
      )
   ),
   IF(H10&lt;=MIN(INDEX(BAREMOS!G:Y,MATCH(1,(BAREMOS!A:A=A10)*"&amp;"(BAREMOS!B:B=B10)*(BAREMOS!C:C=C10)*(BAREMOS!D:D=E10),0),0)),1,
      IF(H10&gt;=MAX(INDEX(BAREMOS!G:Y,MATCH(1,(BAREMOS!A:A=A10)*(BAREMOS!B:B=B10)*(BAREMOS!C:C=C10)*(BAREMOS!D:D=E10),0),0)),19,
         MATCH(H10,INDEX(BAREMOS!G:Y,MATCH(1,(BAREMOS!A:A=A10)*("&amp;"BAREMOS!B:B=B10)*(BAREMOS!C:C=C10)*(BAREMOS!D:D=E10),0),0),1)
      )
   )
)
,""""))
"),1.0)</f>
        <v>1</v>
      </c>
      <c r="K10" s="30">
        <f t="shared" si="1"/>
        <v>1</v>
      </c>
    </row>
    <row r="11">
      <c r="A11" s="23" t="str">
        <f t="array" ref="A11">IF(D11="","",IFERROR(INDEX(CONFIGURACION!C:C,MATCH(D11,CONFIGURACION!E:E,0)),""))
</f>
        <v>BCH</v>
      </c>
      <c r="B11" s="23">
        <f t="array" ref="B11">IF(D11="","",IFERROR(INDEX(CONFIGURACION!D:D,MATCH(D11,CONFIGURACION!E:E,0)),""))
</f>
        <v>1</v>
      </c>
      <c r="C11" s="26" t="s">
        <v>19</v>
      </c>
      <c r="D11" s="13" t="s">
        <v>89</v>
      </c>
      <c r="E11" s="27" t="s">
        <v>62</v>
      </c>
      <c r="F11" s="24" t="s">
        <v>96</v>
      </c>
      <c r="G11" s="27" t="s">
        <v>20</v>
      </c>
      <c r="H11" s="28">
        <v>35.0</v>
      </c>
      <c r="I11" s="29" t="str">
        <f>IFERROR(__xludf.DUMMYFUNCTION("IF(F11="""","""",LET(
  nombre, TRIM(F11),
  primer, REGEXEXTRACT(nombre, ""^\S+""),
  resto, TRIM(REGEXREPLACE(nombre, ""^\S+\s*"", """")),
  iniciales, IF(
    resto="""",
    """",
    TEXTJOIN("""",1,ARRAYFORMULA(LEFT(SPLIT(resto,"" ""),1) &amp; "".""))
 "&amp;" ),
  UPPER(primer) &amp; "" "" &amp; UPPER(iniciales)
))"),"JUAN C.H.M.")</f>
        <v>JUAN C.H.M.</v>
      </c>
      <c r="J11" s="29">
        <f>IFERROR(__xludf.DUMMYFUNCTION("IF(H11="""","""",IFERROR(
IF(REGEXMATCH(E11,""VELOCIDAD""),
   IF(H11&gt;=MAX(INDEX(BAREMOS!G:Y,MATCH(1,(BAREMOS!A:A=A11)*(BAREMOS!B:B=B11)*(BAREMOS!C:C=C11)*(BAREMOS!D:D=E11),0),0)),1,
      IF(H11&lt;=MIN(INDEX(BAREMOS!G:Y,MATCH(1,(BAREMOS!A:A=A11)*(BAREMOS!B"&amp;":B=B11)*(BAREMOS!C:C=C11)*(BAREMOS!D:D=E11),0),0)),19,
         MATCH(H11,INDEX(BAREMOS!G:Y,MATCH(1,(BAREMOS!A:A=A11)*(BAREMOS!B:B=B11)*(BAREMOS!C:C=C11)*(BAREMOS!D:D=E11),0),0),-1)
      )
   ),
   IF(H11&lt;=MIN(INDEX(BAREMOS!G:Y,MATCH(1,(BAREMOS!A:A=A11)*"&amp;"(BAREMOS!B:B=B11)*(BAREMOS!C:C=C11)*(BAREMOS!D:D=E11),0),0)),1,
      IF(H11&gt;=MAX(INDEX(BAREMOS!G:Y,MATCH(1,(BAREMOS!A:A=A11)*(BAREMOS!B:B=B11)*(BAREMOS!C:C=C11)*(BAREMOS!D:D=E11),0),0)),19,
         MATCH(H11,INDEX(BAREMOS!G:Y,MATCH(1,(BAREMOS!A:A=A11)*("&amp;"BAREMOS!B:B=B11)*(BAREMOS!C:C=C11)*(BAREMOS!D:D=E11),0),0),1)
      )
   )
)
,""""))
"),1.0)</f>
        <v>1</v>
      </c>
      <c r="K11" s="30">
        <f t="shared" si="1"/>
        <v>1</v>
      </c>
    </row>
    <row r="12">
      <c r="A12" s="23" t="str">
        <f t="array" ref="A12">IF(D12="","",IFERROR(INDEX(CONFIGURACION!C:C,MATCH(D12,CONFIGURACION!E:E,0)),""))
</f>
        <v>BCH</v>
      </c>
      <c r="B12" s="23">
        <f t="array" ref="B12">IF(D12="","",IFERROR(INDEX(CONFIGURACION!D:D,MATCH(D12,CONFIGURACION!E:E,0)),""))
</f>
        <v>1</v>
      </c>
      <c r="C12" s="26" t="s">
        <v>19</v>
      </c>
      <c r="D12" s="13" t="s">
        <v>89</v>
      </c>
      <c r="E12" s="27" t="s">
        <v>70</v>
      </c>
      <c r="F12" s="24" t="s">
        <v>96</v>
      </c>
      <c r="G12" s="27" t="s">
        <v>20</v>
      </c>
      <c r="H12" s="28">
        <v>40.0</v>
      </c>
      <c r="I12" s="29" t="str">
        <f>IFERROR(__xludf.DUMMYFUNCTION("IF(F12="""","""",LET(
  nombre, TRIM(F12),
  primer, REGEXEXTRACT(nombre, ""^\S+""),
  resto, TRIM(REGEXREPLACE(nombre, ""^\S+\s*"", """")),
  iniciales, IF(
    resto="""",
    """",
    TEXTJOIN("""",1,ARRAYFORMULA(LEFT(SPLIT(resto,"" ""),1) &amp; "".""))
 "&amp;" ),
  UPPER(primer) &amp; "" "" &amp; UPPER(iniciales)
))"),"JUAN C.H.M.")</f>
        <v>JUAN C.H.M.</v>
      </c>
      <c r="J12" s="29">
        <f>IFERROR(__xludf.DUMMYFUNCTION("IF(H12="""","""",IFERROR(
IF(REGEXMATCH(E12,""VELOCIDAD""),
   IF(H12&gt;=MAX(INDEX(BAREMOS!G:Y,MATCH(1,(BAREMOS!A:A=A12)*(BAREMOS!B:B=B12)*(BAREMOS!C:C=C12)*(BAREMOS!D:D=E12),0),0)),1,
      IF(H12&lt;=MIN(INDEX(BAREMOS!G:Y,MATCH(1,(BAREMOS!A:A=A12)*(BAREMOS!B"&amp;":B=B12)*(BAREMOS!C:C=C12)*(BAREMOS!D:D=E12),0),0)),19,
         MATCH(H12,INDEX(BAREMOS!G:Y,MATCH(1,(BAREMOS!A:A=A12)*(BAREMOS!B:B=B12)*(BAREMOS!C:C=C12)*(BAREMOS!D:D=E12),0),0),-1)
      )
   ),
   IF(H12&lt;=MIN(INDEX(BAREMOS!G:Y,MATCH(1,(BAREMOS!A:A=A12)*"&amp;"(BAREMOS!B:B=B12)*(BAREMOS!C:C=C12)*(BAREMOS!D:D=E12),0),0)),1,
      IF(H12&gt;=MAX(INDEX(BAREMOS!G:Y,MATCH(1,(BAREMOS!A:A=A12)*(BAREMOS!B:B=B12)*(BAREMOS!C:C=C12)*(BAREMOS!D:D=E12),0),0)),19,
         MATCH(H12,INDEX(BAREMOS!G:Y,MATCH(1,(BAREMOS!A:A=A12)*("&amp;"BAREMOS!B:B=B12)*(BAREMOS!C:C=C12)*(BAREMOS!D:D=E12),0),0),1)
      )
   )
)
,""""))
"),19.0)</f>
        <v>19</v>
      </c>
      <c r="K12" s="30">
        <f t="shared" si="1"/>
        <v>10</v>
      </c>
    </row>
    <row r="13">
      <c r="A13" s="23" t="str">
        <f t="array" ref="A13">IF(D13="","",IFERROR(INDEX(CONFIGURACION!C:C,MATCH(D13,CONFIGURACION!E:E,0)),""))
</f>
        <v>BCH</v>
      </c>
      <c r="B13" s="23">
        <f t="array" ref="B13">IF(D13="","",IFERROR(INDEX(CONFIGURACION!D:D,MATCH(D13,CONFIGURACION!E:E,0)),""))
</f>
        <v>1</v>
      </c>
      <c r="C13" s="26" t="s">
        <v>19</v>
      </c>
      <c r="D13" s="13" t="s">
        <v>89</v>
      </c>
      <c r="E13" s="27" t="s">
        <v>77</v>
      </c>
      <c r="F13" s="24" t="s">
        <v>96</v>
      </c>
      <c r="G13" s="27" t="s">
        <v>20</v>
      </c>
      <c r="H13" s="28">
        <v>45.0</v>
      </c>
      <c r="I13" s="29" t="str">
        <f>IFERROR(__xludf.DUMMYFUNCTION("IF(F13="""","""",LET(
  nombre, TRIM(F13),
  primer, REGEXEXTRACT(nombre, ""^\S+""),
  resto, TRIM(REGEXREPLACE(nombre, ""^\S+\s*"", """")),
  iniciales, IF(
    resto="""",
    """",
    TEXTJOIN("""",1,ARRAYFORMULA(LEFT(SPLIT(resto,"" ""),1) &amp; "".""))
 "&amp;" ),
  UPPER(primer) &amp; "" "" &amp; UPPER(iniciales)
))"),"JUAN C.H.M.")</f>
        <v>JUAN C.H.M.</v>
      </c>
      <c r="J13" s="29" t="str">
        <f>IFERROR(__xludf.DUMMYFUNCTION("IF(H13="""","""",IFERROR(
IF(REGEXMATCH(E13,""VELOCIDAD""),
   IF(H13&gt;=MAX(INDEX(BAREMOS!G:Y,MATCH(1,(BAREMOS!A:A=A13)*(BAREMOS!B:B=B13)*(BAREMOS!C:C=C13)*(BAREMOS!D:D=E13),0),0)),1,
      IF(H13&lt;=MIN(INDEX(BAREMOS!G:Y,MATCH(1,(BAREMOS!A:A=A13)*(BAREMOS!B"&amp;":B=B13)*(BAREMOS!C:C=C13)*(BAREMOS!D:D=E13),0),0)),19,
         MATCH(H13,INDEX(BAREMOS!G:Y,MATCH(1,(BAREMOS!A:A=A13)*(BAREMOS!B:B=B13)*(BAREMOS!C:C=C13)*(BAREMOS!D:D=E13),0),0),-1)
      )
   ),
   IF(H13&lt;=MIN(INDEX(BAREMOS!G:Y,MATCH(1,(BAREMOS!A:A=A13)*"&amp;"(BAREMOS!B:B=B13)*(BAREMOS!C:C=C13)*(BAREMOS!D:D=E13),0),0)),1,
      IF(H13&gt;=MAX(INDEX(BAREMOS!G:Y,MATCH(1,(BAREMOS!A:A=A13)*(BAREMOS!B:B=B13)*(BAREMOS!C:C=C13)*(BAREMOS!D:D=E13),0),0)),19,
         MATCH(H13,INDEX(BAREMOS!G:Y,MATCH(1,(BAREMOS!A:A=A13)*("&amp;"BAREMOS!B:B=B13)*(BAREMOS!C:C=C13)*(BAREMOS!D:D=E13),0),0),1)
      )
   )
)
,""""))
"),"")</f>
        <v/>
      </c>
      <c r="K13" s="30" t="str">
        <f t="shared" si="1"/>
        <v/>
      </c>
    </row>
    <row r="14">
      <c r="A14" s="23" t="str">
        <f t="array" ref="A14">IF(D14="","",IFERROR(INDEX(CONFIGURACION!C:C,MATCH(D14,CONFIGURACION!E:E,0)),""))
</f>
        <v>BCH</v>
      </c>
      <c r="B14" s="23">
        <f t="array" ref="B14">IF(D14="","",IFERROR(INDEX(CONFIGURACION!D:D,MATCH(D14,CONFIGURACION!E:E,0)),""))
</f>
        <v>1</v>
      </c>
      <c r="C14" s="26" t="s">
        <v>19</v>
      </c>
      <c r="D14" s="13" t="s">
        <v>89</v>
      </c>
      <c r="E14" s="27" t="s">
        <v>21</v>
      </c>
      <c r="F14" s="24" t="s">
        <v>97</v>
      </c>
      <c r="G14" s="27" t="s">
        <v>20</v>
      </c>
      <c r="H14" s="28">
        <v>1.0</v>
      </c>
      <c r="I14" s="29" t="str">
        <f>IFERROR(__xludf.DUMMYFUNCTION("IF(F14="""","""",LET(
  nombre, TRIM(F14),
  primer, REGEXEXTRACT(nombre, ""^\S+""),
  resto, TRIM(REGEXREPLACE(nombre, ""^\S+\s*"", """")),
  iniciales, IF(
    resto="""",
    """",
    TEXTJOIN("""",1,ARRAYFORMULA(LEFT(SPLIT(resto,"" ""),1) &amp; "".""))
 "&amp;" ),
  UPPER(primer) &amp; "" "" &amp; UPPER(iniciales)
))"),"GERARDO H.C.")</f>
        <v>GERARDO H.C.</v>
      </c>
      <c r="J14" s="29">
        <f>IFERROR(__xludf.DUMMYFUNCTION("IF(H14="""","""",IFERROR(
IF(REGEXMATCH(E14,""VELOCIDAD""),
   IF(H14&gt;=MAX(INDEX(BAREMOS!G:Y,MATCH(1,(BAREMOS!A:A=A14)*(BAREMOS!B:B=B14)*(BAREMOS!C:C=C14)*(BAREMOS!D:D=E14),0),0)),1,
      IF(H14&lt;=MIN(INDEX(BAREMOS!G:Y,MATCH(1,(BAREMOS!A:A=A14)*(BAREMOS!B"&amp;":B=B14)*(BAREMOS!C:C=C14)*(BAREMOS!D:D=E14),0),0)),19,
         MATCH(H14,INDEX(BAREMOS!G:Y,MATCH(1,(BAREMOS!A:A=A14)*(BAREMOS!B:B=B14)*(BAREMOS!C:C=C14)*(BAREMOS!D:D=E14),0),0),-1)
      )
   ),
   IF(H14&lt;=MIN(INDEX(BAREMOS!G:Y,MATCH(1,(BAREMOS!A:A=A14)*"&amp;"(BAREMOS!B:B=B14)*(BAREMOS!C:C=C14)*(BAREMOS!D:D=E14),0),0)),1,
      IF(H14&gt;=MAX(INDEX(BAREMOS!G:Y,MATCH(1,(BAREMOS!A:A=A14)*(BAREMOS!B:B=B14)*(BAREMOS!C:C=C14)*(BAREMOS!D:D=E14),0),0)),19,
         MATCH(H14,INDEX(BAREMOS!G:Y,MATCH(1,(BAREMOS!A:A=A14)*("&amp;"BAREMOS!B:B=B14)*(BAREMOS!C:C=C14)*(BAREMOS!D:D=E14),0),0),1)
      )
   )
)
,""""))
"),1.0)</f>
        <v>1</v>
      </c>
      <c r="K14" s="30">
        <f t="shared" si="1"/>
        <v>1</v>
      </c>
    </row>
    <row r="15">
      <c r="A15" s="23" t="str">
        <f t="array" ref="A15">IF(D15="","",IFERROR(INDEX(CONFIGURACION!C:C,MATCH(D15,CONFIGURACION!E:E,0)),""))
</f>
        <v>BCH</v>
      </c>
      <c r="B15" s="23">
        <f t="array" ref="B15">IF(D15="","",IFERROR(INDEX(CONFIGURACION!D:D,MATCH(D15,CONFIGURACION!E:E,0)),""))
</f>
        <v>1</v>
      </c>
      <c r="C15" s="26" t="s">
        <v>19</v>
      </c>
      <c r="D15" s="13" t="s">
        <v>89</v>
      </c>
      <c r="E15" s="27" t="s">
        <v>33</v>
      </c>
      <c r="F15" s="24" t="s">
        <v>97</v>
      </c>
      <c r="G15" s="27" t="s">
        <v>20</v>
      </c>
      <c r="H15" s="28">
        <v>23.0</v>
      </c>
      <c r="I15" s="29" t="str">
        <f>IFERROR(__xludf.DUMMYFUNCTION("IF(F15="""","""",LET(
  nombre, TRIM(F15),
  primer, REGEXEXTRACT(nombre, ""^\S+""),
  resto, TRIM(REGEXREPLACE(nombre, ""^\S+\s*"", """")),
  iniciales, IF(
    resto="""",
    """",
    TEXTJOIN("""",1,ARRAYFORMULA(LEFT(SPLIT(resto,"" ""),1) &amp; "".""))
 "&amp;" ),
  UPPER(primer) &amp; "" "" &amp; UPPER(iniciales)
))"),"GERARDO H.C.")</f>
        <v>GERARDO H.C.</v>
      </c>
      <c r="J15" s="29">
        <f>IFERROR(__xludf.DUMMYFUNCTION("IF(H15="""","""",IFERROR(
IF(REGEXMATCH(E15,""VELOCIDAD""),
   IF(H15&gt;=MAX(INDEX(BAREMOS!G:Y,MATCH(1,(BAREMOS!A:A=A15)*(BAREMOS!B:B=B15)*(BAREMOS!C:C=C15)*(BAREMOS!D:D=E15),0),0)),1,
      IF(H15&lt;=MIN(INDEX(BAREMOS!G:Y,MATCH(1,(BAREMOS!A:A=A15)*(BAREMOS!B"&amp;":B=B15)*(BAREMOS!C:C=C15)*(BAREMOS!D:D=E15),0),0)),19,
         MATCH(H15,INDEX(BAREMOS!G:Y,MATCH(1,(BAREMOS!A:A=A15)*(BAREMOS!B:B=B15)*(BAREMOS!C:C=C15)*(BAREMOS!D:D=E15),0),0),-1)
      )
   ),
   IF(H15&lt;=MIN(INDEX(BAREMOS!G:Y,MATCH(1,(BAREMOS!A:A=A15)*"&amp;"(BAREMOS!B:B=B15)*(BAREMOS!C:C=C15)*(BAREMOS!D:D=E15),0),0)),1,
      IF(H15&gt;=MAX(INDEX(BAREMOS!G:Y,MATCH(1,(BAREMOS!A:A=A15)*(BAREMOS!B:B=B15)*(BAREMOS!C:C=C15)*(BAREMOS!D:D=E15),0),0)),19,
         MATCH(H15,INDEX(BAREMOS!G:Y,MATCH(1,(BAREMOS!A:A=A15)*("&amp;"BAREMOS!B:B=B15)*(BAREMOS!C:C=C15)*(BAREMOS!D:D=E15),0),0),1)
      )
   )
)
,""""))
"),11.0)</f>
        <v>11</v>
      </c>
      <c r="K15" s="30">
        <f t="shared" si="1"/>
        <v>6</v>
      </c>
    </row>
    <row r="16">
      <c r="A16" s="23" t="str">
        <f t="array" ref="A16">IF(D16="","",IFERROR(INDEX(CONFIGURACION!C:C,MATCH(D16,CONFIGURACION!E:E,0)),""))
</f>
        <v>BCH</v>
      </c>
      <c r="B16" s="23">
        <f t="array" ref="B16">IF(D16="","",IFERROR(INDEX(CONFIGURACION!D:D,MATCH(D16,CONFIGURACION!E:E,0)),""))
</f>
        <v>1</v>
      </c>
      <c r="C16" s="26" t="s">
        <v>19</v>
      </c>
      <c r="D16" s="13" t="s">
        <v>89</v>
      </c>
      <c r="E16" s="27" t="s">
        <v>41</v>
      </c>
      <c r="F16" s="24" t="s">
        <v>97</v>
      </c>
      <c r="G16" s="27" t="s">
        <v>20</v>
      </c>
      <c r="H16" s="28">
        <v>3.0</v>
      </c>
      <c r="I16" s="29" t="str">
        <f>IFERROR(__xludf.DUMMYFUNCTION("IF(F16="""","""",LET(
  nombre, TRIM(F16),
  primer, REGEXEXTRACT(nombre, ""^\S+""),
  resto, TRIM(REGEXREPLACE(nombre, ""^\S+\s*"", """")),
  iniciales, IF(
    resto="""",
    """",
    TEXTJOIN("""",1,ARRAYFORMULA(LEFT(SPLIT(resto,"" ""),1) &amp; "".""))
 "&amp;" ),
  UPPER(primer) &amp; "" "" &amp; UPPER(iniciales)
))"),"GERARDO H.C.")</f>
        <v>GERARDO H.C.</v>
      </c>
      <c r="J16" s="29">
        <f>IFERROR(__xludf.DUMMYFUNCTION("IF(H16="""","""",IFERROR(
IF(REGEXMATCH(E16,""VELOCIDAD""),
   IF(H16&gt;=MAX(INDEX(BAREMOS!G:Y,MATCH(1,(BAREMOS!A:A=A16)*(BAREMOS!B:B=B16)*(BAREMOS!C:C=C16)*(BAREMOS!D:D=E16),0),0)),1,
      IF(H16&lt;=MIN(INDEX(BAREMOS!G:Y,MATCH(1,(BAREMOS!A:A=A16)*(BAREMOS!B"&amp;":B=B16)*(BAREMOS!C:C=C16)*(BAREMOS!D:D=E16),0),0)),19,
         MATCH(H16,INDEX(BAREMOS!G:Y,MATCH(1,(BAREMOS!A:A=A16)*(BAREMOS!B:B=B16)*(BAREMOS!C:C=C16)*(BAREMOS!D:D=E16),0),0),-1)
      )
   ),
   IF(H16&lt;=MIN(INDEX(BAREMOS!G:Y,MATCH(1,(BAREMOS!A:A=A16)*"&amp;"(BAREMOS!B:B=B16)*(BAREMOS!C:C=C16)*(BAREMOS!D:D=E16),0),0)),1,
      IF(H16&gt;=MAX(INDEX(BAREMOS!G:Y,MATCH(1,(BAREMOS!A:A=A16)*(BAREMOS!B:B=B16)*(BAREMOS!C:C=C16)*(BAREMOS!D:D=E16),0),0)),19,
         MATCH(H16,INDEX(BAREMOS!G:Y,MATCH(1,(BAREMOS!A:A=A16)*("&amp;"BAREMOS!B:B=B16)*(BAREMOS!C:C=C16)*(BAREMOS!D:D=E16),0),0),1)
      )
   )
)
,""""))
"),1.0)</f>
        <v>1</v>
      </c>
      <c r="K16" s="30">
        <f t="shared" si="1"/>
        <v>1</v>
      </c>
    </row>
    <row r="17">
      <c r="A17" s="23" t="str">
        <f t="array" ref="A17">IF(D17="","",IFERROR(INDEX(CONFIGURACION!C:C,MATCH(D17,CONFIGURACION!E:E,0)),""))
</f>
        <v>BCH</v>
      </c>
      <c r="B17" s="23">
        <f t="array" ref="B17">IF(D17="","",IFERROR(INDEX(CONFIGURACION!D:D,MATCH(D17,CONFIGURACION!E:E,0)),""))
</f>
        <v>1</v>
      </c>
      <c r="C17" s="26" t="s">
        <v>19</v>
      </c>
      <c r="D17" s="13" t="s">
        <v>89</v>
      </c>
      <c r="E17" s="27" t="s">
        <v>49</v>
      </c>
      <c r="F17" s="24" t="s">
        <v>97</v>
      </c>
      <c r="G17" s="27" t="s">
        <v>20</v>
      </c>
      <c r="H17" s="28">
        <v>4.0</v>
      </c>
      <c r="I17" s="29" t="str">
        <f>IFERROR(__xludf.DUMMYFUNCTION("IF(F17="""","""",LET(
  nombre, TRIM(F17),
  primer, REGEXEXTRACT(nombre, ""^\S+""),
  resto, TRIM(REGEXREPLACE(nombre, ""^\S+\s*"", """")),
  iniciales, IF(
    resto="""",
    """",
    TEXTJOIN("""",1,ARRAYFORMULA(LEFT(SPLIT(resto,"" ""),1) &amp; "".""))
 "&amp;" ),
  UPPER(primer) &amp; "" "" &amp; UPPER(iniciales)
))"),"GERARDO H.C.")</f>
        <v>GERARDO H.C.</v>
      </c>
      <c r="J17" s="29">
        <f>IFERROR(__xludf.DUMMYFUNCTION("IF(H17="""","""",IFERROR(
IF(REGEXMATCH(E17,""VELOCIDAD""),
   IF(H17&gt;=MAX(INDEX(BAREMOS!G:Y,MATCH(1,(BAREMOS!A:A=A17)*(BAREMOS!B:B=B17)*(BAREMOS!C:C=C17)*(BAREMOS!D:D=E17),0),0)),1,
      IF(H17&lt;=MIN(INDEX(BAREMOS!G:Y,MATCH(1,(BAREMOS!A:A=A17)*(BAREMOS!B"&amp;":B=B17)*(BAREMOS!C:C=C17)*(BAREMOS!D:D=E17),0),0)),19,
         MATCH(H17,INDEX(BAREMOS!G:Y,MATCH(1,(BAREMOS!A:A=A17)*(BAREMOS!B:B=B17)*(BAREMOS!C:C=C17)*(BAREMOS!D:D=E17),0),0),-1)
      )
   ),
   IF(H17&lt;=MIN(INDEX(BAREMOS!G:Y,MATCH(1,(BAREMOS!A:A=A17)*"&amp;"(BAREMOS!B:B=B17)*(BAREMOS!C:C=C17)*(BAREMOS!D:D=E17),0),0)),1,
      IF(H17&gt;=MAX(INDEX(BAREMOS!G:Y,MATCH(1,(BAREMOS!A:A=A17)*(BAREMOS!B:B=B17)*(BAREMOS!C:C=C17)*(BAREMOS!D:D=E17),0),0)),19,
         MATCH(H17,INDEX(BAREMOS!G:Y,MATCH(1,(BAREMOS!A:A=A17)*("&amp;"BAREMOS!B:B=B17)*(BAREMOS!C:C=C17)*(BAREMOS!D:D=E17),0),0),1)
      )
   )
)
,""""))
"),1.0)</f>
        <v>1</v>
      </c>
      <c r="K17" s="30">
        <f t="shared" si="1"/>
        <v>1</v>
      </c>
    </row>
    <row r="18">
      <c r="A18" s="23" t="str">
        <f t="array" ref="A18">IF(D18="","",IFERROR(INDEX(CONFIGURACION!C:C,MATCH(D18,CONFIGURACION!E:E,0)),""))
</f>
        <v>BCH</v>
      </c>
      <c r="B18" s="23">
        <f t="array" ref="B18">IF(D18="","",IFERROR(INDEX(CONFIGURACION!D:D,MATCH(D18,CONFIGURACION!E:E,0)),""))
</f>
        <v>1</v>
      </c>
      <c r="C18" s="26" t="s">
        <v>19</v>
      </c>
      <c r="D18" s="13" t="s">
        <v>89</v>
      </c>
      <c r="E18" s="27" t="s">
        <v>56</v>
      </c>
      <c r="F18" s="24" t="s">
        <v>97</v>
      </c>
      <c r="G18" s="27" t="s">
        <v>20</v>
      </c>
      <c r="H18" s="28">
        <v>5.0</v>
      </c>
      <c r="I18" s="29" t="str">
        <f>IFERROR(__xludf.DUMMYFUNCTION("IF(F18="""","""",LET(
  nombre, TRIM(F18),
  primer, REGEXEXTRACT(nombre, ""^\S+""),
  resto, TRIM(REGEXREPLACE(nombre, ""^\S+\s*"", """")),
  iniciales, IF(
    resto="""",
    """",
    TEXTJOIN("""",1,ARRAYFORMULA(LEFT(SPLIT(resto,"" ""),1) &amp; "".""))
 "&amp;" ),
  UPPER(primer) &amp; "" "" &amp; UPPER(iniciales)
))"),"GERARDO H.C.")</f>
        <v>GERARDO H.C.</v>
      </c>
      <c r="J18" s="29">
        <f>IFERROR(__xludf.DUMMYFUNCTION("IF(H18="""","""",IFERROR(
IF(REGEXMATCH(E18,""VELOCIDAD""),
   IF(H18&gt;=MAX(INDEX(BAREMOS!G:Y,MATCH(1,(BAREMOS!A:A=A18)*(BAREMOS!B:B=B18)*(BAREMOS!C:C=C18)*(BAREMOS!D:D=E18),0),0)),1,
      IF(H18&lt;=MIN(INDEX(BAREMOS!G:Y,MATCH(1,(BAREMOS!A:A=A18)*(BAREMOS!B"&amp;":B=B18)*(BAREMOS!C:C=C18)*(BAREMOS!D:D=E18),0),0)),19,
         MATCH(H18,INDEX(BAREMOS!G:Y,MATCH(1,(BAREMOS!A:A=A18)*(BAREMOS!B:B=B18)*(BAREMOS!C:C=C18)*(BAREMOS!D:D=E18),0),0),-1)
      )
   ),
   IF(H18&lt;=MIN(INDEX(BAREMOS!G:Y,MATCH(1,(BAREMOS!A:A=A18)*"&amp;"(BAREMOS!B:B=B18)*(BAREMOS!C:C=C18)*(BAREMOS!D:D=E18),0),0)),1,
      IF(H18&gt;=MAX(INDEX(BAREMOS!G:Y,MATCH(1,(BAREMOS!A:A=A18)*(BAREMOS!B:B=B18)*(BAREMOS!C:C=C18)*(BAREMOS!D:D=E18),0),0)),19,
         MATCH(H18,INDEX(BAREMOS!G:Y,MATCH(1,(BAREMOS!A:A=A18)*("&amp;"BAREMOS!B:B=B18)*(BAREMOS!C:C=C18)*(BAREMOS!D:D=E18),0),0),1)
      )
   )
)
,""""))
"),1.0)</f>
        <v>1</v>
      </c>
      <c r="K18" s="30">
        <f t="shared" si="1"/>
        <v>1</v>
      </c>
    </row>
    <row r="19">
      <c r="A19" s="23" t="str">
        <f t="array" ref="A19">IF(D19="","",IFERROR(INDEX(CONFIGURACION!C:C,MATCH(D19,CONFIGURACION!E:E,0)),""))
</f>
        <v>BCH</v>
      </c>
      <c r="B19" s="23">
        <f t="array" ref="B19">IF(D19="","",IFERROR(INDEX(CONFIGURACION!D:D,MATCH(D19,CONFIGURACION!E:E,0)),""))
</f>
        <v>1</v>
      </c>
      <c r="C19" s="26" t="s">
        <v>19</v>
      </c>
      <c r="D19" s="13" t="s">
        <v>89</v>
      </c>
      <c r="E19" s="27" t="s">
        <v>62</v>
      </c>
      <c r="F19" s="24" t="s">
        <v>97</v>
      </c>
      <c r="G19" s="27" t="s">
        <v>20</v>
      </c>
      <c r="H19" s="28">
        <v>6.0</v>
      </c>
      <c r="I19" s="29" t="str">
        <f>IFERROR(__xludf.DUMMYFUNCTION("IF(F19="""","""",LET(
  nombre, TRIM(F19),
  primer, REGEXEXTRACT(nombre, ""^\S+""),
  resto, TRIM(REGEXREPLACE(nombre, ""^\S+\s*"", """")),
  iniciales, IF(
    resto="""",
    """",
    TEXTJOIN("""",1,ARRAYFORMULA(LEFT(SPLIT(resto,"" ""),1) &amp; "".""))
 "&amp;" ),
  UPPER(primer) &amp; "" "" &amp; UPPER(iniciales)
))"),"GERARDO H.C.")</f>
        <v>GERARDO H.C.</v>
      </c>
      <c r="J19" s="29">
        <f>IFERROR(__xludf.DUMMYFUNCTION("IF(H19="""","""",IFERROR(
IF(REGEXMATCH(E19,""VELOCIDAD""),
   IF(H19&gt;=MAX(INDEX(BAREMOS!G:Y,MATCH(1,(BAREMOS!A:A=A19)*(BAREMOS!B:B=B19)*(BAREMOS!C:C=C19)*(BAREMOS!D:D=E19),0),0)),1,
      IF(H19&lt;=MIN(INDEX(BAREMOS!G:Y,MATCH(1,(BAREMOS!A:A=A19)*(BAREMOS!B"&amp;":B=B19)*(BAREMOS!C:C=C19)*(BAREMOS!D:D=E19),0),0)),19,
         MATCH(H19,INDEX(BAREMOS!G:Y,MATCH(1,(BAREMOS!A:A=A19)*(BAREMOS!B:B=B19)*(BAREMOS!C:C=C19)*(BAREMOS!D:D=E19),0),0),-1)
      )
   ),
   IF(H19&lt;=MIN(INDEX(BAREMOS!G:Y,MATCH(1,(BAREMOS!A:A=A19)*"&amp;"(BAREMOS!B:B=B19)*(BAREMOS!C:C=C19)*(BAREMOS!D:D=E19),0),0)),1,
      IF(H19&gt;=MAX(INDEX(BAREMOS!G:Y,MATCH(1,(BAREMOS!A:A=A19)*(BAREMOS!B:B=B19)*(BAREMOS!C:C=C19)*(BAREMOS!D:D=E19),0),0)),19,
         MATCH(H19,INDEX(BAREMOS!G:Y,MATCH(1,(BAREMOS!A:A=A19)*("&amp;"BAREMOS!B:B=B19)*(BAREMOS!C:C=C19)*(BAREMOS!D:D=E19),0),0),1)
      )
   )
)
,""""))
"),1.0)</f>
        <v>1</v>
      </c>
      <c r="K19" s="30">
        <f t="shared" si="1"/>
        <v>1</v>
      </c>
    </row>
    <row r="20">
      <c r="A20" s="23" t="str">
        <f t="array" ref="A20">IF(D20="","",IFERROR(INDEX(CONFIGURACION!C:C,MATCH(D20,CONFIGURACION!E:E,0)),""))
</f>
        <v>BCH</v>
      </c>
      <c r="B20" s="23">
        <f t="array" ref="B20">IF(D20="","",IFERROR(INDEX(CONFIGURACION!D:D,MATCH(D20,CONFIGURACION!E:E,0)),""))
</f>
        <v>1</v>
      </c>
      <c r="C20" s="26" t="s">
        <v>19</v>
      </c>
      <c r="D20" s="13" t="s">
        <v>89</v>
      </c>
      <c r="E20" s="27" t="s">
        <v>70</v>
      </c>
      <c r="F20" s="24" t="s">
        <v>97</v>
      </c>
      <c r="G20" s="27" t="s">
        <v>20</v>
      </c>
      <c r="H20" s="28">
        <v>7.0</v>
      </c>
      <c r="I20" s="29" t="str">
        <f>IFERROR(__xludf.DUMMYFUNCTION("IF(F20="""","""",LET(
  nombre, TRIM(F20),
  primer, REGEXEXTRACT(nombre, ""^\S+""),
  resto, TRIM(REGEXREPLACE(nombre, ""^\S+\s*"", """")),
  iniciales, IF(
    resto="""",
    """",
    TEXTJOIN("""",1,ARRAYFORMULA(LEFT(SPLIT(resto,"" ""),1) &amp; "".""))
 "&amp;" ),
  UPPER(primer) &amp; "" "" &amp; UPPER(iniciales)
))"),"GERARDO H.C.")</f>
        <v>GERARDO H.C.</v>
      </c>
      <c r="J20" s="29">
        <f>IFERROR(__xludf.DUMMYFUNCTION("IF(H20="""","""",IFERROR(
IF(REGEXMATCH(E20,""VELOCIDAD""),
   IF(H20&gt;=MAX(INDEX(BAREMOS!G:Y,MATCH(1,(BAREMOS!A:A=A20)*(BAREMOS!B:B=B20)*(BAREMOS!C:C=C20)*(BAREMOS!D:D=E20),0),0)),1,
      IF(H20&lt;=MIN(INDEX(BAREMOS!G:Y,MATCH(1,(BAREMOS!A:A=A20)*(BAREMOS!B"&amp;":B=B20)*(BAREMOS!C:C=C20)*(BAREMOS!D:D=E20),0),0)),19,
         MATCH(H20,INDEX(BAREMOS!G:Y,MATCH(1,(BAREMOS!A:A=A20)*(BAREMOS!B:B=B20)*(BAREMOS!C:C=C20)*(BAREMOS!D:D=E20),0),0),-1)
      )
   ),
   IF(H20&lt;=MIN(INDEX(BAREMOS!G:Y,MATCH(1,(BAREMOS!A:A=A20)*"&amp;"(BAREMOS!B:B=B20)*(BAREMOS!C:C=C20)*(BAREMOS!D:D=E20),0),0)),1,
      IF(H20&gt;=MAX(INDEX(BAREMOS!G:Y,MATCH(1,(BAREMOS!A:A=A20)*(BAREMOS!B:B=B20)*(BAREMOS!C:C=C20)*(BAREMOS!D:D=E20),0),0)),19,
         MATCH(H20,INDEX(BAREMOS!G:Y,MATCH(1,(BAREMOS!A:A=A20)*("&amp;"BAREMOS!B:B=B20)*(BAREMOS!C:C=C20)*(BAREMOS!D:D=E20),0),0),1)
      )
   )
)
,""""))
"),19.0)</f>
        <v>19</v>
      </c>
      <c r="K20" s="30">
        <f t="shared" si="1"/>
        <v>10</v>
      </c>
    </row>
    <row r="21">
      <c r="A21" s="23" t="str">
        <f t="array" ref="A21">IF(D21="","",IFERROR(INDEX(CONFIGURACION!C:C,MATCH(D21,CONFIGURACION!E:E,0)),""))
</f>
        <v>BCH</v>
      </c>
      <c r="B21" s="23">
        <f t="array" ref="B21">IF(D21="","",IFERROR(INDEX(CONFIGURACION!D:D,MATCH(D21,CONFIGURACION!E:E,0)),""))
</f>
        <v>1</v>
      </c>
      <c r="C21" s="26" t="s">
        <v>19</v>
      </c>
      <c r="D21" s="13" t="s">
        <v>89</v>
      </c>
      <c r="E21" s="27" t="s">
        <v>77</v>
      </c>
      <c r="F21" s="24" t="s">
        <v>97</v>
      </c>
      <c r="G21" s="27" t="s">
        <v>20</v>
      </c>
      <c r="H21" s="28">
        <v>8.0</v>
      </c>
      <c r="I21" s="29" t="str">
        <f>IFERROR(__xludf.DUMMYFUNCTION("IF(F21="""","""",LET(
  nombre, TRIM(F21),
  primer, REGEXEXTRACT(nombre, ""^\S+""),
  resto, TRIM(REGEXREPLACE(nombre, ""^\S+\s*"", """")),
  iniciales, IF(
    resto="""",
    """",
    TEXTJOIN("""",1,ARRAYFORMULA(LEFT(SPLIT(resto,"" ""),1) &amp; "".""))
 "&amp;" ),
  UPPER(primer) &amp; "" "" &amp; UPPER(iniciales)
))"),"GERARDO H.C.")</f>
        <v>GERARDO H.C.</v>
      </c>
      <c r="J21" s="29" t="str">
        <f>IFERROR(__xludf.DUMMYFUNCTION("IF(H21="""","""",IFERROR(
IF(REGEXMATCH(E21,""VELOCIDAD""),
   IF(H21&gt;=MAX(INDEX(BAREMOS!G:Y,MATCH(1,(BAREMOS!A:A=A21)*(BAREMOS!B:B=B21)*(BAREMOS!C:C=C21)*(BAREMOS!D:D=E21),0),0)),1,
      IF(H21&lt;=MIN(INDEX(BAREMOS!G:Y,MATCH(1,(BAREMOS!A:A=A21)*(BAREMOS!B"&amp;":B=B21)*(BAREMOS!C:C=C21)*(BAREMOS!D:D=E21),0),0)),19,
         MATCH(H21,INDEX(BAREMOS!G:Y,MATCH(1,(BAREMOS!A:A=A21)*(BAREMOS!B:B=B21)*(BAREMOS!C:C=C21)*(BAREMOS!D:D=E21),0),0),-1)
      )
   ),
   IF(H21&lt;=MIN(INDEX(BAREMOS!G:Y,MATCH(1,(BAREMOS!A:A=A21)*"&amp;"(BAREMOS!B:B=B21)*(BAREMOS!C:C=C21)*(BAREMOS!D:D=E21),0),0)),1,
      IF(H21&gt;=MAX(INDEX(BAREMOS!G:Y,MATCH(1,(BAREMOS!A:A=A21)*(BAREMOS!B:B=B21)*(BAREMOS!C:C=C21)*(BAREMOS!D:D=E21),0),0)),19,
         MATCH(H21,INDEX(BAREMOS!G:Y,MATCH(1,(BAREMOS!A:A=A21)*("&amp;"BAREMOS!B:B=B21)*(BAREMOS!C:C=C21)*(BAREMOS!D:D=E21),0),0),1)
      )
   )
)
,""""))
"),"")</f>
        <v/>
      </c>
      <c r="K21" s="30" t="str">
        <f t="shared" si="1"/>
        <v/>
      </c>
    </row>
    <row r="22">
      <c r="A22" s="23" t="str">
        <f t="array" ref="A22">IF(D22="","",IFERROR(INDEX(CONFIGURACION!C:C,MATCH(D22,CONFIGURACION!E:E,0)),""))
</f>
        <v>BCH</v>
      </c>
      <c r="B22" s="23">
        <f t="array" ref="B22">IF(D22="","",IFERROR(INDEX(CONFIGURACION!D:D,MATCH(D22,CONFIGURACION!E:E,0)),""))
</f>
        <v>1</v>
      </c>
      <c r="C22" s="26" t="s">
        <v>19</v>
      </c>
      <c r="D22" s="13" t="s">
        <v>89</v>
      </c>
      <c r="E22" s="27" t="s">
        <v>21</v>
      </c>
      <c r="F22" s="24" t="s">
        <v>96</v>
      </c>
      <c r="G22" s="27" t="s">
        <v>32</v>
      </c>
      <c r="H22" s="28">
        <v>10.0</v>
      </c>
      <c r="I22" s="29" t="str">
        <f>IFERROR(__xludf.DUMMYFUNCTION("IF(F22="""","""",LET(
  nombre, TRIM(F22),
  primer, REGEXEXTRACT(nombre, ""^\S+""),
  resto, TRIM(REGEXREPLACE(nombre, ""^\S+\s*"", """")),
  iniciales, IF(
    resto="""",
    """",
    TEXTJOIN("""",1,ARRAYFORMULA(LEFT(SPLIT(resto,"" ""),1) &amp; "".""))
 "&amp;" ),
  UPPER(primer) &amp; "" "" &amp; UPPER(iniciales)
))"),"JUAN C.H.M.")</f>
        <v>JUAN C.H.M.</v>
      </c>
      <c r="J22" s="29">
        <f>IFERROR(__xludf.DUMMYFUNCTION("IF(H22="""","""",IFERROR(
IF(REGEXMATCH(E22,""VELOCIDAD""),
   IF(H22&gt;=MAX(INDEX(BAREMOS!G:Y,MATCH(1,(BAREMOS!A:A=A22)*(BAREMOS!B:B=B22)*(BAREMOS!C:C=C22)*(BAREMOS!D:D=E22),0),0)),1,
      IF(H22&lt;=MIN(INDEX(BAREMOS!G:Y,MATCH(1,(BAREMOS!A:A=A22)*(BAREMOS!B"&amp;":B=B22)*(BAREMOS!C:C=C22)*(BAREMOS!D:D=E22),0),0)),19,
         MATCH(H22,INDEX(BAREMOS!G:Y,MATCH(1,(BAREMOS!A:A=A22)*(BAREMOS!B:B=B22)*(BAREMOS!C:C=C22)*(BAREMOS!D:D=E22),0),0),-1)
      )
   ),
   IF(H22&lt;=MIN(INDEX(BAREMOS!G:Y,MATCH(1,(BAREMOS!A:A=A22)*"&amp;"(BAREMOS!B:B=B22)*(BAREMOS!C:C=C22)*(BAREMOS!D:D=E22),0),0)),1,
      IF(H22&gt;=MAX(INDEX(BAREMOS!G:Y,MATCH(1,(BAREMOS!A:A=A22)*(BAREMOS!B:B=B22)*(BAREMOS!C:C=C22)*(BAREMOS!D:D=E22),0),0)),19,
         MATCH(H22,INDEX(BAREMOS!G:Y,MATCH(1,(BAREMOS!A:A=A22)*("&amp;"BAREMOS!B:B=B22)*(BAREMOS!C:C=C22)*(BAREMOS!D:D=E22),0),0),1)
      )
   )
)
,""""))
"),1.0)</f>
        <v>1</v>
      </c>
      <c r="K22" s="30">
        <f t="shared" si="1"/>
        <v>1</v>
      </c>
    </row>
    <row r="23">
      <c r="A23" s="23" t="str">
        <f t="array" ref="A23">IF(D23="","",IFERROR(INDEX(CONFIGURACION!C:C,MATCH(D23,CONFIGURACION!E:E,0)),""))
</f>
        <v>BCH</v>
      </c>
      <c r="B23" s="23">
        <f t="array" ref="B23">IF(D23="","",IFERROR(INDEX(CONFIGURACION!D:D,MATCH(D23,CONFIGURACION!E:E,0)),""))
</f>
        <v>1</v>
      </c>
      <c r="C23" s="26" t="s">
        <v>19</v>
      </c>
      <c r="D23" s="13" t="s">
        <v>89</v>
      </c>
      <c r="E23" s="27" t="s">
        <v>33</v>
      </c>
      <c r="F23" s="24" t="s">
        <v>96</v>
      </c>
      <c r="G23" s="27" t="s">
        <v>32</v>
      </c>
      <c r="H23" s="28">
        <v>11.0</v>
      </c>
      <c r="I23" s="29" t="str">
        <f>IFERROR(__xludf.DUMMYFUNCTION("IF(F23="""","""",LET(
  nombre, TRIM(F23),
  primer, REGEXEXTRACT(nombre, ""^\S+""),
  resto, TRIM(REGEXREPLACE(nombre, ""^\S+\s*"", """")),
  iniciales, IF(
    resto="""",
    """",
    TEXTJOIN("""",1,ARRAYFORMULA(LEFT(SPLIT(resto,"" ""),1) &amp; "".""))
 "&amp;" ),
  UPPER(primer) &amp; "" "" &amp; UPPER(iniciales)
))"),"JUAN C.H.M.")</f>
        <v>JUAN C.H.M.</v>
      </c>
      <c r="J23" s="29">
        <f>IFERROR(__xludf.DUMMYFUNCTION("IF(H23="""","""",IFERROR(
IF(REGEXMATCH(E23,""VELOCIDAD""),
   IF(H23&gt;=MAX(INDEX(BAREMOS!G:Y,MATCH(1,(BAREMOS!A:A=A23)*(BAREMOS!B:B=B23)*(BAREMOS!C:C=C23)*(BAREMOS!D:D=E23),0),0)),1,
      IF(H23&lt;=MIN(INDEX(BAREMOS!G:Y,MATCH(1,(BAREMOS!A:A=A23)*(BAREMOS!B"&amp;":B=B23)*(BAREMOS!C:C=C23)*(BAREMOS!D:D=E23),0),0)),19,
         MATCH(H23,INDEX(BAREMOS!G:Y,MATCH(1,(BAREMOS!A:A=A23)*(BAREMOS!B:B=B23)*(BAREMOS!C:C=C23)*(BAREMOS!D:D=E23),0),0),-1)
      )
   ),
   IF(H23&lt;=MIN(INDEX(BAREMOS!G:Y,MATCH(1,(BAREMOS!A:A=A23)*"&amp;"(BAREMOS!B:B=B23)*(BAREMOS!C:C=C23)*(BAREMOS!D:D=E23),0),0)),1,
      IF(H23&gt;=MAX(INDEX(BAREMOS!G:Y,MATCH(1,(BAREMOS!A:A=A23)*(BAREMOS!B:B=B23)*(BAREMOS!C:C=C23)*(BAREMOS!D:D=E23),0),0)),19,
         MATCH(H23,INDEX(BAREMOS!G:Y,MATCH(1,(BAREMOS!A:A=A23)*("&amp;"BAREMOS!B:B=B23)*(BAREMOS!C:C=C23)*(BAREMOS!D:D=E23),0),0),1)
      )
   )
)
,""""))
"),11.0)</f>
        <v>11</v>
      </c>
      <c r="K23" s="30">
        <f t="shared" si="1"/>
        <v>6</v>
      </c>
    </row>
    <row r="24">
      <c r="A24" s="23" t="str">
        <f t="array" ref="A24">IF(D24="","",IFERROR(INDEX(CONFIGURACION!C:C,MATCH(D24,CONFIGURACION!E:E,0)),""))
</f>
        <v>BCH</v>
      </c>
      <c r="B24" s="23">
        <f t="array" ref="B24">IF(D24="","",IFERROR(INDEX(CONFIGURACION!D:D,MATCH(D24,CONFIGURACION!E:E,0)),""))
</f>
        <v>1</v>
      </c>
      <c r="C24" s="26" t="s">
        <v>19</v>
      </c>
      <c r="D24" s="13" t="s">
        <v>89</v>
      </c>
      <c r="E24" s="27" t="s">
        <v>41</v>
      </c>
      <c r="F24" s="24" t="s">
        <v>96</v>
      </c>
      <c r="G24" s="27" t="s">
        <v>32</v>
      </c>
      <c r="H24" s="28">
        <v>12.0</v>
      </c>
      <c r="I24" s="29" t="str">
        <f>IFERROR(__xludf.DUMMYFUNCTION("IF(F24="""","""",LET(
  nombre, TRIM(F24),
  primer, REGEXEXTRACT(nombre, ""^\S+""),
  resto, TRIM(REGEXREPLACE(nombre, ""^\S+\s*"", """")),
  iniciales, IF(
    resto="""",
    """",
    TEXTJOIN("""",1,ARRAYFORMULA(LEFT(SPLIT(resto,"" ""),1) &amp; "".""))
 "&amp;" ),
  UPPER(primer) &amp; "" "" &amp; UPPER(iniciales)
))"),"JUAN C.H.M.")</f>
        <v>JUAN C.H.M.</v>
      </c>
      <c r="J24" s="29">
        <f>IFERROR(__xludf.DUMMYFUNCTION("IF(H24="""","""",IFERROR(
IF(REGEXMATCH(E24,""VELOCIDAD""),
   IF(H24&gt;=MAX(INDEX(BAREMOS!G:Y,MATCH(1,(BAREMOS!A:A=A24)*(BAREMOS!B:B=B24)*(BAREMOS!C:C=C24)*(BAREMOS!D:D=E24),0),0)),1,
      IF(H24&lt;=MIN(INDEX(BAREMOS!G:Y,MATCH(1,(BAREMOS!A:A=A24)*(BAREMOS!B"&amp;":B=B24)*(BAREMOS!C:C=C24)*(BAREMOS!D:D=E24),0),0)),19,
         MATCH(H24,INDEX(BAREMOS!G:Y,MATCH(1,(BAREMOS!A:A=A24)*(BAREMOS!B:B=B24)*(BAREMOS!C:C=C24)*(BAREMOS!D:D=E24),0),0),-1)
      )
   ),
   IF(H24&lt;=MIN(INDEX(BAREMOS!G:Y,MATCH(1,(BAREMOS!A:A=A24)*"&amp;"(BAREMOS!B:B=B24)*(BAREMOS!C:C=C24)*(BAREMOS!D:D=E24),0),0)),1,
      IF(H24&gt;=MAX(INDEX(BAREMOS!G:Y,MATCH(1,(BAREMOS!A:A=A24)*(BAREMOS!B:B=B24)*(BAREMOS!C:C=C24)*(BAREMOS!D:D=E24),0),0)),19,
         MATCH(H24,INDEX(BAREMOS!G:Y,MATCH(1,(BAREMOS!A:A=A24)*("&amp;"BAREMOS!B:B=B24)*(BAREMOS!C:C=C24)*(BAREMOS!D:D=E24),0),0),1)
      )
   )
)
,""""))
"),1.0)</f>
        <v>1</v>
      </c>
      <c r="K24" s="30">
        <f t="shared" si="1"/>
        <v>1</v>
      </c>
    </row>
    <row r="25">
      <c r="A25" s="23" t="str">
        <f t="array" ref="A25">IF(D25="","",IFERROR(INDEX(CONFIGURACION!C:C,MATCH(D25,CONFIGURACION!E:E,0)),""))
</f>
        <v>BCH</v>
      </c>
      <c r="B25" s="23">
        <f t="array" ref="B25">IF(D25="","",IFERROR(INDEX(CONFIGURACION!D:D,MATCH(D25,CONFIGURACION!E:E,0)),""))
</f>
        <v>1</v>
      </c>
      <c r="C25" s="26" t="s">
        <v>19</v>
      </c>
      <c r="D25" s="13" t="s">
        <v>89</v>
      </c>
      <c r="E25" s="27" t="s">
        <v>49</v>
      </c>
      <c r="F25" s="24" t="s">
        <v>96</v>
      </c>
      <c r="G25" s="27" t="s">
        <v>32</v>
      </c>
      <c r="H25" s="28">
        <v>13.0</v>
      </c>
      <c r="I25" s="29" t="str">
        <f>IFERROR(__xludf.DUMMYFUNCTION("IF(F25="""","""",LET(
  nombre, TRIM(F25),
  primer, REGEXEXTRACT(nombre, ""^\S+""),
  resto, TRIM(REGEXREPLACE(nombre, ""^\S+\s*"", """")),
  iniciales, IF(
    resto="""",
    """",
    TEXTJOIN("""",1,ARRAYFORMULA(LEFT(SPLIT(resto,"" ""),1) &amp; "".""))
 "&amp;" ),
  UPPER(primer) &amp; "" "" &amp; UPPER(iniciales)
))"),"JUAN C.H.M.")</f>
        <v>JUAN C.H.M.</v>
      </c>
      <c r="J25" s="29">
        <f>IFERROR(__xludf.DUMMYFUNCTION("IF(H25="""","""",IFERROR(
IF(REGEXMATCH(E25,""VELOCIDAD""),
   IF(H25&gt;=MAX(INDEX(BAREMOS!G:Y,MATCH(1,(BAREMOS!A:A=A25)*(BAREMOS!B:B=B25)*(BAREMOS!C:C=C25)*(BAREMOS!D:D=E25),0),0)),1,
      IF(H25&lt;=MIN(INDEX(BAREMOS!G:Y,MATCH(1,(BAREMOS!A:A=A25)*(BAREMOS!B"&amp;":B=B25)*(BAREMOS!C:C=C25)*(BAREMOS!D:D=E25),0),0)),19,
         MATCH(H25,INDEX(BAREMOS!G:Y,MATCH(1,(BAREMOS!A:A=A25)*(BAREMOS!B:B=B25)*(BAREMOS!C:C=C25)*(BAREMOS!D:D=E25),0),0),-1)
      )
   ),
   IF(H25&lt;=MIN(INDEX(BAREMOS!G:Y,MATCH(1,(BAREMOS!A:A=A25)*"&amp;"(BAREMOS!B:B=B25)*(BAREMOS!C:C=C25)*(BAREMOS!D:D=E25),0),0)),1,
      IF(H25&gt;=MAX(INDEX(BAREMOS!G:Y,MATCH(1,(BAREMOS!A:A=A25)*(BAREMOS!B:B=B25)*(BAREMOS!C:C=C25)*(BAREMOS!D:D=E25),0),0)),19,
         MATCH(H25,INDEX(BAREMOS!G:Y,MATCH(1,(BAREMOS!A:A=A25)*("&amp;"BAREMOS!B:B=B25)*(BAREMOS!C:C=C25)*(BAREMOS!D:D=E25),0),0),1)
      )
   )
)
,""""))
"),1.0)</f>
        <v>1</v>
      </c>
      <c r="K25" s="30">
        <f t="shared" si="1"/>
        <v>1</v>
      </c>
    </row>
    <row r="26">
      <c r="A26" s="23" t="str">
        <f t="array" ref="A26">IF(D26="","",IFERROR(INDEX(CONFIGURACION!C:C,MATCH(D26,CONFIGURACION!E:E,0)),""))
</f>
        <v>BCH</v>
      </c>
      <c r="B26" s="23">
        <f t="array" ref="B26">IF(D26="","",IFERROR(INDEX(CONFIGURACION!D:D,MATCH(D26,CONFIGURACION!E:E,0)),""))
</f>
        <v>1</v>
      </c>
      <c r="C26" s="26" t="s">
        <v>19</v>
      </c>
      <c r="D26" s="13" t="s">
        <v>89</v>
      </c>
      <c r="E26" s="27" t="s">
        <v>56</v>
      </c>
      <c r="F26" s="24" t="s">
        <v>96</v>
      </c>
      <c r="G26" s="27" t="s">
        <v>32</v>
      </c>
      <c r="H26" s="28">
        <v>14.0</v>
      </c>
      <c r="I26" s="29" t="str">
        <f>IFERROR(__xludf.DUMMYFUNCTION("IF(F26="""","""",LET(
  nombre, TRIM(F26),
  primer, REGEXEXTRACT(nombre, ""^\S+""),
  resto, TRIM(REGEXREPLACE(nombre, ""^\S+\s*"", """")),
  iniciales, IF(
    resto="""",
    """",
    TEXTJOIN("""",1,ARRAYFORMULA(LEFT(SPLIT(resto,"" ""),1) &amp; "".""))
 "&amp;" ),
  UPPER(primer) &amp; "" "" &amp; UPPER(iniciales)
))"),"JUAN C.H.M.")</f>
        <v>JUAN C.H.M.</v>
      </c>
      <c r="J26" s="29">
        <f>IFERROR(__xludf.DUMMYFUNCTION("IF(H26="""","""",IFERROR(
IF(REGEXMATCH(E26,""VELOCIDAD""),
   IF(H26&gt;=MAX(INDEX(BAREMOS!G:Y,MATCH(1,(BAREMOS!A:A=A26)*(BAREMOS!B:B=B26)*(BAREMOS!C:C=C26)*(BAREMOS!D:D=E26),0),0)),1,
      IF(H26&lt;=MIN(INDEX(BAREMOS!G:Y,MATCH(1,(BAREMOS!A:A=A26)*(BAREMOS!B"&amp;":B=B26)*(BAREMOS!C:C=C26)*(BAREMOS!D:D=E26),0),0)),19,
         MATCH(H26,INDEX(BAREMOS!G:Y,MATCH(1,(BAREMOS!A:A=A26)*(BAREMOS!B:B=B26)*(BAREMOS!C:C=C26)*(BAREMOS!D:D=E26),0),0),-1)
      )
   ),
   IF(H26&lt;=MIN(INDEX(BAREMOS!G:Y,MATCH(1,(BAREMOS!A:A=A26)*"&amp;"(BAREMOS!B:B=B26)*(BAREMOS!C:C=C26)*(BAREMOS!D:D=E26),0),0)),1,
      IF(H26&gt;=MAX(INDEX(BAREMOS!G:Y,MATCH(1,(BAREMOS!A:A=A26)*(BAREMOS!B:B=B26)*(BAREMOS!C:C=C26)*(BAREMOS!D:D=E26),0),0)),19,
         MATCH(H26,INDEX(BAREMOS!G:Y,MATCH(1,(BAREMOS!A:A=A26)*("&amp;"BAREMOS!B:B=B26)*(BAREMOS!C:C=C26)*(BAREMOS!D:D=E26),0),0),1)
      )
   )
)
,""""))
"),1.0)</f>
        <v>1</v>
      </c>
      <c r="K26" s="30">
        <f t="shared" si="1"/>
        <v>1</v>
      </c>
    </row>
    <row r="27">
      <c r="A27" s="23" t="str">
        <f t="array" ref="A27">IF(D27="","",IFERROR(INDEX(CONFIGURACION!C:C,MATCH(D27,CONFIGURACION!E:E,0)),""))
</f>
        <v>BCH</v>
      </c>
      <c r="B27" s="23">
        <f t="array" ref="B27">IF(D27="","",IFERROR(INDEX(CONFIGURACION!D:D,MATCH(D27,CONFIGURACION!E:E,0)),""))
</f>
        <v>1</v>
      </c>
      <c r="C27" s="26" t="s">
        <v>19</v>
      </c>
      <c r="D27" s="13" t="s">
        <v>89</v>
      </c>
      <c r="E27" s="27" t="s">
        <v>62</v>
      </c>
      <c r="F27" s="24" t="s">
        <v>96</v>
      </c>
      <c r="G27" s="27" t="s">
        <v>32</v>
      </c>
      <c r="H27" s="28">
        <v>15.0</v>
      </c>
      <c r="I27" s="29" t="str">
        <f>IFERROR(__xludf.DUMMYFUNCTION("IF(F27="""","""",LET(
  nombre, TRIM(F27),
  primer, REGEXEXTRACT(nombre, ""^\S+""),
  resto, TRIM(REGEXREPLACE(nombre, ""^\S+\s*"", """")),
  iniciales, IF(
    resto="""",
    """",
    TEXTJOIN("""",1,ARRAYFORMULA(LEFT(SPLIT(resto,"" ""),1) &amp; "".""))
 "&amp;" ),
  UPPER(primer) &amp; "" "" &amp; UPPER(iniciales)
))"),"JUAN C.H.M.")</f>
        <v>JUAN C.H.M.</v>
      </c>
      <c r="J27" s="29">
        <f>IFERROR(__xludf.DUMMYFUNCTION("IF(H27="""","""",IFERROR(
IF(REGEXMATCH(E27,""VELOCIDAD""),
   IF(H27&gt;=MAX(INDEX(BAREMOS!G:Y,MATCH(1,(BAREMOS!A:A=A27)*(BAREMOS!B:B=B27)*(BAREMOS!C:C=C27)*(BAREMOS!D:D=E27),0),0)),1,
      IF(H27&lt;=MIN(INDEX(BAREMOS!G:Y,MATCH(1,(BAREMOS!A:A=A27)*(BAREMOS!B"&amp;":B=B27)*(BAREMOS!C:C=C27)*(BAREMOS!D:D=E27),0),0)),19,
         MATCH(H27,INDEX(BAREMOS!G:Y,MATCH(1,(BAREMOS!A:A=A27)*(BAREMOS!B:B=B27)*(BAREMOS!C:C=C27)*(BAREMOS!D:D=E27),0),0),-1)
      )
   ),
   IF(H27&lt;=MIN(INDEX(BAREMOS!G:Y,MATCH(1,(BAREMOS!A:A=A27)*"&amp;"(BAREMOS!B:B=B27)*(BAREMOS!C:C=C27)*(BAREMOS!D:D=E27),0),0)),1,
      IF(H27&gt;=MAX(INDEX(BAREMOS!G:Y,MATCH(1,(BAREMOS!A:A=A27)*(BAREMOS!B:B=B27)*(BAREMOS!C:C=C27)*(BAREMOS!D:D=E27),0),0)),19,
         MATCH(H27,INDEX(BAREMOS!G:Y,MATCH(1,(BAREMOS!A:A=A27)*("&amp;"BAREMOS!B:B=B27)*(BAREMOS!C:C=C27)*(BAREMOS!D:D=E27),0),0),1)
      )
   )
)
,""""))
"),1.0)</f>
        <v>1</v>
      </c>
      <c r="K27" s="30">
        <f t="shared" si="1"/>
        <v>1</v>
      </c>
    </row>
    <row r="28">
      <c r="A28" s="23" t="str">
        <f t="array" ref="A28">IF(D28="","",IFERROR(INDEX(CONFIGURACION!C:C,MATCH(D28,CONFIGURACION!E:E,0)),""))
</f>
        <v>BCH</v>
      </c>
      <c r="B28" s="23">
        <f t="array" ref="B28">IF(D28="","",IFERROR(INDEX(CONFIGURACION!D:D,MATCH(D28,CONFIGURACION!E:E,0)),""))
</f>
        <v>1</v>
      </c>
      <c r="C28" s="26" t="s">
        <v>19</v>
      </c>
      <c r="D28" s="13" t="s">
        <v>89</v>
      </c>
      <c r="E28" s="27" t="s">
        <v>70</v>
      </c>
      <c r="F28" s="24" t="s">
        <v>96</v>
      </c>
      <c r="G28" s="27" t="s">
        <v>32</v>
      </c>
      <c r="H28" s="28">
        <v>16.0</v>
      </c>
      <c r="I28" s="29" t="str">
        <f>IFERROR(__xludf.DUMMYFUNCTION("IF(F28="""","""",LET(
  nombre, TRIM(F28),
  primer, REGEXEXTRACT(nombre, ""^\S+""),
  resto, TRIM(REGEXREPLACE(nombre, ""^\S+\s*"", """")),
  iniciales, IF(
    resto="""",
    """",
    TEXTJOIN("""",1,ARRAYFORMULA(LEFT(SPLIT(resto,"" ""),1) &amp; "".""))
 "&amp;" ),
  UPPER(primer) &amp; "" "" &amp; UPPER(iniciales)
))"),"JUAN C.H.M.")</f>
        <v>JUAN C.H.M.</v>
      </c>
      <c r="J28" s="29">
        <f>IFERROR(__xludf.DUMMYFUNCTION("IF(H28="""","""",IFERROR(
IF(REGEXMATCH(E28,""VELOCIDAD""),
   IF(H28&gt;=MAX(INDEX(BAREMOS!G:Y,MATCH(1,(BAREMOS!A:A=A28)*(BAREMOS!B:B=B28)*(BAREMOS!C:C=C28)*(BAREMOS!D:D=E28),0),0)),1,
      IF(H28&lt;=MIN(INDEX(BAREMOS!G:Y,MATCH(1,(BAREMOS!A:A=A28)*(BAREMOS!B"&amp;":B=B28)*(BAREMOS!C:C=C28)*(BAREMOS!D:D=E28),0),0)),19,
         MATCH(H28,INDEX(BAREMOS!G:Y,MATCH(1,(BAREMOS!A:A=A28)*(BAREMOS!B:B=B28)*(BAREMOS!C:C=C28)*(BAREMOS!D:D=E28),0),0),-1)
      )
   ),
   IF(H28&lt;=MIN(INDEX(BAREMOS!G:Y,MATCH(1,(BAREMOS!A:A=A28)*"&amp;"(BAREMOS!B:B=B28)*(BAREMOS!C:C=C28)*(BAREMOS!D:D=E28),0),0)),1,
      IF(H28&gt;=MAX(INDEX(BAREMOS!G:Y,MATCH(1,(BAREMOS!A:A=A28)*(BAREMOS!B:B=B28)*(BAREMOS!C:C=C28)*(BAREMOS!D:D=E28),0),0)),19,
         MATCH(H28,INDEX(BAREMOS!G:Y,MATCH(1,(BAREMOS!A:A=A28)*("&amp;"BAREMOS!B:B=B28)*(BAREMOS!C:C=C28)*(BAREMOS!D:D=E28),0),0),1)
      )
   )
)
,""""))
"),19.0)</f>
        <v>19</v>
      </c>
      <c r="K28" s="30">
        <f t="shared" si="1"/>
        <v>10</v>
      </c>
    </row>
    <row r="29">
      <c r="A29" s="23" t="str">
        <f t="array" ref="A29">IF(D29="","",IFERROR(INDEX(CONFIGURACION!C:C,MATCH(D29,CONFIGURACION!E:E,0)),""))
</f>
        <v>BCH</v>
      </c>
      <c r="B29" s="23">
        <f t="array" ref="B29">IF(D29="","",IFERROR(INDEX(CONFIGURACION!D:D,MATCH(D29,CONFIGURACION!E:E,0)),""))
</f>
        <v>1</v>
      </c>
      <c r="C29" s="26" t="s">
        <v>19</v>
      </c>
      <c r="D29" s="13" t="s">
        <v>89</v>
      </c>
      <c r="E29" s="27" t="s">
        <v>77</v>
      </c>
      <c r="F29" s="24" t="s">
        <v>96</v>
      </c>
      <c r="G29" s="27" t="s">
        <v>32</v>
      </c>
      <c r="H29" s="28">
        <v>17.0</v>
      </c>
      <c r="I29" s="29" t="str">
        <f>IFERROR(__xludf.DUMMYFUNCTION("IF(F29="""","""",LET(
  nombre, TRIM(F29),
  primer, REGEXEXTRACT(nombre, ""^\S+""),
  resto, TRIM(REGEXREPLACE(nombre, ""^\S+\s*"", """")),
  iniciales, IF(
    resto="""",
    """",
    TEXTJOIN("""",1,ARRAYFORMULA(LEFT(SPLIT(resto,"" ""),1) &amp; "".""))
 "&amp;" ),
  UPPER(primer) &amp; "" "" &amp; UPPER(iniciales)
))"),"JUAN C.H.M.")</f>
        <v>JUAN C.H.M.</v>
      </c>
      <c r="J29" s="29" t="str">
        <f>IFERROR(__xludf.DUMMYFUNCTION("IF(H29="""","""",IFERROR(
IF(REGEXMATCH(E29,""VELOCIDAD""),
   IF(H29&gt;=MAX(INDEX(BAREMOS!G:Y,MATCH(1,(BAREMOS!A:A=A29)*(BAREMOS!B:B=B29)*(BAREMOS!C:C=C29)*(BAREMOS!D:D=E29),0),0)),1,
      IF(H29&lt;=MIN(INDEX(BAREMOS!G:Y,MATCH(1,(BAREMOS!A:A=A29)*(BAREMOS!B"&amp;":B=B29)*(BAREMOS!C:C=C29)*(BAREMOS!D:D=E29),0),0)),19,
         MATCH(H29,INDEX(BAREMOS!G:Y,MATCH(1,(BAREMOS!A:A=A29)*(BAREMOS!B:B=B29)*(BAREMOS!C:C=C29)*(BAREMOS!D:D=E29),0),0),-1)
      )
   ),
   IF(H29&lt;=MIN(INDEX(BAREMOS!G:Y,MATCH(1,(BAREMOS!A:A=A29)*"&amp;"(BAREMOS!B:B=B29)*(BAREMOS!C:C=C29)*(BAREMOS!D:D=E29),0),0)),1,
      IF(H29&gt;=MAX(INDEX(BAREMOS!G:Y,MATCH(1,(BAREMOS!A:A=A29)*(BAREMOS!B:B=B29)*(BAREMOS!C:C=C29)*(BAREMOS!D:D=E29),0),0)),19,
         MATCH(H29,INDEX(BAREMOS!G:Y,MATCH(1,(BAREMOS!A:A=A29)*("&amp;"BAREMOS!B:B=B29)*(BAREMOS!C:C=C29)*(BAREMOS!D:D=E29),0),0),1)
      )
   )
)
,""""))
"),"")</f>
        <v/>
      </c>
      <c r="K29" s="30" t="str">
        <f t="shared" si="1"/>
        <v/>
      </c>
    </row>
    <row r="30">
      <c r="A30" s="23" t="str">
        <f t="array" ref="A30">IF(D30="","",IFERROR(INDEX(CONFIGURACION!C:C,MATCH(D30,CONFIGURACION!E:E,0)),""))
</f>
        <v>BCH</v>
      </c>
      <c r="B30" s="23">
        <f t="array" ref="B30">IF(D30="","",IFERROR(INDEX(CONFIGURACION!D:D,MATCH(D30,CONFIGURACION!E:E,0)),""))
</f>
        <v>1</v>
      </c>
      <c r="C30" s="26" t="s">
        <v>19</v>
      </c>
      <c r="D30" s="13" t="s">
        <v>89</v>
      </c>
      <c r="E30" s="27" t="s">
        <v>21</v>
      </c>
      <c r="F30" s="24" t="s">
        <v>96</v>
      </c>
      <c r="G30" s="27" t="s">
        <v>40</v>
      </c>
      <c r="H30" s="28">
        <v>15.0</v>
      </c>
      <c r="I30" s="29" t="str">
        <f>IFERROR(__xludf.DUMMYFUNCTION("IF(F30="""","""",LET(
  nombre, TRIM(F30),
  primer, REGEXEXTRACT(nombre, ""^\S+""),
  resto, TRIM(REGEXREPLACE(nombre, ""^\S+\s*"", """")),
  iniciales, IF(
    resto="""",
    """",
    TEXTJOIN("""",1,ARRAYFORMULA(LEFT(SPLIT(resto,"" ""),1) &amp; "".""))
 "&amp;" ),
  UPPER(primer) &amp; "" "" &amp; UPPER(iniciales)
))"),"JUAN C.H.M.")</f>
        <v>JUAN C.H.M.</v>
      </c>
      <c r="J30" s="29">
        <f>IFERROR(__xludf.DUMMYFUNCTION("IF(H30="""","""",IFERROR(
IF(REGEXMATCH(E30,""VELOCIDAD""),
   IF(H30&gt;=MAX(INDEX(BAREMOS!G:Y,MATCH(1,(BAREMOS!A:A=A30)*(BAREMOS!B:B=B30)*(BAREMOS!C:C=C30)*(BAREMOS!D:D=E30),0),0)),1,
      IF(H30&lt;=MIN(INDEX(BAREMOS!G:Y,MATCH(1,(BAREMOS!A:A=A30)*(BAREMOS!B"&amp;":B=B30)*(BAREMOS!C:C=C30)*(BAREMOS!D:D=E30),0),0)),19,
         MATCH(H30,INDEX(BAREMOS!G:Y,MATCH(1,(BAREMOS!A:A=A30)*(BAREMOS!B:B=B30)*(BAREMOS!C:C=C30)*(BAREMOS!D:D=E30),0),0),-1)
      )
   ),
   IF(H30&lt;=MIN(INDEX(BAREMOS!G:Y,MATCH(1,(BAREMOS!A:A=A30)*"&amp;"(BAREMOS!B:B=B30)*(BAREMOS!C:C=C30)*(BAREMOS!D:D=E30),0),0)),1,
      IF(H30&gt;=MAX(INDEX(BAREMOS!G:Y,MATCH(1,(BAREMOS!A:A=A30)*(BAREMOS!B:B=B30)*(BAREMOS!C:C=C30)*(BAREMOS!D:D=E30),0),0)),19,
         MATCH(H30,INDEX(BAREMOS!G:Y,MATCH(1,(BAREMOS!A:A=A30)*("&amp;"BAREMOS!B:B=B30)*(BAREMOS!C:C=C30)*(BAREMOS!D:D=E30),0),0),1)
      )
   )
)
,""""))
"),1.0)</f>
        <v>1</v>
      </c>
      <c r="K30" s="30">
        <f t="shared" si="1"/>
        <v>1</v>
      </c>
    </row>
    <row r="31">
      <c r="A31" s="23" t="str">
        <f t="array" ref="A31">IF(D31="","",IFERROR(INDEX(CONFIGURACION!C:C,MATCH(D31,CONFIGURACION!E:E,0)),""))
</f>
        <v>BCH</v>
      </c>
      <c r="B31" s="23">
        <f t="array" ref="B31">IF(D31="","",IFERROR(INDEX(CONFIGURACION!D:D,MATCH(D31,CONFIGURACION!E:E,0)),""))
</f>
        <v>1</v>
      </c>
      <c r="C31" s="26" t="s">
        <v>19</v>
      </c>
      <c r="D31" s="13" t="s">
        <v>89</v>
      </c>
      <c r="E31" s="27" t="s">
        <v>33</v>
      </c>
      <c r="F31" s="24" t="s">
        <v>96</v>
      </c>
      <c r="G31" s="27" t="s">
        <v>40</v>
      </c>
      <c r="H31" s="28">
        <v>4.0</v>
      </c>
      <c r="I31" s="29" t="str">
        <f>IFERROR(__xludf.DUMMYFUNCTION("IF(F31="""","""",LET(
  nombre, TRIM(F31),
  primer, REGEXEXTRACT(nombre, ""^\S+""),
  resto, TRIM(REGEXREPLACE(nombre, ""^\S+\s*"", """")),
  iniciales, IF(
    resto="""",
    """",
    TEXTJOIN("""",1,ARRAYFORMULA(LEFT(SPLIT(resto,"" ""),1) &amp; "".""))
 "&amp;" ),
  UPPER(primer) &amp; "" "" &amp; UPPER(iniciales)
))"),"JUAN C.H.M.")</f>
        <v>JUAN C.H.M.</v>
      </c>
      <c r="J31" s="29">
        <f>IFERROR(__xludf.DUMMYFUNCTION("IF(H31="""","""",IFERROR(
IF(REGEXMATCH(E31,""VELOCIDAD""),
   IF(H31&gt;=MAX(INDEX(BAREMOS!G:Y,MATCH(1,(BAREMOS!A:A=A31)*(BAREMOS!B:B=B31)*(BAREMOS!C:C=C31)*(BAREMOS!D:D=E31),0),0)),1,
      IF(H31&lt;=MIN(INDEX(BAREMOS!G:Y,MATCH(1,(BAREMOS!A:A=A31)*(BAREMOS!B"&amp;":B=B31)*(BAREMOS!C:C=C31)*(BAREMOS!D:D=E31),0),0)),19,
         MATCH(H31,INDEX(BAREMOS!G:Y,MATCH(1,(BAREMOS!A:A=A31)*(BAREMOS!B:B=B31)*(BAREMOS!C:C=C31)*(BAREMOS!D:D=E31),0),0),-1)
      )
   ),
   IF(H31&lt;=MIN(INDEX(BAREMOS!G:Y,MATCH(1,(BAREMOS!A:A=A31)*"&amp;"(BAREMOS!B:B=B31)*(BAREMOS!C:C=C31)*(BAREMOS!D:D=E31),0),0)),1,
      IF(H31&gt;=MAX(INDEX(BAREMOS!G:Y,MATCH(1,(BAREMOS!A:A=A31)*(BAREMOS!B:B=B31)*(BAREMOS!C:C=C31)*(BAREMOS!D:D=E31),0),0)),19,
         MATCH(H31,INDEX(BAREMOS!G:Y,MATCH(1,(BAREMOS!A:A=A31)*("&amp;"BAREMOS!B:B=B31)*(BAREMOS!C:C=C31)*(BAREMOS!D:D=E31),0),0),1)
      )
   )
)
,""""))
"),1.0)</f>
        <v>1</v>
      </c>
      <c r="K31" s="30">
        <f t="shared" si="1"/>
        <v>1</v>
      </c>
    </row>
    <row r="32">
      <c r="A32" s="23" t="str">
        <f t="array" ref="A32">IF(D32="","",IFERROR(INDEX(CONFIGURACION!C:C,MATCH(D32,CONFIGURACION!E:E,0)),""))
</f>
        <v>BCH</v>
      </c>
      <c r="B32" s="23">
        <f t="array" ref="B32">IF(D32="","",IFERROR(INDEX(CONFIGURACION!D:D,MATCH(D32,CONFIGURACION!E:E,0)),""))
</f>
        <v>1</v>
      </c>
      <c r="C32" s="26" t="s">
        <v>19</v>
      </c>
      <c r="D32" s="13" t="s">
        <v>89</v>
      </c>
      <c r="E32" s="27" t="s">
        <v>41</v>
      </c>
      <c r="F32" s="24" t="s">
        <v>96</v>
      </c>
      <c r="G32" s="27" t="s">
        <v>40</v>
      </c>
      <c r="H32" s="28">
        <v>5.0</v>
      </c>
      <c r="I32" s="29" t="str">
        <f>IFERROR(__xludf.DUMMYFUNCTION("IF(F32="""","""",LET(
  nombre, TRIM(F32),
  primer, REGEXEXTRACT(nombre, ""^\S+""),
  resto, TRIM(REGEXREPLACE(nombre, ""^\S+\s*"", """")),
  iniciales, IF(
    resto="""",
    """",
    TEXTJOIN("""",1,ARRAYFORMULA(LEFT(SPLIT(resto,"" ""),1) &amp; "".""))
 "&amp;" ),
  UPPER(primer) &amp; "" "" &amp; UPPER(iniciales)
))"),"JUAN C.H.M.")</f>
        <v>JUAN C.H.M.</v>
      </c>
      <c r="J32" s="29">
        <f>IFERROR(__xludf.DUMMYFUNCTION("IF(H32="""","""",IFERROR(
IF(REGEXMATCH(E32,""VELOCIDAD""),
   IF(H32&gt;=MAX(INDEX(BAREMOS!G:Y,MATCH(1,(BAREMOS!A:A=A32)*(BAREMOS!B:B=B32)*(BAREMOS!C:C=C32)*(BAREMOS!D:D=E32),0),0)),1,
      IF(H32&lt;=MIN(INDEX(BAREMOS!G:Y,MATCH(1,(BAREMOS!A:A=A32)*(BAREMOS!B"&amp;":B=B32)*(BAREMOS!C:C=C32)*(BAREMOS!D:D=E32),0),0)),19,
         MATCH(H32,INDEX(BAREMOS!G:Y,MATCH(1,(BAREMOS!A:A=A32)*(BAREMOS!B:B=B32)*(BAREMOS!C:C=C32)*(BAREMOS!D:D=E32),0),0),-1)
      )
   ),
   IF(H32&lt;=MIN(INDEX(BAREMOS!G:Y,MATCH(1,(BAREMOS!A:A=A32)*"&amp;"(BAREMOS!B:B=B32)*(BAREMOS!C:C=C32)*(BAREMOS!D:D=E32),0),0)),1,
      IF(H32&gt;=MAX(INDEX(BAREMOS!G:Y,MATCH(1,(BAREMOS!A:A=A32)*(BAREMOS!B:B=B32)*(BAREMOS!C:C=C32)*(BAREMOS!D:D=E32),0),0)),19,
         MATCH(H32,INDEX(BAREMOS!G:Y,MATCH(1,(BAREMOS!A:A=A32)*("&amp;"BAREMOS!B:B=B32)*(BAREMOS!C:C=C32)*(BAREMOS!D:D=E32),0),0),1)
      )
   )
)
,""""))
"),1.0)</f>
        <v>1</v>
      </c>
      <c r="K32" s="30">
        <f t="shared" si="1"/>
        <v>1</v>
      </c>
    </row>
    <row r="33">
      <c r="A33" s="23" t="str">
        <f t="array" ref="A33">IF(D33="","",IFERROR(INDEX(CONFIGURACION!C:C,MATCH(D33,CONFIGURACION!E:E,0)),""))
</f>
        <v>BCH</v>
      </c>
      <c r="B33" s="23">
        <f t="array" ref="B33">IF(D33="","",IFERROR(INDEX(CONFIGURACION!D:D,MATCH(D33,CONFIGURACION!E:E,0)),""))
</f>
        <v>1</v>
      </c>
      <c r="C33" s="26" t="s">
        <v>19</v>
      </c>
      <c r="D33" s="13" t="s">
        <v>89</v>
      </c>
      <c r="E33" s="27" t="s">
        <v>49</v>
      </c>
      <c r="F33" s="24" t="s">
        <v>96</v>
      </c>
      <c r="G33" s="27" t="s">
        <v>40</v>
      </c>
      <c r="H33" s="28">
        <v>6.0</v>
      </c>
      <c r="I33" s="29" t="str">
        <f>IFERROR(__xludf.DUMMYFUNCTION("IF(F33="""","""",LET(
  nombre, TRIM(F33),
  primer, REGEXEXTRACT(nombre, ""^\S+""),
  resto, TRIM(REGEXREPLACE(nombre, ""^\S+\s*"", """")),
  iniciales, IF(
    resto="""",
    """",
    TEXTJOIN("""",1,ARRAYFORMULA(LEFT(SPLIT(resto,"" ""),1) &amp; "".""))
 "&amp;" ),
  UPPER(primer) &amp; "" "" &amp; UPPER(iniciales)
))"),"JUAN C.H.M.")</f>
        <v>JUAN C.H.M.</v>
      </c>
      <c r="J33" s="29">
        <f>IFERROR(__xludf.DUMMYFUNCTION("IF(H33="""","""",IFERROR(
IF(REGEXMATCH(E33,""VELOCIDAD""),
   IF(H33&gt;=MAX(INDEX(BAREMOS!G:Y,MATCH(1,(BAREMOS!A:A=A33)*(BAREMOS!B:B=B33)*(BAREMOS!C:C=C33)*(BAREMOS!D:D=E33),0),0)),1,
      IF(H33&lt;=MIN(INDEX(BAREMOS!G:Y,MATCH(1,(BAREMOS!A:A=A33)*(BAREMOS!B"&amp;":B=B33)*(BAREMOS!C:C=C33)*(BAREMOS!D:D=E33),0),0)),19,
         MATCH(H33,INDEX(BAREMOS!G:Y,MATCH(1,(BAREMOS!A:A=A33)*(BAREMOS!B:B=B33)*(BAREMOS!C:C=C33)*(BAREMOS!D:D=E33),0),0),-1)
      )
   ),
   IF(H33&lt;=MIN(INDEX(BAREMOS!G:Y,MATCH(1,(BAREMOS!A:A=A33)*"&amp;"(BAREMOS!B:B=B33)*(BAREMOS!C:C=C33)*(BAREMOS!D:D=E33),0),0)),1,
      IF(H33&gt;=MAX(INDEX(BAREMOS!G:Y,MATCH(1,(BAREMOS!A:A=A33)*(BAREMOS!B:B=B33)*(BAREMOS!C:C=C33)*(BAREMOS!D:D=E33),0),0)),19,
         MATCH(H33,INDEX(BAREMOS!G:Y,MATCH(1,(BAREMOS!A:A=A33)*("&amp;"BAREMOS!B:B=B33)*(BAREMOS!C:C=C33)*(BAREMOS!D:D=E33),0),0),1)
      )
   )
)
,""""))
"),1.0)</f>
        <v>1</v>
      </c>
      <c r="K33" s="30">
        <f t="shared" si="1"/>
        <v>1</v>
      </c>
    </row>
    <row r="34">
      <c r="A34" s="23" t="str">
        <f t="array" ref="A34">IF(D34="","",IFERROR(INDEX(CONFIGURACION!C:C,MATCH(D34,CONFIGURACION!E:E,0)),""))
</f>
        <v>BCH</v>
      </c>
      <c r="B34" s="23">
        <f t="array" ref="B34">IF(D34="","",IFERROR(INDEX(CONFIGURACION!D:D,MATCH(D34,CONFIGURACION!E:E,0)),""))
</f>
        <v>1</v>
      </c>
      <c r="C34" s="26" t="s">
        <v>19</v>
      </c>
      <c r="D34" s="13" t="s">
        <v>89</v>
      </c>
      <c r="E34" s="27" t="s">
        <v>56</v>
      </c>
      <c r="F34" s="24" t="s">
        <v>96</v>
      </c>
      <c r="G34" s="27" t="s">
        <v>40</v>
      </c>
      <c r="H34" s="28">
        <v>7.0</v>
      </c>
      <c r="I34" s="29" t="str">
        <f>IFERROR(__xludf.DUMMYFUNCTION("IF(F34="""","""",LET(
  nombre, TRIM(F34),
  primer, REGEXEXTRACT(nombre, ""^\S+""),
  resto, TRIM(REGEXREPLACE(nombre, ""^\S+\s*"", """")),
  iniciales, IF(
    resto="""",
    """",
    TEXTJOIN("""",1,ARRAYFORMULA(LEFT(SPLIT(resto,"" ""),1) &amp; "".""))
 "&amp;" ),
  UPPER(primer) &amp; "" "" &amp; UPPER(iniciales)
))"),"JUAN C.H.M.")</f>
        <v>JUAN C.H.M.</v>
      </c>
      <c r="J34" s="29">
        <f>IFERROR(__xludf.DUMMYFUNCTION("IF(H34="""","""",IFERROR(
IF(REGEXMATCH(E34,""VELOCIDAD""),
   IF(H34&gt;=MAX(INDEX(BAREMOS!G:Y,MATCH(1,(BAREMOS!A:A=A34)*(BAREMOS!B:B=B34)*(BAREMOS!C:C=C34)*(BAREMOS!D:D=E34),0),0)),1,
      IF(H34&lt;=MIN(INDEX(BAREMOS!G:Y,MATCH(1,(BAREMOS!A:A=A34)*(BAREMOS!B"&amp;":B=B34)*(BAREMOS!C:C=C34)*(BAREMOS!D:D=E34),0),0)),19,
         MATCH(H34,INDEX(BAREMOS!G:Y,MATCH(1,(BAREMOS!A:A=A34)*(BAREMOS!B:B=B34)*(BAREMOS!C:C=C34)*(BAREMOS!D:D=E34),0),0),-1)
      )
   ),
   IF(H34&lt;=MIN(INDEX(BAREMOS!G:Y,MATCH(1,(BAREMOS!A:A=A34)*"&amp;"(BAREMOS!B:B=B34)*(BAREMOS!C:C=C34)*(BAREMOS!D:D=E34),0),0)),1,
      IF(H34&gt;=MAX(INDEX(BAREMOS!G:Y,MATCH(1,(BAREMOS!A:A=A34)*(BAREMOS!B:B=B34)*(BAREMOS!C:C=C34)*(BAREMOS!D:D=E34),0),0)),19,
         MATCH(H34,INDEX(BAREMOS!G:Y,MATCH(1,(BAREMOS!A:A=A34)*("&amp;"BAREMOS!B:B=B34)*(BAREMOS!C:C=C34)*(BAREMOS!D:D=E34),0),0),1)
      )
   )
)
,""""))
"),1.0)</f>
        <v>1</v>
      </c>
      <c r="K34" s="30">
        <f t="shared" si="1"/>
        <v>1</v>
      </c>
    </row>
    <row r="35">
      <c r="A35" s="23" t="str">
        <f t="array" ref="A35">IF(D35="","",IFERROR(INDEX(CONFIGURACION!C:C,MATCH(D35,CONFIGURACION!E:E,0)),""))
</f>
        <v>BCH</v>
      </c>
      <c r="B35" s="23">
        <f t="array" ref="B35">IF(D35="","",IFERROR(INDEX(CONFIGURACION!D:D,MATCH(D35,CONFIGURACION!E:E,0)),""))
</f>
        <v>1</v>
      </c>
      <c r="C35" s="26" t="s">
        <v>19</v>
      </c>
      <c r="D35" s="13" t="s">
        <v>89</v>
      </c>
      <c r="E35" s="27" t="s">
        <v>62</v>
      </c>
      <c r="F35" s="24" t="s">
        <v>96</v>
      </c>
      <c r="G35" s="27" t="s">
        <v>40</v>
      </c>
      <c r="H35" s="28">
        <v>8.0</v>
      </c>
      <c r="I35" s="29" t="str">
        <f>IFERROR(__xludf.DUMMYFUNCTION("IF(F35="""","""",LET(
  nombre, TRIM(F35),
  primer, REGEXEXTRACT(nombre, ""^\S+""),
  resto, TRIM(REGEXREPLACE(nombre, ""^\S+\s*"", """")),
  iniciales, IF(
    resto="""",
    """",
    TEXTJOIN("""",1,ARRAYFORMULA(LEFT(SPLIT(resto,"" ""),1) &amp; "".""))
 "&amp;" ),
  UPPER(primer) &amp; "" "" &amp; UPPER(iniciales)
))"),"JUAN C.H.M.")</f>
        <v>JUAN C.H.M.</v>
      </c>
      <c r="J35" s="29">
        <f>IFERROR(__xludf.DUMMYFUNCTION("IF(H35="""","""",IFERROR(
IF(REGEXMATCH(E35,""VELOCIDAD""),
   IF(H35&gt;=MAX(INDEX(BAREMOS!G:Y,MATCH(1,(BAREMOS!A:A=A35)*(BAREMOS!B:B=B35)*(BAREMOS!C:C=C35)*(BAREMOS!D:D=E35),0),0)),1,
      IF(H35&lt;=MIN(INDEX(BAREMOS!G:Y,MATCH(1,(BAREMOS!A:A=A35)*(BAREMOS!B"&amp;":B=B35)*(BAREMOS!C:C=C35)*(BAREMOS!D:D=E35),0),0)),19,
         MATCH(H35,INDEX(BAREMOS!G:Y,MATCH(1,(BAREMOS!A:A=A35)*(BAREMOS!B:B=B35)*(BAREMOS!C:C=C35)*(BAREMOS!D:D=E35),0),0),-1)
      )
   ),
   IF(H35&lt;=MIN(INDEX(BAREMOS!G:Y,MATCH(1,(BAREMOS!A:A=A35)*"&amp;"(BAREMOS!B:B=B35)*(BAREMOS!C:C=C35)*(BAREMOS!D:D=E35),0),0)),1,
      IF(H35&gt;=MAX(INDEX(BAREMOS!G:Y,MATCH(1,(BAREMOS!A:A=A35)*(BAREMOS!B:B=B35)*(BAREMOS!C:C=C35)*(BAREMOS!D:D=E35),0),0)),19,
         MATCH(H35,INDEX(BAREMOS!G:Y,MATCH(1,(BAREMOS!A:A=A35)*("&amp;"BAREMOS!B:B=B35)*(BAREMOS!C:C=C35)*(BAREMOS!D:D=E35),0),0),1)
      )
   )
)
,""""))
"),1.0)</f>
        <v>1</v>
      </c>
      <c r="K35" s="30">
        <f t="shared" si="1"/>
        <v>1</v>
      </c>
    </row>
    <row r="36">
      <c r="A36" s="23" t="str">
        <f t="array" ref="A36">IF(D36="","",IFERROR(INDEX(CONFIGURACION!C:C,MATCH(D36,CONFIGURACION!E:E,0)),""))
</f>
        <v>BCH</v>
      </c>
      <c r="B36" s="23">
        <f t="array" ref="B36">IF(D36="","",IFERROR(INDEX(CONFIGURACION!D:D,MATCH(D36,CONFIGURACION!E:E,0)),""))
</f>
        <v>1</v>
      </c>
      <c r="C36" s="26" t="s">
        <v>19</v>
      </c>
      <c r="D36" s="13" t="s">
        <v>89</v>
      </c>
      <c r="E36" s="27" t="s">
        <v>70</v>
      </c>
      <c r="F36" s="24" t="s">
        <v>96</v>
      </c>
      <c r="G36" s="27" t="s">
        <v>40</v>
      </c>
      <c r="H36" s="28">
        <v>9.0</v>
      </c>
      <c r="I36" s="29" t="str">
        <f>IFERROR(__xludf.DUMMYFUNCTION("IF(F36="""","""",LET(
  nombre, TRIM(F36),
  primer, REGEXEXTRACT(nombre, ""^\S+""),
  resto, TRIM(REGEXREPLACE(nombre, ""^\S+\s*"", """")),
  iniciales, IF(
    resto="""",
    """",
    TEXTJOIN("""",1,ARRAYFORMULA(LEFT(SPLIT(resto,"" ""),1) &amp; "".""))
 "&amp;" ),
  UPPER(primer) &amp; "" "" &amp; UPPER(iniciales)
))"),"JUAN C.H.M.")</f>
        <v>JUAN C.H.M.</v>
      </c>
      <c r="J36" s="29">
        <f>IFERROR(__xludf.DUMMYFUNCTION("IF(H36="""","""",IFERROR(
IF(REGEXMATCH(E36,""VELOCIDAD""),
   IF(H36&gt;=MAX(INDEX(BAREMOS!G:Y,MATCH(1,(BAREMOS!A:A=A36)*(BAREMOS!B:B=B36)*(BAREMOS!C:C=C36)*(BAREMOS!D:D=E36),0),0)),1,
      IF(H36&lt;=MIN(INDEX(BAREMOS!G:Y,MATCH(1,(BAREMOS!A:A=A36)*(BAREMOS!B"&amp;":B=B36)*(BAREMOS!C:C=C36)*(BAREMOS!D:D=E36),0),0)),19,
         MATCH(H36,INDEX(BAREMOS!G:Y,MATCH(1,(BAREMOS!A:A=A36)*(BAREMOS!B:B=B36)*(BAREMOS!C:C=C36)*(BAREMOS!D:D=E36),0),0),-1)
      )
   ),
   IF(H36&lt;=MIN(INDEX(BAREMOS!G:Y,MATCH(1,(BAREMOS!A:A=A36)*"&amp;"(BAREMOS!B:B=B36)*(BAREMOS!C:C=C36)*(BAREMOS!D:D=E36),0),0)),1,
      IF(H36&gt;=MAX(INDEX(BAREMOS!G:Y,MATCH(1,(BAREMOS!A:A=A36)*(BAREMOS!B:B=B36)*(BAREMOS!C:C=C36)*(BAREMOS!D:D=E36),0),0)),19,
         MATCH(H36,INDEX(BAREMOS!G:Y,MATCH(1,(BAREMOS!A:A=A36)*("&amp;"BAREMOS!B:B=B36)*(BAREMOS!C:C=C36)*(BAREMOS!D:D=E36),0),0),1)
      )
   )
)
,""""))
"),19.0)</f>
        <v>19</v>
      </c>
      <c r="K36" s="30">
        <f t="shared" si="1"/>
        <v>10</v>
      </c>
    </row>
    <row r="37">
      <c r="A37" s="23" t="str">
        <f t="array" ref="A37">IF(D37="","",IFERROR(INDEX(CONFIGURACION!C:C,MATCH(D37,CONFIGURACION!E:E,0)),""))
</f>
        <v>BCH</v>
      </c>
      <c r="B37" s="23">
        <f t="array" ref="B37">IF(D37="","",IFERROR(INDEX(CONFIGURACION!D:D,MATCH(D37,CONFIGURACION!E:E,0)),""))
</f>
        <v>1</v>
      </c>
      <c r="C37" s="26" t="s">
        <v>19</v>
      </c>
      <c r="D37" s="13" t="s">
        <v>89</v>
      </c>
      <c r="E37" s="27" t="s">
        <v>77</v>
      </c>
      <c r="F37" s="24" t="s">
        <v>96</v>
      </c>
      <c r="G37" s="27" t="s">
        <v>40</v>
      </c>
      <c r="H37" s="28">
        <v>10.0</v>
      </c>
      <c r="I37" s="29" t="str">
        <f>IFERROR(__xludf.DUMMYFUNCTION("IF(F37="""","""",LET(
  nombre, TRIM(F37),
  primer, REGEXEXTRACT(nombre, ""^\S+""),
  resto, TRIM(REGEXREPLACE(nombre, ""^\S+\s*"", """")),
  iniciales, IF(
    resto="""",
    """",
    TEXTJOIN("""",1,ARRAYFORMULA(LEFT(SPLIT(resto,"" ""),1) &amp; "".""))
 "&amp;" ),
  UPPER(primer) &amp; "" "" &amp; UPPER(iniciales)
))"),"JUAN C.H.M.")</f>
        <v>JUAN C.H.M.</v>
      </c>
      <c r="J37" s="29" t="str">
        <f>IFERROR(__xludf.DUMMYFUNCTION("IF(H37="""","""",IFERROR(
IF(REGEXMATCH(E37,""VELOCIDAD""),
   IF(H37&gt;=MAX(INDEX(BAREMOS!G:Y,MATCH(1,(BAREMOS!A:A=A37)*(BAREMOS!B:B=B37)*(BAREMOS!C:C=C37)*(BAREMOS!D:D=E37),0),0)),1,
      IF(H37&lt;=MIN(INDEX(BAREMOS!G:Y,MATCH(1,(BAREMOS!A:A=A37)*(BAREMOS!B"&amp;":B=B37)*(BAREMOS!C:C=C37)*(BAREMOS!D:D=E37),0),0)),19,
         MATCH(H37,INDEX(BAREMOS!G:Y,MATCH(1,(BAREMOS!A:A=A37)*(BAREMOS!B:B=B37)*(BAREMOS!C:C=C37)*(BAREMOS!D:D=E37),0),0),-1)
      )
   ),
   IF(H37&lt;=MIN(INDEX(BAREMOS!G:Y,MATCH(1,(BAREMOS!A:A=A37)*"&amp;"(BAREMOS!B:B=B37)*(BAREMOS!C:C=C37)*(BAREMOS!D:D=E37),0),0)),1,
      IF(H37&gt;=MAX(INDEX(BAREMOS!G:Y,MATCH(1,(BAREMOS!A:A=A37)*(BAREMOS!B:B=B37)*(BAREMOS!C:C=C37)*(BAREMOS!D:D=E37),0),0)),19,
         MATCH(H37,INDEX(BAREMOS!G:Y,MATCH(1,(BAREMOS!A:A=A37)*("&amp;"BAREMOS!B:B=B37)*(BAREMOS!C:C=C37)*(BAREMOS!D:D=E37),0),0),1)
      )
   )
)
,""""))
"),"")</f>
        <v/>
      </c>
      <c r="K37" s="30" t="str">
        <f t="shared" si="1"/>
        <v/>
      </c>
    </row>
    <row r="38">
      <c r="A38" s="23" t="str">
        <f t="array" ref="A38">IF(D38="","",IFERROR(INDEX(CONFIGURACION!C:C,MATCH(D38,CONFIGURACION!E:E,0)),""))
</f>
        <v>BCH</v>
      </c>
      <c r="B38" s="23">
        <f t="array" ref="B38">IF(D38="","",IFERROR(INDEX(CONFIGURACION!D:D,MATCH(D38,CONFIGURACION!E:E,0)),""))
</f>
        <v>1</v>
      </c>
      <c r="C38" s="26" t="s">
        <v>19</v>
      </c>
      <c r="D38" s="13" t="s">
        <v>89</v>
      </c>
      <c r="E38" s="27" t="s">
        <v>21</v>
      </c>
      <c r="F38" s="24" t="s">
        <v>97</v>
      </c>
      <c r="G38" s="27" t="s">
        <v>40</v>
      </c>
      <c r="H38" s="28">
        <v>9.0</v>
      </c>
      <c r="I38" s="29" t="str">
        <f>IFERROR(__xludf.DUMMYFUNCTION("IF(F38="""","""",LET(
  nombre, TRIM(F38),
  primer, REGEXEXTRACT(nombre, ""^\S+""),
  resto, TRIM(REGEXREPLACE(nombre, ""^\S+\s*"", """")),
  iniciales, IF(
    resto="""",
    """",
    TEXTJOIN("""",1,ARRAYFORMULA(LEFT(SPLIT(resto,"" ""),1) &amp; "".""))
 "&amp;" ),
  UPPER(primer) &amp; "" "" &amp; UPPER(iniciales)
))"),"GERARDO H.C.")</f>
        <v>GERARDO H.C.</v>
      </c>
      <c r="J38" s="29">
        <f>IFERROR(__xludf.DUMMYFUNCTION("IF(H38="""","""",IFERROR(
IF(REGEXMATCH(E38,""VELOCIDAD""),
   IF(H38&gt;=MAX(INDEX(BAREMOS!G:Y,MATCH(1,(BAREMOS!A:A=A38)*(BAREMOS!B:B=B38)*(BAREMOS!C:C=C38)*(BAREMOS!D:D=E38),0),0)),1,
      IF(H38&lt;=MIN(INDEX(BAREMOS!G:Y,MATCH(1,(BAREMOS!A:A=A38)*(BAREMOS!B"&amp;":B=B38)*(BAREMOS!C:C=C38)*(BAREMOS!D:D=E38),0),0)),19,
         MATCH(H38,INDEX(BAREMOS!G:Y,MATCH(1,(BAREMOS!A:A=A38)*(BAREMOS!B:B=B38)*(BAREMOS!C:C=C38)*(BAREMOS!D:D=E38),0),0),-1)
      )
   ),
   IF(H38&lt;=MIN(INDEX(BAREMOS!G:Y,MATCH(1,(BAREMOS!A:A=A38)*"&amp;"(BAREMOS!B:B=B38)*(BAREMOS!C:C=C38)*(BAREMOS!D:D=E38),0),0)),1,
      IF(H38&gt;=MAX(INDEX(BAREMOS!G:Y,MATCH(1,(BAREMOS!A:A=A38)*(BAREMOS!B:B=B38)*(BAREMOS!C:C=C38)*(BAREMOS!D:D=E38),0),0)),19,
         MATCH(H38,INDEX(BAREMOS!G:Y,MATCH(1,(BAREMOS!A:A=A38)*("&amp;"BAREMOS!B:B=B38)*(BAREMOS!C:C=C38)*(BAREMOS!D:D=E38),0),0),1)
      )
   )
)
,""""))
"),1.0)</f>
        <v>1</v>
      </c>
      <c r="K38" s="30">
        <f t="shared" si="1"/>
        <v>1</v>
      </c>
    </row>
    <row r="39">
      <c r="A39" s="23" t="str">
        <f t="array" ref="A39">IF(D39="","",IFERROR(INDEX(CONFIGURACION!C:C,MATCH(D39,CONFIGURACION!E:E,0)),""))
</f>
        <v>BCH</v>
      </c>
      <c r="B39" s="23">
        <f t="array" ref="B39">IF(D39="","",IFERROR(INDEX(CONFIGURACION!D:D,MATCH(D39,CONFIGURACION!E:E,0)),""))
</f>
        <v>1</v>
      </c>
      <c r="C39" s="26" t="s">
        <v>19</v>
      </c>
      <c r="D39" s="13" t="s">
        <v>89</v>
      </c>
      <c r="E39" s="27" t="s">
        <v>33</v>
      </c>
      <c r="F39" s="24" t="s">
        <v>97</v>
      </c>
      <c r="G39" s="27" t="s">
        <v>40</v>
      </c>
      <c r="H39" s="28">
        <v>8.0</v>
      </c>
      <c r="I39" s="29" t="str">
        <f>IFERROR(__xludf.DUMMYFUNCTION("IF(F39="""","""",LET(
  nombre, TRIM(F39),
  primer, REGEXEXTRACT(nombre, ""^\S+""),
  resto, TRIM(REGEXREPLACE(nombre, ""^\S+\s*"", """")),
  iniciales, IF(
    resto="""",
    """",
    TEXTJOIN("""",1,ARRAYFORMULA(LEFT(SPLIT(resto,"" ""),1) &amp; "".""))
 "&amp;" ),
  UPPER(primer) &amp; "" "" &amp; UPPER(iniciales)
))"),"GERARDO H.C.")</f>
        <v>GERARDO H.C.</v>
      </c>
      <c r="J39" s="29">
        <f>IFERROR(__xludf.DUMMYFUNCTION("IF(H39="""","""",IFERROR(
IF(REGEXMATCH(E39,""VELOCIDAD""),
   IF(H39&gt;=MAX(INDEX(BAREMOS!G:Y,MATCH(1,(BAREMOS!A:A=A39)*(BAREMOS!B:B=B39)*(BAREMOS!C:C=C39)*(BAREMOS!D:D=E39),0),0)),1,
      IF(H39&lt;=MIN(INDEX(BAREMOS!G:Y,MATCH(1,(BAREMOS!A:A=A39)*(BAREMOS!B"&amp;":B=B39)*(BAREMOS!C:C=C39)*(BAREMOS!D:D=E39),0),0)),19,
         MATCH(H39,INDEX(BAREMOS!G:Y,MATCH(1,(BAREMOS!A:A=A39)*(BAREMOS!B:B=B39)*(BAREMOS!C:C=C39)*(BAREMOS!D:D=E39),0),0),-1)
      )
   ),
   IF(H39&lt;=MIN(INDEX(BAREMOS!G:Y,MATCH(1,(BAREMOS!A:A=A39)*"&amp;"(BAREMOS!B:B=B39)*(BAREMOS!C:C=C39)*(BAREMOS!D:D=E39),0),0)),1,
      IF(H39&gt;=MAX(INDEX(BAREMOS!G:Y,MATCH(1,(BAREMOS!A:A=A39)*(BAREMOS!B:B=B39)*(BAREMOS!C:C=C39)*(BAREMOS!D:D=E39),0),0)),19,
         MATCH(H39,INDEX(BAREMOS!G:Y,MATCH(1,(BAREMOS!A:A=A39)*("&amp;"BAREMOS!B:B=B39)*(BAREMOS!C:C=C39)*(BAREMOS!D:D=E39),0),0),1)
      )
   )
)
,""""))
"),11.0)</f>
        <v>11</v>
      </c>
      <c r="K39" s="30">
        <f t="shared" si="1"/>
        <v>6</v>
      </c>
    </row>
    <row r="40">
      <c r="A40" s="23" t="str">
        <f t="array" ref="A40">IF(D40="","",IFERROR(INDEX(CONFIGURACION!C:C,MATCH(D40,CONFIGURACION!E:E,0)),""))
</f>
        <v>BCH</v>
      </c>
      <c r="B40" s="23">
        <f t="array" ref="B40">IF(D40="","",IFERROR(INDEX(CONFIGURACION!D:D,MATCH(D40,CONFIGURACION!E:E,0)),""))
</f>
        <v>1</v>
      </c>
      <c r="C40" s="26" t="s">
        <v>19</v>
      </c>
      <c r="D40" s="13" t="s">
        <v>89</v>
      </c>
      <c r="E40" s="27" t="s">
        <v>41</v>
      </c>
      <c r="F40" s="24" t="s">
        <v>97</v>
      </c>
      <c r="G40" s="27" t="s">
        <v>40</v>
      </c>
      <c r="H40" s="28">
        <v>7.0</v>
      </c>
      <c r="I40" s="29" t="str">
        <f>IFERROR(__xludf.DUMMYFUNCTION("IF(F40="""","""",LET(
  nombre, TRIM(F40),
  primer, REGEXEXTRACT(nombre, ""^\S+""),
  resto, TRIM(REGEXREPLACE(nombre, ""^\S+\s*"", """")),
  iniciales, IF(
    resto="""",
    """",
    TEXTJOIN("""",1,ARRAYFORMULA(LEFT(SPLIT(resto,"" ""),1) &amp; "".""))
 "&amp;" ),
  UPPER(primer) &amp; "" "" &amp; UPPER(iniciales)
))"),"GERARDO H.C.")</f>
        <v>GERARDO H.C.</v>
      </c>
      <c r="J40" s="29">
        <f>IFERROR(__xludf.DUMMYFUNCTION("IF(H40="""","""",IFERROR(
IF(REGEXMATCH(E40,""VELOCIDAD""),
   IF(H40&gt;=MAX(INDEX(BAREMOS!G:Y,MATCH(1,(BAREMOS!A:A=A40)*(BAREMOS!B:B=B40)*(BAREMOS!C:C=C40)*(BAREMOS!D:D=E40),0),0)),1,
      IF(H40&lt;=MIN(INDEX(BAREMOS!G:Y,MATCH(1,(BAREMOS!A:A=A40)*(BAREMOS!B"&amp;":B=B40)*(BAREMOS!C:C=C40)*(BAREMOS!D:D=E40),0),0)),19,
         MATCH(H40,INDEX(BAREMOS!G:Y,MATCH(1,(BAREMOS!A:A=A40)*(BAREMOS!B:B=B40)*(BAREMOS!C:C=C40)*(BAREMOS!D:D=E40),0),0),-1)
      )
   ),
   IF(H40&lt;=MIN(INDEX(BAREMOS!G:Y,MATCH(1,(BAREMOS!A:A=A40)*"&amp;"(BAREMOS!B:B=B40)*(BAREMOS!C:C=C40)*(BAREMOS!D:D=E40),0),0)),1,
      IF(H40&gt;=MAX(INDEX(BAREMOS!G:Y,MATCH(1,(BAREMOS!A:A=A40)*(BAREMOS!B:B=B40)*(BAREMOS!C:C=C40)*(BAREMOS!D:D=E40),0),0)),19,
         MATCH(H40,INDEX(BAREMOS!G:Y,MATCH(1,(BAREMOS!A:A=A40)*("&amp;"BAREMOS!B:B=B40)*(BAREMOS!C:C=C40)*(BAREMOS!D:D=E40),0),0),1)
      )
   )
)
,""""))
"),1.0)</f>
        <v>1</v>
      </c>
      <c r="K40" s="30">
        <f t="shared" si="1"/>
        <v>1</v>
      </c>
    </row>
    <row r="41">
      <c r="A41" s="23" t="str">
        <f t="array" ref="A41">IF(D41="","",IFERROR(INDEX(CONFIGURACION!C:C,MATCH(D41,CONFIGURACION!E:E,0)),""))
</f>
        <v>BCH</v>
      </c>
      <c r="B41" s="23">
        <f t="array" ref="B41">IF(D41="","",IFERROR(INDEX(CONFIGURACION!D:D,MATCH(D41,CONFIGURACION!E:E,0)),""))
</f>
        <v>1</v>
      </c>
      <c r="C41" s="26" t="s">
        <v>19</v>
      </c>
      <c r="D41" s="13" t="s">
        <v>89</v>
      </c>
      <c r="E41" s="27" t="s">
        <v>49</v>
      </c>
      <c r="F41" s="24" t="s">
        <v>97</v>
      </c>
      <c r="G41" s="27" t="s">
        <v>40</v>
      </c>
      <c r="H41" s="28">
        <v>6.0</v>
      </c>
      <c r="I41" s="29" t="str">
        <f>IFERROR(__xludf.DUMMYFUNCTION("IF(F41="""","""",LET(
  nombre, TRIM(F41),
  primer, REGEXEXTRACT(nombre, ""^\S+""),
  resto, TRIM(REGEXREPLACE(nombre, ""^\S+\s*"", """")),
  iniciales, IF(
    resto="""",
    """",
    TEXTJOIN("""",1,ARRAYFORMULA(LEFT(SPLIT(resto,"" ""),1) &amp; "".""))
 "&amp;" ),
  UPPER(primer) &amp; "" "" &amp; UPPER(iniciales)
))"),"GERARDO H.C.")</f>
        <v>GERARDO H.C.</v>
      </c>
      <c r="J41" s="29">
        <f>IFERROR(__xludf.DUMMYFUNCTION("IF(H41="""","""",IFERROR(
IF(REGEXMATCH(E41,""VELOCIDAD""),
   IF(H41&gt;=MAX(INDEX(BAREMOS!G:Y,MATCH(1,(BAREMOS!A:A=A41)*(BAREMOS!B:B=B41)*(BAREMOS!C:C=C41)*(BAREMOS!D:D=E41),0),0)),1,
      IF(H41&lt;=MIN(INDEX(BAREMOS!G:Y,MATCH(1,(BAREMOS!A:A=A41)*(BAREMOS!B"&amp;":B=B41)*(BAREMOS!C:C=C41)*(BAREMOS!D:D=E41),0),0)),19,
         MATCH(H41,INDEX(BAREMOS!G:Y,MATCH(1,(BAREMOS!A:A=A41)*(BAREMOS!B:B=B41)*(BAREMOS!C:C=C41)*(BAREMOS!D:D=E41),0),0),-1)
      )
   ),
   IF(H41&lt;=MIN(INDEX(BAREMOS!G:Y,MATCH(1,(BAREMOS!A:A=A41)*"&amp;"(BAREMOS!B:B=B41)*(BAREMOS!C:C=C41)*(BAREMOS!D:D=E41),0),0)),1,
      IF(H41&gt;=MAX(INDEX(BAREMOS!G:Y,MATCH(1,(BAREMOS!A:A=A41)*(BAREMOS!B:B=B41)*(BAREMOS!C:C=C41)*(BAREMOS!D:D=E41),0),0)),19,
         MATCH(H41,INDEX(BAREMOS!G:Y,MATCH(1,(BAREMOS!A:A=A41)*("&amp;"BAREMOS!B:B=B41)*(BAREMOS!C:C=C41)*(BAREMOS!D:D=E41),0),0),1)
      )
   )
)
,""""))
"),1.0)</f>
        <v>1</v>
      </c>
      <c r="K41" s="30">
        <f t="shared" si="1"/>
        <v>1</v>
      </c>
    </row>
    <row r="42">
      <c r="A42" s="23" t="str">
        <f t="array" ref="A42">IF(D42="","",IFERROR(INDEX(CONFIGURACION!C:C,MATCH(D42,CONFIGURACION!E:E,0)),""))
</f>
        <v>BCH</v>
      </c>
      <c r="B42" s="23">
        <f t="array" ref="B42">IF(D42="","",IFERROR(INDEX(CONFIGURACION!D:D,MATCH(D42,CONFIGURACION!E:E,0)),""))
</f>
        <v>1</v>
      </c>
      <c r="C42" s="26" t="s">
        <v>19</v>
      </c>
      <c r="D42" s="13" t="s">
        <v>89</v>
      </c>
      <c r="E42" s="27" t="s">
        <v>56</v>
      </c>
      <c r="F42" s="24" t="s">
        <v>97</v>
      </c>
      <c r="G42" s="27" t="s">
        <v>40</v>
      </c>
      <c r="H42" s="28">
        <v>5.0</v>
      </c>
      <c r="I42" s="29" t="str">
        <f>IFERROR(__xludf.DUMMYFUNCTION("IF(F42="""","""",LET(
  nombre, TRIM(F42),
  primer, REGEXEXTRACT(nombre, ""^\S+""),
  resto, TRIM(REGEXREPLACE(nombre, ""^\S+\s*"", """")),
  iniciales, IF(
    resto="""",
    """",
    TEXTJOIN("""",1,ARRAYFORMULA(LEFT(SPLIT(resto,"" ""),1) &amp; "".""))
 "&amp;" ),
  UPPER(primer) &amp; "" "" &amp; UPPER(iniciales)
))"),"GERARDO H.C.")</f>
        <v>GERARDO H.C.</v>
      </c>
      <c r="J42" s="29">
        <f>IFERROR(__xludf.DUMMYFUNCTION("IF(H42="""","""",IFERROR(
IF(REGEXMATCH(E42,""VELOCIDAD""),
   IF(H42&gt;=MAX(INDEX(BAREMOS!G:Y,MATCH(1,(BAREMOS!A:A=A42)*(BAREMOS!B:B=B42)*(BAREMOS!C:C=C42)*(BAREMOS!D:D=E42),0),0)),1,
      IF(H42&lt;=MIN(INDEX(BAREMOS!G:Y,MATCH(1,(BAREMOS!A:A=A42)*(BAREMOS!B"&amp;":B=B42)*(BAREMOS!C:C=C42)*(BAREMOS!D:D=E42),0),0)),19,
         MATCH(H42,INDEX(BAREMOS!G:Y,MATCH(1,(BAREMOS!A:A=A42)*(BAREMOS!B:B=B42)*(BAREMOS!C:C=C42)*(BAREMOS!D:D=E42),0),0),-1)
      )
   ),
   IF(H42&lt;=MIN(INDEX(BAREMOS!G:Y,MATCH(1,(BAREMOS!A:A=A42)*"&amp;"(BAREMOS!B:B=B42)*(BAREMOS!C:C=C42)*(BAREMOS!D:D=E42),0),0)),1,
      IF(H42&gt;=MAX(INDEX(BAREMOS!G:Y,MATCH(1,(BAREMOS!A:A=A42)*(BAREMOS!B:B=B42)*(BAREMOS!C:C=C42)*(BAREMOS!D:D=E42),0),0)),19,
         MATCH(H42,INDEX(BAREMOS!G:Y,MATCH(1,(BAREMOS!A:A=A42)*("&amp;"BAREMOS!B:B=B42)*(BAREMOS!C:C=C42)*(BAREMOS!D:D=E42),0),0),1)
      )
   )
)
,""""))
"),1.0)</f>
        <v>1</v>
      </c>
      <c r="K42" s="30">
        <f t="shared" si="1"/>
        <v>1</v>
      </c>
    </row>
    <row r="43">
      <c r="A43" s="23" t="str">
        <f t="array" ref="A43">IF(D43="","",IFERROR(INDEX(CONFIGURACION!C:C,MATCH(D43,CONFIGURACION!E:E,0)),""))
</f>
        <v>BCH</v>
      </c>
      <c r="B43" s="23">
        <f t="array" ref="B43">IF(D43="","",IFERROR(INDEX(CONFIGURACION!D:D,MATCH(D43,CONFIGURACION!E:E,0)),""))
</f>
        <v>1</v>
      </c>
      <c r="C43" s="26" t="s">
        <v>19</v>
      </c>
      <c r="D43" s="13" t="s">
        <v>89</v>
      </c>
      <c r="E43" s="27" t="s">
        <v>62</v>
      </c>
      <c r="F43" s="24" t="s">
        <v>97</v>
      </c>
      <c r="G43" s="27" t="s">
        <v>40</v>
      </c>
      <c r="H43" s="28">
        <v>4.0</v>
      </c>
      <c r="I43" s="29" t="str">
        <f>IFERROR(__xludf.DUMMYFUNCTION("IF(F43="""","""",LET(
  nombre, TRIM(F43),
  primer, REGEXEXTRACT(nombre, ""^\S+""),
  resto, TRIM(REGEXREPLACE(nombre, ""^\S+\s*"", """")),
  iniciales, IF(
    resto="""",
    """",
    TEXTJOIN("""",1,ARRAYFORMULA(LEFT(SPLIT(resto,"" ""),1) &amp; "".""))
 "&amp;" ),
  UPPER(primer) &amp; "" "" &amp; UPPER(iniciales)
))"),"GERARDO H.C.")</f>
        <v>GERARDO H.C.</v>
      </c>
      <c r="J43" s="29">
        <f>IFERROR(__xludf.DUMMYFUNCTION("IF(H43="""","""",IFERROR(
IF(REGEXMATCH(E43,""VELOCIDAD""),
   IF(H43&gt;=MAX(INDEX(BAREMOS!G:Y,MATCH(1,(BAREMOS!A:A=A43)*(BAREMOS!B:B=B43)*(BAREMOS!C:C=C43)*(BAREMOS!D:D=E43),0),0)),1,
      IF(H43&lt;=MIN(INDEX(BAREMOS!G:Y,MATCH(1,(BAREMOS!A:A=A43)*(BAREMOS!B"&amp;":B=B43)*(BAREMOS!C:C=C43)*(BAREMOS!D:D=E43),0),0)),19,
         MATCH(H43,INDEX(BAREMOS!G:Y,MATCH(1,(BAREMOS!A:A=A43)*(BAREMOS!B:B=B43)*(BAREMOS!C:C=C43)*(BAREMOS!D:D=E43),0),0),-1)
      )
   ),
   IF(H43&lt;=MIN(INDEX(BAREMOS!G:Y,MATCH(1,(BAREMOS!A:A=A43)*"&amp;"(BAREMOS!B:B=B43)*(BAREMOS!C:C=C43)*(BAREMOS!D:D=E43),0),0)),1,
      IF(H43&gt;=MAX(INDEX(BAREMOS!G:Y,MATCH(1,(BAREMOS!A:A=A43)*(BAREMOS!B:B=B43)*(BAREMOS!C:C=C43)*(BAREMOS!D:D=E43),0),0)),19,
         MATCH(H43,INDEX(BAREMOS!G:Y,MATCH(1,(BAREMOS!A:A=A43)*("&amp;"BAREMOS!B:B=B43)*(BAREMOS!C:C=C43)*(BAREMOS!D:D=E43),0),0),1)
      )
   )
)
,""""))
"),1.0)</f>
        <v>1</v>
      </c>
      <c r="K43" s="30">
        <f t="shared" si="1"/>
        <v>1</v>
      </c>
    </row>
    <row r="44">
      <c r="A44" s="23" t="str">
        <f t="array" ref="A44">IF(D44="","",IFERROR(INDEX(CONFIGURACION!C:C,MATCH(D44,CONFIGURACION!E:E,0)),""))
</f>
        <v>BCH</v>
      </c>
      <c r="B44" s="23">
        <f t="array" ref="B44">IF(D44="","",IFERROR(INDEX(CONFIGURACION!D:D,MATCH(D44,CONFIGURACION!E:E,0)),""))
</f>
        <v>1</v>
      </c>
      <c r="C44" s="26" t="s">
        <v>19</v>
      </c>
      <c r="D44" s="13" t="s">
        <v>89</v>
      </c>
      <c r="E44" s="27" t="s">
        <v>70</v>
      </c>
      <c r="F44" s="24" t="s">
        <v>97</v>
      </c>
      <c r="G44" s="27" t="s">
        <v>40</v>
      </c>
      <c r="H44" s="28">
        <v>3.0</v>
      </c>
      <c r="I44" s="29" t="str">
        <f>IFERROR(__xludf.DUMMYFUNCTION("IF(F44="""","""",LET(
  nombre, TRIM(F44),
  primer, REGEXEXTRACT(nombre, ""^\S+""),
  resto, TRIM(REGEXREPLACE(nombre, ""^\S+\s*"", """")),
  iniciales, IF(
    resto="""",
    """",
    TEXTJOIN("""",1,ARRAYFORMULA(LEFT(SPLIT(resto,"" ""),1) &amp; "".""))
 "&amp;" ),
  UPPER(primer) &amp; "" "" &amp; UPPER(iniciales)
))"),"GERARDO H.C.")</f>
        <v>GERARDO H.C.</v>
      </c>
      <c r="J44" s="29">
        <f>IFERROR(__xludf.DUMMYFUNCTION("IF(H44="""","""",IFERROR(
IF(REGEXMATCH(E44,""VELOCIDAD""),
   IF(H44&gt;=MAX(INDEX(BAREMOS!G:Y,MATCH(1,(BAREMOS!A:A=A44)*(BAREMOS!B:B=B44)*(BAREMOS!C:C=C44)*(BAREMOS!D:D=E44),0),0)),1,
      IF(H44&lt;=MIN(INDEX(BAREMOS!G:Y,MATCH(1,(BAREMOS!A:A=A44)*(BAREMOS!B"&amp;":B=B44)*(BAREMOS!C:C=C44)*(BAREMOS!D:D=E44),0),0)),19,
         MATCH(H44,INDEX(BAREMOS!G:Y,MATCH(1,(BAREMOS!A:A=A44)*(BAREMOS!B:B=B44)*(BAREMOS!C:C=C44)*(BAREMOS!D:D=E44),0),0),-1)
      )
   ),
   IF(H44&lt;=MIN(INDEX(BAREMOS!G:Y,MATCH(1,(BAREMOS!A:A=A44)*"&amp;"(BAREMOS!B:B=B44)*(BAREMOS!C:C=C44)*(BAREMOS!D:D=E44),0),0)),1,
      IF(H44&gt;=MAX(INDEX(BAREMOS!G:Y,MATCH(1,(BAREMOS!A:A=A44)*(BAREMOS!B:B=B44)*(BAREMOS!C:C=C44)*(BAREMOS!D:D=E44),0),0)),19,
         MATCH(H44,INDEX(BAREMOS!G:Y,MATCH(1,(BAREMOS!A:A=A44)*("&amp;"BAREMOS!B:B=B44)*(BAREMOS!C:C=C44)*(BAREMOS!D:D=E44),0),0),1)
      )
   )
)
,""""))
"),19.0)</f>
        <v>19</v>
      </c>
      <c r="K44" s="30">
        <f t="shared" si="1"/>
        <v>10</v>
      </c>
    </row>
    <row r="45">
      <c r="A45" s="23" t="str">
        <f t="array" ref="A45">IF(D45="","",IFERROR(INDEX(CONFIGURACION!C:C,MATCH(D45,CONFIGURACION!E:E,0)),""))
</f>
        <v>BCH</v>
      </c>
      <c r="B45" s="23">
        <f t="array" ref="B45">IF(D45="","",IFERROR(INDEX(CONFIGURACION!D:D,MATCH(D45,CONFIGURACION!E:E,0)),""))
</f>
        <v>1</v>
      </c>
      <c r="C45" s="26" t="s">
        <v>19</v>
      </c>
      <c r="D45" s="13" t="s">
        <v>89</v>
      </c>
      <c r="E45" s="27" t="s">
        <v>77</v>
      </c>
      <c r="F45" s="24" t="s">
        <v>97</v>
      </c>
      <c r="G45" s="27" t="s">
        <v>40</v>
      </c>
      <c r="H45" s="28">
        <v>2.0</v>
      </c>
      <c r="I45" s="29" t="str">
        <f>IFERROR(__xludf.DUMMYFUNCTION("IF(F45="""","""",LET(
  nombre, TRIM(F45),
  primer, REGEXEXTRACT(nombre, ""^\S+""),
  resto, TRIM(REGEXREPLACE(nombre, ""^\S+\s*"", """")),
  iniciales, IF(
    resto="""",
    """",
    TEXTJOIN("""",1,ARRAYFORMULA(LEFT(SPLIT(resto,"" ""),1) &amp; "".""))
 "&amp;" ),
  UPPER(primer) &amp; "" "" &amp; UPPER(iniciales)
))"),"GERARDO H.C.")</f>
        <v>GERARDO H.C.</v>
      </c>
      <c r="J45" s="29" t="str">
        <f>IFERROR(__xludf.DUMMYFUNCTION("IF(H45="""","""",IFERROR(
IF(REGEXMATCH(E45,""VELOCIDAD""),
   IF(H45&gt;=MAX(INDEX(BAREMOS!G:Y,MATCH(1,(BAREMOS!A:A=A45)*(BAREMOS!B:B=B45)*(BAREMOS!C:C=C45)*(BAREMOS!D:D=E45),0),0)),1,
      IF(H45&lt;=MIN(INDEX(BAREMOS!G:Y,MATCH(1,(BAREMOS!A:A=A45)*(BAREMOS!B"&amp;":B=B45)*(BAREMOS!C:C=C45)*(BAREMOS!D:D=E45),0),0)),19,
         MATCH(H45,INDEX(BAREMOS!G:Y,MATCH(1,(BAREMOS!A:A=A45)*(BAREMOS!B:B=B45)*(BAREMOS!C:C=C45)*(BAREMOS!D:D=E45),0),0),-1)
      )
   ),
   IF(H45&lt;=MIN(INDEX(BAREMOS!G:Y,MATCH(1,(BAREMOS!A:A=A45)*"&amp;"(BAREMOS!B:B=B45)*(BAREMOS!C:C=C45)*(BAREMOS!D:D=E45),0),0)),1,
      IF(H45&gt;=MAX(INDEX(BAREMOS!G:Y,MATCH(1,(BAREMOS!A:A=A45)*(BAREMOS!B:B=B45)*(BAREMOS!C:C=C45)*(BAREMOS!D:D=E45),0),0)),19,
         MATCH(H45,INDEX(BAREMOS!G:Y,MATCH(1,(BAREMOS!A:A=A45)*("&amp;"BAREMOS!B:B=B45)*(BAREMOS!C:C=C45)*(BAREMOS!D:D=E45),0),0),1)
      )
   )
)
,""""))
"),"")</f>
        <v/>
      </c>
      <c r="K45" s="30" t="str">
        <f t="shared" si="1"/>
        <v/>
      </c>
    </row>
    <row r="46">
      <c r="A46" s="23" t="str">
        <f t="array" ref="A46">IF(D46="","",IFERROR(INDEX(CONFIGURACION!C:C,MATCH(D46,CONFIGURACION!E:E,0)),""))
</f>
        <v>BCH</v>
      </c>
      <c r="B46" s="23">
        <f t="array" ref="B46">IF(D46="","",IFERROR(INDEX(CONFIGURACION!D:D,MATCH(D46,CONFIGURACION!E:E,0)),""))
</f>
        <v>1</v>
      </c>
      <c r="C46" s="26" t="s">
        <v>19</v>
      </c>
      <c r="D46" s="13" t="s">
        <v>89</v>
      </c>
      <c r="E46" s="27" t="s">
        <v>21</v>
      </c>
      <c r="F46" s="24" t="s">
        <v>97</v>
      </c>
      <c r="G46" s="27" t="s">
        <v>32</v>
      </c>
      <c r="H46" s="28">
        <v>78.0</v>
      </c>
      <c r="I46" s="29" t="str">
        <f>IFERROR(__xludf.DUMMYFUNCTION("IF(F46="""","""",LET(
  nombre, TRIM(F46),
  primer, REGEXEXTRACT(nombre, ""^\S+""),
  resto, TRIM(REGEXREPLACE(nombre, ""^\S+\s*"", """")),
  iniciales, IF(
    resto="""",
    """",
    TEXTJOIN("""",1,ARRAYFORMULA(LEFT(SPLIT(resto,"" ""),1) &amp; "".""))
 "&amp;" ),
  UPPER(primer) &amp; "" "" &amp; UPPER(iniciales)
))"),"GERARDO H.C.")</f>
        <v>GERARDO H.C.</v>
      </c>
      <c r="J46" s="29">
        <f>IFERROR(__xludf.DUMMYFUNCTION("IF(H46="""","""",IFERROR(
IF(REGEXMATCH(E46,""VELOCIDAD""),
   IF(H46&gt;=MAX(INDEX(BAREMOS!G:Y,MATCH(1,(BAREMOS!A:A=A46)*(BAREMOS!B:B=B46)*(BAREMOS!C:C=C46)*(BAREMOS!D:D=E46),0),0)),1,
      IF(H46&lt;=MIN(INDEX(BAREMOS!G:Y,MATCH(1,(BAREMOS!A:A=A46)*(BAREMOS!B"&amp;":B=B46)*(BAREMOS!C:C=C46)*(BAREMOS!D:D=E46),0),0)),19,
         MATCH(H46,INDEX(BAREMOS!G:Y,MATCH(1,(BAREMOS!A:A=A46)*(BAREMOS!B:B=B46)*(BAREMOS!C:C=C46)*(BAREMOS!D:D=E46),0),0),-1)
      )
   ),
   IF(H46&lt;=MIN(INDEX(BAREMOS!G:Y,MATCH(1,(BAREMOS!A:A=A46)*"&amp;"(BAREMOS!B:B=B46)*(BAREMOS!C:C=C46)*(BAREMOS!D:D=E46),0),0)),1,
      IF(H46&gt;=MAX(INDEX(BAREMOS!G:Y,MATCH(1,(BAREMOS!A:A=A46)*(BAREMOS!B:B=B46)*(BAREMOS!C:C=C46)*(BAREMOS!D:D=E46),0),0)),19,
         MATCH(H46,INDEX(BAREMOS!G:Y,MATCH(1,(BAREMOS!A:A=A46)*("&amp;"BAREMOS!B:B=B46)*(BAREMOS!C:C=C46)*(BAREMOS!D:D=E46),0),0),1)
      )
   )
)
,""""))
"),1.0)</f>
        <v>1</v>
      </c>
      <c r="K46" s="30">
        <f t="shared" si="1"/>
        <v>1</v>
      </c>
    </row>
    <row r="47">
      <c r="A47" s="23" t="str">
        <f t="array" ref="A47">IF(D47="","",IFERROR(INDEX(CONFIGURACION!C:C,MATCH(D47,CONFIGURACION!E:E,0)),""))
</f>
        <v>BCH</v>
      </c>
      <c r="B47" s="23">
        <f t="array" ref="B47">IF(D47="","",IFERROR(INDEX(CONFIGURACION!D:D,MATCH(D47,CONFIGURACION!E:E,0)),""))
</f>
        <v>1</v>
      </c>
      <c r="C47" s="26" t="s">
        <v>19</v>
      </c>
      <c r="D47" s="13" t="s">
        <v>89</v>
      </c>
      <c r="E47" s="27" t="s">
        <v>33</v>
      </c>
      <c r="F47" s="24" t="s">
        <v>97</v>
      </c>
      <c r="G47" s="27" t="s">
        <v>32</v>
      </c>
      <c r="H47" s="28">
        <v>45.0</v>
      </c>
      <c r="I47" s="29" t="str">
        <f>IFERROR(__xludf.DUMMYFUNCTION("IF(F47="""","""",LET(
  nombre, TRIM(F47),
  primer, REGEXEXTRACT(nombre, ""^\S+""),
  resto, TRIM(REGEXREPLACE(nombre, ""^\S+\s*"", """")),
  iniciales, IF(
    resto="""",
    """",
    TEXTJOIN("""",1,ARRAYFORMULA(LEFT(SPLIT(resto,"" ""),1) &amp; "".""))
 "&amp;" ),
  UPPER(primer) &amp; "" "" &amp; UPPER(iniciales)
))"),"GERARDO H.C.")</f>
        <v>GERARDO H.C.</v>
      </c>
      <c r="J47" s="29">
        <f>IFERROR(__xludf.DUMMYFUNCTION("IF(H47="""","""",IFERROR(
IF(REGEXMATCH(E47,""VELOCIDAD""),
   IF(H47&gt;=MAX(INDEX(BAREMOS!G:Y,MATCH(1,(BAREMOS!A:A=A47)*(BAREMOS!B:B=B47)*(BAREMOS!C:C=C47)*(BAREMOS!D:D=E47),0),0)),1,
      IF(H47&lt;=MIN(INDEX(BAREMOS!G:Y,MATCH(1,(BAREMOS!A:A=A47)*(BAREMOS!B"&amp;":B=B47)*(BAREMOS!C:C=C47)*(BAREMOS!D:D=E47),0),0)),19,
         MATCH(H47,INDEX(BAREMOS!G:Y,MATCH(1,(BAREMOS!A:A=A47)*(BAREMOS!B:B=B47)*(BAREMOS!C:C=C47)*(BAREMOS!D:D=E47),0),0),-1)
      )
   ),
   IF(H47&lt;=MIN(INDEX(BAREMOS!G:Y,MATCH(1,(BAREMOS!A:A=A47)*"&amp;"(BAREMOS!B:B=B47)*(BAREMOS!C:C=C47)*(BAREMOS!D:D=E47),0),0)),1,
      IF(H47&gt;=MAX(INDEX(BAREMOS!G:Y,MATCH(1,(BAREMOS!A:A=A47)*(BAREMOS!B:B=B47)*(BAREMOS!C:C=C47)*(BAREMOS!D:D=E47),0),0)),19,
         MATCH(H47,INDEX(BAREMOS!G:Y,MATCH(1,(BAREMOS!A:A=A47)*("&amp;"BAREMOS!B:B=B47)*(BAREMOS!C:C=C47)*(BAREMOS!D:D=E47),0),0),1)
      )
   )
)
,""""))
"),11.0)</f>
        <v>11</v>
      </c>
      <c r="K47" s="30">
        <f t="shared" si="1"/>
        <v>6</v>
      </c>
    </row>
    <row r="48">
      <c r="A48" s="23" t="str">
        <f t="array" ref="A48">IF(D48="","",IFERROR(INDEX(CONFIGURACION!C:C,MATCH(D48,CONFIGURACION!E:E,0)),""))
</f>
        <v>BCH</v>
      </c>
      <c r="B48" s="23">
        <f t="array" ref="B48">IF(D48="","",IFERROR(INDEX(CONFIGURACION!D:D,MATCH(D48,CONFIGURACION!E:E,0)),""))
</f>
        <v>1</v>
      </c>
      <c r="C48" s="26" t="s">
        <v>19</v>
      </c>
      <c r="D48" s="13" t="s">
        <v>89</v>
      </c>
      <c r="E48" s="27" t="s">
        <v>41</v>
      </c>
      <c r="F48" s="24" t="s">
        <v>97</v>
      </c>
      <c r="G48" s="27" t="s">
        <v>32</v>
      </c>
      <c r="H48" s="28">
        <v>12.0</v>
      </c>
      <c r="I48" s="29" t="str">
        <f>IFERROR(__xludf.DUMMYFUNCTION("IF(F48="""","""",LET(
  nombre, TRIM(F48),
  primer, REGEXEXTRACT(nombre, ""^\S+""),
  resto, TRIM(REGEXREPLACE(nombre, ""^\S+\s*"", """")),
  iniciales, IF(
    resto="""",
    """",
    TEXTJOIN("""",1,ARRAYFORMULA(LEFT(SPLIT(resto,"" ""),1) &amp; "".""))
 "&amp;" ),
  UPPER(primer) &amp; "" "" &amp; UPPER(iniciales)
))"),"GERARDO H.C.")</f>
        <v>GERARDO H.C.</v>
      </c>
      <c r="J48" s="29">
        <f>IFERROR(__xludf.DUMMYFUNCTION("IF(H48="""","""",IFERROR(
IF(REGEXMATCH(E48,""VELOCIDAD""),
   IF(H48&gt;=MAX(INDEX(BAREMOS!G:Y,MATCH(1,(BAREMOS!A:A=A48)*(BAREMOS!B:B=B48)*(BAREMOS!C:C=C48)*(BAREMOS!D:D=E48),0),0)),1,
      IF(H48&lt;=MIN(INDEX(BAREMOS!G:Y,MATCH(1,(BAREMOS!A:A=A48)*(BAREMOS!B"&amp;":B=B48)*(BAREMOS!C:C=C48)*(BAREMOS!D:D=E48),0),0)),19,
         MATCH(H48,INDEX(BAREMOS!G:Y,MATCH(1,(BAREMOS!A:A=A48)*(BAREMOS!B:B=B48)*(BAREMOS!C:C=C48)*(BAREMOS!D:D=E48),0),0),-1)
      )
   ),
   IF(H48&lt;=MIN(INDEX(BAREMOS!G:Y,MATCH(1,(BAREMOS!A:A=A48)*"&amp;"(BAREMOS!B:B=B48)*(BAREMOS!C:C=C48)*(BAREMOS!D:D=E48),0),0)),1,
      IF(H48&gt;=MAX(INDEX(BAREMOS!G:Y,MATCH(1,(BAREMOS!A:A=A48)*(BAREMOS!B:B=B48)*(BAREMOS!C:C=C48)*(BAREMOS!D:D=E48),0),0)),19,
         MATCH(H48,INDEX(BAREMOS!G:Y,MATCH(1,(BAREMOS!A:A=A48)*("&amp;"BAREMOS!B:B=B48)*(BAREMOS!C:C=C48)*(BAREMOS!D:D=E48),0),0),1)
      )
   )
)
,""""))
"),1.0)</f>
        <v>1</v>
      </c>
      <c r="K48" s="30">
        <f t="shared" si="1"/>
        <v>1</v>
      </c>
    </row>
    <row r="49">
      <c r="A49" s="23" t="str">
        <f t="array" ref="A49">IF(D49="","",IFERROR(INDEX(CONFIGURACION!C:C,MATCH(D49,CONFIGURACION!E:E,0)),""))
</f>
        <v>BCH</v>
      </c>
      <c r="B49" s="23">
        <f t="array" ref="B49">IF(D49="","",IFERROR(INDEX(CONFIGURACION!D:D,MATCH(D49,CONFIGURACION!E:E,0)),""))
</f>
        <v>1</v>
      </c>
      <c r="C49" s="26" t="s">
        <v>19</v>
      </c>
      <c r="D49" s="13" t="s">
        <v>89</v>
      </c>
      <c r="E49" s="27" t="s">
        <v>49</v>
      </c>
      <c r="F49" s="24" t="s">
        <v>97</v>
      </c>
      <c r="G49" s="27" t="s">
        <v>32</v>
      </c>
      <c r="H49" s="28">
        <v>98.0</v>
      </c>
      <c r="I49" s="29" t="str">
        <f>IFERROR(__xludf.DUMMYFUNCTION("IF(F49="""","""",LET(
  nombre, TRIM(F49),
  primer, REGEXEXTRACT(nombre, ""^\S+""),
  resto, TRIM(REGEXREPLACE(nombre, ""^\S+\s*"", """")),
  iniciales, IF(
    resto="""",
    """",
    TEXTJOIN("""",1,ARRAYFORMULA(LEFT(SPLIT(resto,"" ""),1) &amp; "".""))
 "&amp;" ),
  UPPER(primer) &amp; "" "" &amp; UPPER(iniciales)
))"),"GERARDO H.C.")</f>
        <v>GERARDO H.C.</v>
      </c>
      <c r="J49" s="29">
        <f>IFERROR(__xludf.DUMMYFUNCTION("IF(H49="""","""",IFERROR(
IF(REGEXMATCH(E49,""VELOCIDAD""),
   IF(H49&gt;=MAX(INDEX(BAREMOS!G:Y,MATCH(1,(BAREMOS!A:A=A49)*(BAREMOS!B:B=B49)*(BAREMOS!C:C=C49)*(BAREMOS!D:D=E49),0),0)),1,
      IF(H49&lt;=MIN(INDEX(BAREMOS!G:Y,MATCH(1,(BAREMOS!A:A=A49)*(BAREMOS!B"&amp;":B=B49)*(BAREMOS!C:C=C49)*(BAREMOS!D:D=E49),0),0)),19,
         MATCH(H49,INDEX(BAREMOS!G:Y,MATCH(1,(BAREMOS!A:A=A49)*(BAREMOS!B:B=B49)*(BAREMOS!C:C=C49)*(BAREMOS!D:D=E49),0),0),-1)
      )
   ),
   IF(H49&lt;=MIN(INDEX(BAREMOS!G:Y,MATCH(1,(BAREMOS!A:A=A49)*"&amp;"(BAREMOS!B:B=B49)*(BAREMOS!C:C=C49)*(BAREMOS!D:D=E49),0),0)),1,
      IF(H49&gt;=MAX(INDEX(BAREMOS!G:Y,MATCH(1,(BAREMOS!A:A=A49)*(BAREMOS!B:B=B49)*(BAREMOS!C:C=C49)*(BAREMOS!D:D=E49),0),0)),19,
         MATCH(H49,INDEX(BAREMOS!G:Y,MATCH(1,(BAREMOS!A:A=A49)*("&amp;"BAREMOS!B:B=B49)*(BAREMOS!C:C=C49)*(BAREMOS!D:D=E49),0),0),1)
      )
   )
)
,""""))
"),19.0)</f>
        <v>19</v>
      </c>
      <c r="K49" s="30">
        <f t="shared" si="1"/>
        <v>10</v>
      </c>
    </row>
    <row r="50">
      <c r="A50" s="23" t="str">
        <f t="array" ref="A50">IF(D50="","",IFERROR(INDEX(CONFIGURACION!C:C,MATCH(D50,CONFIGURACION!E:E,0)),""))
</f>
        <v>BCH</v>
      </c>
      <c r="B50" s="23">
        <f t="array" ref="B50">IF(D50="","",IFERROR(INDEX(CONFIGURACION!D:D,MATCH(D50,CONFIGURACION!E:E,0)),""))
</f>
        <v>1</v>
      </c>
      <c r="C50" s="26" t="s">
        <v>19</v>
      </c>
      <c r="D50" s="13" t="s">
        <v>89</v>
      </c>
      <c r="E50" s="27" t="s">
        <v>56</v>
      </c>
      <c r="F50" s="24" t="s">
        <v>97</v>
      </c>
      <c r="G50" s="27" t="s">
        <v>32</v>
      </c>
      <c r="H50" s="28">
        <v>32.0</v>
      </c>
      <c r="I50" s="29" t="str">
        <f>IFERROR(__xludf.DUMMYFUNCTION("IF(F50="""","""",LET(
  nombre, TRIM(F50),
  primer, REGEXEXTRACT(nombre, ""^\S+""),
  resto, TRIM(REGEXREPLACE(nombre, ""^\S+\s*"", """")),
  iniciales, IF(
    resto="""",
    """",
    TEXTJOIN("""",1,ARRAYFORMULA(LEFT(SPLIT(resto,"" ""),1) &amp; "".""))
 "&amp;" ),
  UPPER(primer) &amp; "" "" &amp; UPPER(iniciales)
))"),"GERARDO H.C.")</f>
        <v>GERARDO H.C.</v>
      </c>
      <c r="J50" s="29">
        <f>IFERROR(__xludf.DUMMYFUNCTION("IF(H50="""","""",IFERROR(
IF(REGEXMATCH(E50,""VELOCIDAD""),
   IF(H50&gt;=MAX(INDEX(BAREMOS!G:Y,MATCH(1,(BAREMOS!A:A=A50)*(BAREMOS!B:B=B50)*(BAREMOS!C:C=C50)*(BAREMOS!D:D=E50),0),0)),1,
      IF(H50&lt;=MIN(INDEX(BAREMOS!G:Y,MATCH(1,(BAREMOS!A:A=A50)*(BAREMOS!B"&amp;":B=B50)*(BAREMOS!C:C=C50)*(BAREMOS!D:D=E50),0),0)),19,
         MATCH(H50,INDEX(BAREMOS!G:Y,MATCH(1,(BAREMOS!A:A=A50)*(BAREMOS!B:B=B50)*(BAREMOS!C:C=C50)*(BAREMOS!D:D=E50),0),0),-1)
      )
   ),
   IF(H50&lt;=MIN(INDEX(BAREMOS!G:Y,MATCH(1,(BAREMOS!A:A=A50)*"&amp;"(BAREMOS!B:B=B50)*(BAREMOS!C:C=C50)*(BAREMOS!D:D=E50),0),0)),1,
      IF(H50&gt;=MAX(INDEX(BAREMOS!G:Y,MATCH(1,(BAREMOS!A:A=A50)*(BAREMOS!B:B=B50)*(BAREMOS!C:C=C50)*(BAREMOS!D:D=E50),0),0)),19,
         MATCH(H50,INDEX(BAREMOS!G:Y,MATCH(1,(BAREMOS!A:A=A50)*("&amp;"BAREMOS!B:B=B50)*(BAREMOS!C:C=C50)*(BAREMOS!D:D=E50),0),0),1)
      )
   )
)
,""""))
"),1.0)</f>
        <v>1</v>
      </c>
      <c r="K50" s="30">
        <f t="shared" si="1"/>
        <v>1</v>
      </c>
    </row>
    <row r="51">
      <c r="A51" s="23" t="str">
        <f t="array" ref="A51">IF(D51="","",IFERROR(INDEX(CONFIGURACION!C:C,MATCH(D51,CONFIGURACION!E:E,0)),""))
</f>
        <v>BCH</v>
      </c>
      <c r="B51" s="23">
        <f t="array" ref="B51">IF(D51="","",IFERROR(INDEX(CONFIGURACION!D:D,MATCH(D51,CONFIGURACION!E:E,0)),""))
</f>
        <v>1</v>
      </c>
      <c r="C51" s="26" t="s">
        <v>19</v>
      </c>
      <c r="D51" s="13" t="s">
        <v>89</v>
      </c>
      <c r="E51" s="27" t="s">
        <v>62</v>
      </c>
      <c r="F51" s="24" t="s">
        <v>97</v>
      </c>
      <c r="G51" s="27" t="s">
        <v>32</v>
      </c>
      <c r="H51" s="28">
        <v>32.0</v>
      </c>
      <c r="I51" s="29" t="str">
        <f>IFERROR(__xludf.DUMMYFUNCTION("IF(F51="""","""",LET(
  nombre, TRIM(F51),
  primer, REGEXEXTRACT(nombre, ""^\S+""),
  resto, TRIM(REGEXREPLACE(nombre, ""^\S+\s*"", """")),
  iniciales, IF(
    resto="""",
    """",
    TEXTJOIN("""",1,ARRAYFORMULA(LEFT(SPLIT(resto,"" ""),1) &amp; "".""))
 "&amp;" ),
  UPPER(primer) &amp; "" "" &amp; UPPER(iniciales)
))"),"GERARDO H.C.")</f>
        <v>GERARDO H.C.</v>
      </c>
      <c r="J51" s="29">
        <f>IFERROR(__xludf.DUMMYFUNCTION("IF(H51="""","""",IFERROR(
IF(REGEXMATCH(E51,""VELOCIDAD""),
   IF(H51&gt;=MAX(INDEX(BAREMOS!G:Y,MATCH(1,(BAREMOS!A:A=A51)*(BAREMOS!B:B=B51)*(BAREMOS!C:C=C51)*(BAREMOS!D:D=E51),0),0)),1,
      IF(H51&lt;=MIN(INDEX(BAREMOS!G:Y,MATCH(1,(BAREMOS!A:A=A51)*(BAREMOS!B"&amp;":B=B51)*(BAREMOS!C:C=C51)*(BAREMOS!D:D=E51),0),0)),19,
         MATCH(H51,INDEX(BAREMOS!G:Y,MATCH(1,(BAREMOS!A:A=A51)*(BAREMOS!B:B=B51)*(BAREMOS!C:C=C51)*(BAREMOS!D:D=E51),0),0),-1)
      )
   ),
   IF(H51&lt;=MIN(INDEX(BAREMOS!G:Y,MATCH(1,(BAREMOS!A:A=A51)*"&amp;"(BAREMOS!B:B=B51)*(BAREMOS!C:C=C51)*(BAREMOS!D:D=E51),0),0)),1,
      IF(H51&gt;=MAX(INDEX(BAREMOS!G:Y,MATCH(1,(BAREMOS!A:A=A51)*(BAREMOS!B:B=B51)*(BAREMOS!C:C=C51)*(BAREMOS!D:D=E51),0),0)),19,
         MATCH(H51,INDEX(BAREMOS!G:Y,MATCH(1,(BAREMOS!A:A=A51)*("&amp;"BAREMOS!B:B=B51)*(BAREMOS!C:C=C51)*(BAREMOS!D:D=E51),0),0),1)
      )
   )
)
,""""))
"),1.0)</f>
        <v>1</v>
      </c>
      <c r="K51" s="30">
        <f t="shared" si="1"/>
        <v>1</v>
      </c>
    </row>
    <row r="52">
      <c r="A52" s="23" t="str">
        <f t="array" ref="A52">IF(D52="","",IFERROR(INDEX(CONFIGURACION!C:C,MATCH(D52,CONFIGURACION!E:E,0)),""))
</f>
        <v>BCH</v>
      </c>
      <c r="B52" s="23">
        <f t="array" ref="B52">IF(D52="","",IFERROR(INDEX(CONFIGURACION!D:D,MATCH(D52,CONFIGURACION!E:E,0)),""))
</f>
        <v>1</v>
      </c>
      <c r="C52" s="26" t="s">
        <v>19</v>
      </c>
      <c r="D52" s="13" t="s">
        <v>89</v>
      </c>
      <c r="E52" s="27" t="s">
        <v>70</v>
      </c>
      <c r="F52" s="24" t="s">
        <v>97</v>
      </c>
      <c r="G52" s="27" t="s">
        <v>32</v>
      </c>
      <c r="H52" s="28">
        <v>65.0</v>
      </c>
      <c r="I52" s="29" t="str">
        <f>IFERROR(__xludf.DUMMYFUNCTION("IF(F52="""","""",LET(
  nombre, TRIM(F52),
  primer, REGEXEXTRACT(nombre, ""^\S+""),
  resto, TRIM(REGEXREPLACE(nombre, ""^\S+\s*"", """")),
  iniciales, IF(
    resto="""",
    """",
    TEXTJOIN("""",1,ARRAYFORMULA(LEFT(SPLIT(resto,"" ""),1) &amp; "".""))
 "&amp;" ),
  UPPER(primer) &amp; "" "" &amp; UPPER(iniciales)
))"),"GERARDO H.C.")</f>
        <v>GERARDO H.C.</v>
      </c>
      <c r="J52" s="29">
        <f>IFERROR(__xludf.DUMMYFUNCTION("IF(H52="""","""",IFERROR(
IF(REGEXMATCH(E52,""VELOCIDAD""),
   IF(H52&gt;=MAX(INDEX(BAREMOS!G:Y,MATCH(1,(BAREMOS!A:A=A52)*(BAREMOS!B:B=B52)*(BAREMOS!C:C=C52)*(BAREMOS!D:D=E52),0),0)),1,
      IF(H52&lt;=MIN(INDEX(BAREMOS!G:Y,MATCH(1,(BAREMOS!A:A=A52)*(BAREMOS!B"&amp;":B=B52)*(BAREMOS!C:C=C52)*(BAREMOS!D:D=E52),0),0)),19,
         MATCH(H52,INDEX(BAREMOS!G:Y,MATCH(1,(BAREMOS!A:A=A52)*(BAREMOS!B:B=B52)*(BAREMOS!C:C=C52)*(BAREMOS!D:D=E52),0),0),-1)
      )
   ),
   IF(H52&lt;=MIN(INDEX(BAREMOS!G:Y,MATCH(1,(BAREMOS!A:A=A52)*"&amp;"(BAREMOS!B:B=B52)*(BAREMOS!C:C=C52)*(BAREMOS!D:D=E52),0),0)),1,
      IF(H52&gt;=MAX(INDEX(BAREMOS!G:Y,MATCH(1,(BAREMOS!A:A=A52)*(BAREMOS!B:B=B52)*(BAREMOS!C:C=C52)*(BAREMOS!D:D=E52),0),0)),19,
         MATCH(H52,INDEX(BAREMOS!G:Y,MATCH(1,(BAREMOS!A:A=A52)*("&amp;"BAREMOS!B:B=B52)*(BAREMOS!C:C=C52)*(BAREMOS!D:D=E52),0),0),1)
      )
   )
)
,""""))
"),19.0)</f>
        <v>19</v>
      </c>
      <c r="K52" s="30">
        <f t="shared" si="1"/>
        <v>10</v>
      </c>
    </row>
    <row r="53">
      <c r="A53" s="23" t="str">
        <f t="array" ref="A53">IF(D53="","",IFERROR(INDEX(CONFIGURACION!C:C,MATCH(D53,CONFIGURACION!E:E,0)),""))
</f>
        <v>BCH</v>
      </c>
      <c r="B53" s="23">
        <f t="array" ref="B53">IF(D53="","",IFERROR(INDEX(CONFIGURACION!D:D,MATCH(D53,CONFIGURACION!E:E,0)),""))
</f>
        <v>1</v>
      </c>
      <c r="C53" s="26" t="s">
        <v>19</v>
      </c>
      <c r="D53" s="13" t="s">
        <v>89</v>
      </c>
      <c r="E53" s="27" t="s">
        <v>77</v>
      </c>
      <c r="F53" s="24" t="s">
        <v>97</v>
      </c>
      <c r="G53" s="27" t="s">
        <v>32</v>
      </c>
      <c r="H53" s="28">
        <v>78.0</v>
      </c>
      <c r="I53" s="29" t="str">
        <f>IFERROR(__xludf.DUMMYFUNCTION("IF(F53="""","""",LET(
  nombre, TRIM(F53),
  primer, REGEXEXTRACT(nombre, ""^\S+""),
  resto, TRIM(REGEXREPLACE(nombre, ""^\S+\s*"", """")),
  iniciales, IF(
    resto="""",
    """",
    TEXTJOIN("""",1,ARRAYFORMULA(LEFT(SPLIT(resto,"" ""),1) &amp; "".""))
 "&amp;" ),
  UPPER(primer) &amp; "" "" &amp; UPPER(iniciales)
))"),"GERARDO H.C.")</f>
        <v>GERARDO H.C.</v>
      </c>
      <c r="J53" s="29" t="str">
        <f>IFERROR(__xludf.DUMMYFUNCTION("IF(H53="""","""",IFERROR(
IF(REGEXMATCH(E53,""VELOCIDAD""),
   IF(H53&gt;=MAX(INDEX(BAREMOS!G:Y,MATCH(1,(BAREMOS!A:A=A53)*(BAREMOS!B:B=B53)*(BAREMOS!C:C=C53)*(BAREMOS!D:D=E53),0),0)),1,
      IF(H53&lt;=MIN(INDEX(BAREMOS!G:Y,MATCH(1,(BAREMOS!A:A=A53)*(BAREMOS!B"&amp;":B=B53)*(BAREMOS!C:C=C53)*(BAREMOS!D:D=E53),0),0)),19,
         MATCH(H53,INDEX(BAREMOS!G:Y,MATCH(1,(BAREMOS!A:A=A53)*(BAREMOS!B:B=B53)*(BAREMOS!C:C=C53)*(BAREMOS!D:D=E53),0),0),-1)
      )
   ),
   IF(H53&lt;=MIN(INDEX(BAREMOS!G:Y,MATCH(1,(BAREMOS!A:A=A53)*"&amp;"(BAREMOS!B:B=B53)*(BAREMOS!C:C=C53)*(BAREMOS!D:D=E53),0),0)),1,
      IF(H53&gt;=MAX(INDEX(BAREMOS!G:Y,MATCH(1,(BAREMOS!A:A=A53)*(BAREMOS!B:B=B53)*(BAREMOS!C:C=C53)*(BAREMOS!D:D=E53),0),0)),19,
         MATCH(H53,INDEX(BAREMOS!G:Y,MATCH(1,(BAREMOS!A:A=A53)*("&amp;"BAREMOS!B:B=B53)*(BAREMOS!C:C=C53)*(BAREMOS!D:D=E53),0),0),1)
      )
   )
)
,""""))
"),"")</f>
        <v/>
      </c>
      <c r="K53" s="30" t="str">
        <f t="shared" si="1"/>
        <v/>
      </c>
    </row>
    <row r="54">
      <c r="A54" s="23" t="str">
        <f t="array" ref="A54">IF(D54="","",IFERROR(INDEX(CONFIGURACION!C:C,MATCH(D54,CONFIGURACION!E:E,0)),""))
</f>
        <v>BCH</v>
      </c>
      <c r="B54" s="23">
        <f t="array" ref="B54">IF(D54="","",IFERROR(INDEX(CONFIGURACION!D:D,MATCH(D54,CONFIGURACION!E:E,0)),""))
</f>
        <v>1</v>
      </c>
      <c r="C54" s="26" t="s">
        <v>19</v>
      </c>
      <c r="D54" s="13" t="s">
        <v>89</v>
      </c>
      <c r="E54" s="27" t="s">
        <v>21</v>
      </c>
      <c r="F54" s="24" t="s">
        <v>95</v>
      </c>
      <c r="G54" s="27" t="s">
        <v>40</v>
      </c>
      <c r="H54" s="28">
        <v>7.0</v>
      </c>
      <c r="I54" s="29" t="str">
        <f>IFERROR(__xludf.DUMMYFUNCTION("IF(F54="""","""",LET(
  nombre, TRIM(F54),
  primer, REGEXEXTRACT(nombre, ""^\S+""),
  resto, TRIM(REGEXREPLACE(nombre, ""^\S+\s*"", """")),
  iniciales, IF(
    resto="""",
    """",
    TEXTJOIN("""",1,ARRAYFORMULA(LEFT(SPLIT(resto,"" ""),1) &amp; "".""))
 "&amp;" ),
  UPPER(primer) &amp; "" "" &amp; UPPER(iniciales)
))"),"MANOLO D.C.")</f>
        <v>MANOLO D.C.</v>
      </c>
      <c r="J54" s="29">
        <f>IFERROR(__xludf.DUMMYFUNCTION("IF(H54="""","""",IFERROR(
IF(REGEXMATCH(E54,""VELOCIDAD""),
   IF(H54&gt;=MAX(INDEX(BAREMOS!G:Y,MATCH(1,(BAREMOS!A:A=A54)*(BAREMOS!B:B=B54)*(BAREMOS!C:C=C54)*(BAREMOS!D:D=E54),0),0)),1,
      IF(H54&lt;=MIN(INDEX(BAREMOS!G:Y,MATCH(1,(BAREMOS!A:A=A54)*(BAREMOS!B"&amp;":B=B54)*(BAREMOS!C:C=C54)*(BAREMOS!D:D=E54),0),0)),19,
         MATCH(H54,INDEX(BAREMOS!G:Y,MATCH(1,(BAREMOS!A:A=A54)*(BAREMOS!B:B=B54)*(BAREMOS!C:C=C54)*(BAREMOS!D:D=E54),0),0),-1)
      )
   ),
   IF(H54&lt;=MIN(INDEX(BAREMOS!G:Y,MATCH(1,(BAREMOS!A:A=A54)*"&amp;"(BAREMOS!B:B=B54)*(BAREMOS!C:C=C54)*(BAREMOS!D:D=E54),0),0)),1,
      IF(H54&gt;=MAX(INDEX(BAREMOS!G:Y,MATCH(1,(BAREMOS!A:A=A54)*(BAREMOS!B:B=B54)*(BAREMOS!C:C=C54)*(BAREMOS!D:D=E54),0),0)),19,
         MATCH(H54,INDEX(BAREMOS!G:Y,MATCH(1,(BAREMOS!A:A=A54)*("&amp;"BAREMOS!B:B=B54)*(BAREMOS!C:C=C54)*(BAREMOS!D:D=E54),0),0),1)
      )
   )
)
,""""))
"),1.0)</f>
        <v>1</v>
      </c>
      <c r="K54" s="30">
        <f t="shared" si="1"/>
        <v>1</v>
      </c>
    </row>
    <row r="55">
      <c r="A55" s="23" t="str">
        <f t="array" ref="A55">IF(D55="","",IFERROR(INDEX(CONFIGURACION!C:C,MATCH(D55,CONFIGURACION!E:E,0)),""))
</f>
        <v>BCH</v>
      </c>
      <c r="B55" s="23">
        <f t="array" ref="B55">IF(D55="","",IFERROR(INDEX(CONFIGURACION!D:D,MATCH(D55,CONFIGURACION!E:E,0)),""))
</f>
        <v>1</v>
      </c>
      <c r="C55" s="26" t="s">
        <v>19</v>
      </c>
      <c r="D55" s="13" t="s">
        <v>89</v>
      </c>
      <c r="E55" s="27" t="s">
        <v>41</v>
      </c>
      <c r="F55" s="24" t="s">
        <v>95</v>
      </c>
      <c r="G55" s="27" t="s">
        <v>40</v>
      </c>
      <c r="H55" s="28">
        <v>8.0</v>
      </c>
      <c r="I55" s="29" t="str">
        <f>IFERROR(__xludf.DUMMYFUNCTION("IF(F55="""","""",LET(
  nombre, TRIM(F55),
  primer, REGEXEXTRACT(nombre, ""^\S+""),
  resto, TRIM(REGEXREPLACE(nombre, ""^\S+\s*"", """")),
  iniciales, IF(
    resto="""",
    """",
    TEXTJOIN("""",1,ARRAYFORMULA(LEFT(SPLIT(resto,"" ""),1) &amp; "".""))
 "&amp;" ),
  UPPER(primer) &amp; "" "" &amp; UPPER(iniciales)
))"),"MANOLO D.C.")</f>
        <v>MANOLO D.C.</v>
      </c>
      <c r="J55" s="29">
        <f>IFERROR(__xludf.DUMMYFUNCTION("IF(H55="""","""",IFERROR(
IF(REGEXMATCH(E55,""VELOCIDAD""),
   IF(H55&gt;=MAX(INDEX(BAREMOS!G:Y,MATCH(1,(BAREMOS!A:A=A55)*(BAREMOS!B:B=B55)*(BAREMOS!C:C=C55)*(BAREMOS!D:D=E55),0),0)),1,
      IF(H55&lt;=MIN(INDEX(BAREMOS!G:Y,MATCH(1,(BAREMOS!A:A=A55)*(BAREMOS!B"&amp;":B=B55)*(BAREMOS!C:C=C55)*(BAREMOS!D:D=E55),0),0)),19,
         MATCH(H55,INDEX(BAREMOS!G:Y,MATCH(1,(BAREMOS!A:A=A55)*(BAREMOS!B:B=B55)*(BAREMOS!C:C=C55)*(BAREMOS!D:D=E55),0),0),-1)
      )
   ),
   IF(H55&lt;=MIN(INDEX(BAREMOS!G:Y,MATCH(1,(BAREMOS!A:A=A55)*"&amp;"(BAREMOS!B:B=B55)*(BAREMOS!C:C=C55)*(BAREMOS!D:D=E55),0),0)),1,
      IF(H55&gt;=MAX(INDEX(BAREMOS!G:Y,MATCH(1,(BAREMOS!A:A=A55)*(BAREMOS!B:B=B55)*(BAREMOS!C:C=C55)*(BAREMOS!D:D=E55),0),0)),19,
         MATCH(H55,INDEX(BAREMOS!G:Y,MATCH(1,(BAREMOS!A:A=A55)*("&amp;"BAREMOS!B:B=B55)*(BAREMOS!C:C=C55)*(BAREMOS!D:D=E55),0),0),1)
      )
   )
)
,""""))
"),1.0)</f>
        <v>1</v>
      </c>
      <c r="K55" s="30">
        <f t="shared" si="1"/>
        <v>1</v>
      </c>
    </row>
    <row r="56">
      <c r="A56" s="23" t="str">
        <f t="array" ref="A56">IF(D56="","",IFERROR(INDEX(CONFIGURACION!C:C,MATCH(D56,CONFIGURACION!E:E,0)),""))
</f>
        <v>BCH</v>
      </c>
      <c r="B56" s="23">
        <f t="array" ref="B56">IF(D56="","",IFERROR(INDEX(CONFIGURACION!D:D,MATCH(D56,CONFIGURACION!E:E,0)),""))
</f>
        <v>1</v>
      </c>
      <c r="C56" s="26" t="s">
        <v>19</v>
      </c>
      <c r="D56" s="13" t="s">
        <v>89</v>
      </c>
      <c r="E56" s="27" t="s">
        <v>49</v>
      </c>
      <c r="F56" s="24" t="s">
        <v>95</v>
      </c>
      <c r="G56" s="27" t="s">
        <v>40</v>
      </c>
      <c r="H56" s="28">
        <v>9.0</v>
      </c>
      <c r="I56" s="29" t="str">
        <f>IFERROR(__xludf.DUMMYFUNCTION("IF(F56="""","""",LET(
  nombre, TRIM(F56),
  primer, REGEXEXTRACT(nombre, ""^\S+""),
  resto, TRIM(REGEXREPLACE(nombre, ""^\S+\s*"", """")),
  iniciales, IF(
    resto="""",
    """",
    TEXTJOIN("""",1,ARRAYFORMULA(LEFT(SPLIT(resto,"" ""),1) &amp; "".""))
 "&amp;" ),
  UPPER(primer) &amp; "" "" &amp; UPPER(iniciales)
))"),"MANOLO D.C.")</f>
        <v>MANOLO D.C.</v>
      </c>
      <c r="J56" s="29">
        <f>IFERROR(__xludf.DUMMYFUNCTION("IF(H56="""","""",IFERROR(
IF(REGEXMATCH(E56,""VELOCIDAD""),
   IF(H56&gt;=MAX(INDEX(BAREMOS!G:Y,MATCH(1,(BAREMOS!A:A=A56)*(BAREMOS!B:B=B56)*(BAREMOS!C:C=C56)*(BAREMOS!D:D=E56),0),0)),1,
      IF(H56&lt;=MIN(INDEX(BAREMOS!G:Y,MATCH(1,(BAREMOS!A:A=A56)*(BAREMOS!B"&amp;":B=B56)*(BAREMOS!C:C=C56)*(BAREMOS!D:D=E56),0),0)),19,
         MATCH(H56,INDEX(BAREMOS!G:Y,MATCH(1,(BAREMOS!A:A=A56)*(BAREMOS!B:B=B56)*(BAREMOS!C:C=C56)*(BAREMOS!D:D=E56),0),0),-1)
      )
   ),
   IF(H56&lt;=MIN(INDEX(BAREMOS!G:Y,MATCH(1,(BAREMOS!A:A=A56)*"&amp;"(BAREMOS!B:B=B56)*(BAREMOS!C:C=C56)*(BAREMOS!D:D=E56),0),0)),1,
      IF(H56&gt;=MAX(INDEX(BAREMOS!G:Y,MATCH(1,(BAREMOS!A:A=A56)*(BAREMOS!B:B=B56)*(BAREMOS!C:C=C56)*(BAREMOS!D:D=E56),0),0)),19,
         MATCH(H56,INDEX(BAREMOS!G:Y,MATCH(1,(BAREMOS!A:A=A56)*("&amp;"BAREMOS!B:B=B56)*(BAREMOS!C:C=C56)*(BAREMOS!D:D=E56),0),0),1)
      )
   )
)
,""""))
"),1.0)</f>
        <v>1</v>
      </c>
      <c r="K56" s="30">
        <f t="shared" si="1"/>
        <v>1</v>
      </c>
    </row>
    <row r="57">
      <c r="A57" s="23" t="str">
        <f t="array" ref="A57">IF(D57="","",IFERROR(INDEX(CONFIGURACION!C:C,MATCH(D57,CONFIGURACION!E:E,0)),""))
</f>
        <v>BCH</v>
      </c>
      <c r="B57" s="23">
        <f t="array" ref="B57">IF(D57="","",IFERROR(INDEX(CONFIGURACION!D:D,MATCH(D57,CONFIGURACION!E:E,0)),""))
</f>
        <v>1</v>
      </c>
      <c r="C57" s="26" t="s">
        <v>19</v>
      </c>
      <c r="D57" s="13" t="s">
        <v>89</v>
      </c>
      <c r="E57" s="27" t="s">
        <v>56</v>
      </c>
      <c r="F57" s="24" t="s">
        <v>95</v>
      </c>
      <c r="G57" s="27" t="s">
        <v>40</v>
      </c>
      <c r="H57" s="28">
        <v>6.0</v>
      </c>
      <c r="I57" s="29" t="str">
        <f>IFERROR(__xludf.DUMMYFUNCTION("IF(F57="""","""",LET(
  nombre, TRIM(F57),
  primer, REGEXEXTRACT(nombre, ""^\S+""),
  resto, TRIM(REGEXREPLACE(nombre, ""^\S+\s*"", """")),
  iniciales, IF(
    resto="""",
    """",
    TEXTJOIN("""",1,ARRAYFORMULA(LEFT(SPLIT(resto,"" ""),1) &amp; "".""))
 "&amp;" ),
  UPPER(primer) &amp; "" "" &amp; UPPER(iniciales)
))"),"MANOLO D.C.")</f>
        <v>MANOLO D.C.</v>
      </c>
      <c r="J57" s="29">
        <f>IFERROR(__xludf.DUMMYFUNCTION("IF(H57="""","""",IFERROR(
IF(REGEXMATCH(E57,""VELOCIDAD""),
   IF(H57&gt;=MAX(INDEX(BAREMOS!G:Y,MATCH(1,(BAREMOS!A:A=A57)*(BAREMOS!B:B=B57)*(BAREMOS!C:C=C57)*(BAREMOS!D:D=E57),0),0)),1,
      IF(H57&lt;=MIN(INDEX(BAREMOS!G:Y,MATCH(1,(BAREMOS!A:A=A57)*(BAREMOS!B"&amp;":B=B57)*(BAREMOS!C:C=C57)*(BAREMOS!D:D=E57),0),0)),19,
         MATCH(H57,INDEX(BAREMOS!G:Y,MATCH(1,(BAREMOS!A:A=A57)*(BAREMOS!B:B=B57)*(BAREMOS!C:C=C57)*(BAREMOS!D:D=E57),0),0),-1)
      )
   ),
   IF(H57&lt;=MIN(INDEX(BAREMOS!G:Y,MATCH(1,(BAREMOS!A:A=A57)*"&amp;"(BAREMOS!B:B=B57)*(BAREMOS!C:C=C57)*(BAREMOS!D:D=E57),0),0)),1,
      IF(H57&gt;=MAX(INDEX(BAREMOS!G:Y,MATCH(1,(BAREMOS!A:A=A57)*(BAREMOS!B:B=B57)*(BAREMOS!C:C=C57)*(BAREMOS!D:D=E57),0),0)),19,
         MATCH(H57,INDEX(BAREMOS!G:Y,MATCH(1,(BAREMOS!A:A=A57)*("&amp;"BAREMOS!B:B=B57)*(BAREMOS!C:C=C57)*(BAREMOS!D:D=E57),0),0),1)
      )
   )
)
,""""))
"),1.0)</f>
        <v>1</v>
      </c>
      <c r="K57" s="30">
        <f t="shared" si="1"/>
        <v>1</v>
      </c>
    </row>
    <row r="58">
      <c r="A58" s="23" t="str">
        <f t="array" ref="A58">IF(D58="","",IFERROR(INDEX(CONFIGURACION!C:C,MATCH(D58,CONFIGURACION!E:E,0)),""))
</f>
        <v>BCH</v>
      </c>
      <c r="B58" s="23">
        <f t="array" ref="B58">IF(D58="","",IFERROR(INDEX(CONFIGURACION!D:D,MATCH(D58,CONFIGURACION!E:E,0)),""))
</f>
        <v>1</v>
      </c>
      <c r="C58" s="26" t="s">
        <v>19</v>
      </c>
      <c r="D58" s="13" t="s">
        <v>89</v>
      </c>
      <c r="E58" s="27" t="s">
        <v>62</v>
      </c>
      <c r="F58" s="24" t="s">
        <v>95</v>
      </c>
      <c r="G58" s="27" t="s">
        <v>40</v>
      </c>
      <c r="H58" s="28">
        <v>5.0</v>
      </c>
      <c r="I58" s="29" t="str">
        <f>IFERROR(__xludf.DUMMYFUNCTION("IF(F58="""","""",LET(
  nombre, TRIM(F58),
  primer, REGEXEXTRACT(nombre, ""^\S+""),
  resto, TRIM(REGEXREPLACE(nombre, ""^\S+\s*"", """")),
  iniciales, IF(
    resto="""",
    """",
    TEXTJOIN("""",1,ARRAYFORMULA(LEFT(SPLIT(resto,"" ""),1) &amp; "".""))
 "&amp;" ),
  UPPER(primer) &amp; "" "" &amp; UPPER(iniciales)
))"),"MANOLO D.C.")</f>
        <v>MANOLO D.C.</v>
      </c>
      <c r="J58" s="29">
        <f>IFERROR(__xludf.DUMMYFUNCTION("IF(H58="""","""",IFERROR(
IF(REGEXMATCH(E58,""VELOCIDAD""),
   IF(H58&gt;=MAX(INDEX(BAREMOS!G:Y,MATCH(1,(BAREMOS!A:A=A58)*(BAREMOS!B:B=B58)*(BAREMOS!C:C=C58)*(BAREMOS!D:D=E58),0),0)),1,
      IF(H58&lt;=MIN(INDEX(BAREMOS!G:Y,MATCH(1,(BAREMOS!A:A=A58)*(BAREMOS!B"&amp;":B=B58)*(BAREMOS!C:C=C58)*(BAREMOS!D:D=E58),0),0)),19,
         MATCH(H58,INDEX(BAREMOS!G:Y,MATCH(1,(BAREMOS!A:A=A58)*(BAREMOS!B:B=B58)*(BAREMOS!C:C=C58)*(BAREMOS!D:D=E58),0),0),-1)
      )
   ),
   IF(H58&lt;=MIN(INDEX(BAREMOS!G:Y,MATCH(1,(BAREMOS!A:A=A58)*"&amp;"(BAREMOS!B:B=B58)*(BAREMOS!C:C=C58)*(BAREMOS!D:D=E58),0),0)),1,
      IF(H58&gt;=MAX(INDEX(BAREMOS!G:Y,MATCH(1,(BAREMOS!A:A=A58)*(BAREMOS!B:B=B58)*(BAREMOS!C:C=C58)*(BAREMOS!D:D=E58),0),0)),19,
         MATCH(H58,INDEX(BAREMOS!G:Y,MATCH(1,(BAREMOS!A:A=A58)*("&amp;"BAREMOS!B:B=B58)*(BAREMOS!C:C=C58)*(BAREMOS!D:D=E58),0),0),1)
      )
   )
)
,""""))
"),1.0)</f>
        <v>1</v>
      </c>
      <c r="K58" s="30">
        <f t="shared" si="1"/>
        <v>1</v>
      </c>
    </row>
    <row r="59">
      <c r="A59" s="23" t="str">
        <f t="array" ref="A59">IF(D59="","",IFERROR(INDEX(CONFIGURACION!C:C,MATCH(D59,CONFIGURACION!E:E,0)),""))
</f>
        <v>BCH</v>
      </c>
      <c r="B59" s="23">
        <f t="array" ref="B59">IF(D59="","",IFERROR(INDEX(CONFIGURACION!D:D,MATCH(D59,CONFIGURACION!E:E,0)),""))
</f>
        <v>1</v>
      </c>
      <c r="C59" s="26" t="s">
        <v>19</v>
      </c>
      <c r="D59" s="13" t="s">
        <v>89</v>
      </c>
      <c r="E59" s="27" t="s">
        <v>70</v>
      </c>
      <c r="F59" s="24" t="s">
        <v>95</v>
      </c>
      <c r="G59" s="27" t="s">
        <v>40</v>
      </c>
      <c r="H59" s="28">
        <v>3.0</v>
      </c>
      <c r="I59" s="29" t="str">
        <f>IFERROR(__xludf.DUMMYFUNCTION("IF(F59="""","""",LET(
  nombre, TRIM(F59),
  primer, REGEXEXTRACT(nombre, ""^\S+""),
  resto, TRIM(REGEXREPLACE(nombre, ""^\S+\s*"", """")),
  iniciales, IF(
    resto="""",
    """",
    TEXTJOIN("""",1,ARRAYFORMULA(LEFT(SPLIT(resto,"" ""),1) &amp; "".""))
 "&amp;" ),
  UPPER(primer) &amp; "" "" &amp; UPPER(iniciales)
))"),"MANOLO D.C.")</f>
        <v>MANOLO D.C.</v>
      </c>
      <c r="J59" s="29">
        <f>IFERROR(__xludf.DUMMYFUNCTION("IF(H59="""","""",IFERROR(
IF(REGEXMATCH(E59,""VELOCIDAD""),
   IF(H59&gt;=MAX(INDEX(BAREMOS!G:Y,MATCH(1,(BAREMOS!A:A=A59)*(BAREMOS!B:B=B59)*(BAREMOS!C:C=C59)*(BAREMOS!D:D=E59),0),0)),1,
      IF(H59&lt;=MIN(INDEX(BAREMOS!G:Y,MATCH(1,(BAREMOS!A:A=A59)*(BAREMOS!B"&amp;":B=B59)*(BAREMOS!C:C=C59)*(BAREMOS!D:D=E59),0),0)),19,
         MATCH(H59,INDEX(BAREMOS!G:Y,MATCH(1,(BAREMOS!A:A=A59)*(BAREMOS!B:B=B59)*(BAREMOS!C:C=C59)*(BAREMOS!D:D=E59),0),0),-1)
      )
   ),
   IF(H59&lt;=MIN(INDEX(BAREMOS!G:Y,MATCH(1,(BAREMOS!A:A=A59)*"&amp;"(BAREMOS!B:B=B59)*(BAREMOS!C:C=C59)*(BAREMOS!D:D=E59),0),0)),1,
      IF(H59&gt;=MAX(INDEX(BAREMOS!G:Y,MATCH(1,(BAREMOS!A:A=A59)*(BAREMOS!B:B=B59)*(BAREMOS!C:C=C59)*(BAREMOS!D:D=E59),0),0)),19,
         MATCH(H59,INDEX(BAREMOS!G:Y,MATCH(1,(BAREMOS!A:A=A59)*("&amp;"BAREMOS!B:B=B59)*(BAREMOS!C:C=C59)*(BAREMOS!D:D=E59),0),0),1)
      )
   )
)
,""""))
"),19.0)</f>
        <v>19</v>
      </c>
      <c r="K59" s="30">
        <f t="shared" si="1"/>
        <v>10</v>
      </c>
    </row>
    <row r="60">
      <c r="A60" s="23" t="str">
        <f t="array" ref="A60">IF(D60="","",IFERROR(INDEX(CONFIGURACION!C:C,MATCH(D60,CONFIGURACION!E:E,0)),""))
</f>
        <v>BCH</v>
      </c>
      <c r="B60" s="23">
        <f t="array" ref="B60">IF(D60="","",IFERROR(INDEX(CONFIGURACION!D:D,MATCH(D60,CONFIGURACION!E:E,0)),""))
</f>
        <v>1</v>
      </c>
      <c r="C60" s="26" t="s">
        <v>19</v>
      </c>
      <c r="D60" s="13" t="s">
        <v>89</v>
      </c>
      <c r="E60" s="27" t="s">
        <v>77</v>
      </c>
      <c r="F60" s="24" t="s">
        <v>95</v>
      </c>
      <c r="G60" s="27" t="s">
        <v>40</v>
      </c>
      <c r="H60" s="28">
        <v>5.0</v>
      </c>
      <c r="I60" s="29" t="str">
        <f>IFERROR(__xludf.DUMMYFUNCTION("IF(F60="""","""",LET(
  nombre, TRIM(F60),
  primer, REGEXEXTRACT(nombre, ""^\S+""),
  resto, TRIM(REGEXREPLACE(nombre, ""^\S+\s*"", """")),
  iniciales, IF(
    resto="""",
    """",
    TEXTJOIN("""",1,ARRAYFORMULA(LEFT(SPLIT(resto,"" ""),1) &amp; "".""))
 "&amp;" ),
  UPPER(primer) &amp; "" "" &amp; UPPER(iniciales)
))"),"MANOLO D.C.")</f>
        <v>MANOLO D.C.</v>
      </c>
      <c r="J60" s="29" t="str">
        <f>IFERROR(__xludf.DUMMYFUNCTION("IF(H60="""","""",IFERROR(
IF(REGEXMATCH(E60,""VELOCIDAD""),
   IF(H60&gt;=MAX(INDEX(BAREMOS!G:Y,MATCH(1,(BAREMOS!A:A=A60)*(BAREMOS!B:B=B60)*(BAREMOS!C:C=C60)*(BAREMOS!D:D=E60),0),0)),1,
      IF(H60&lt;=MIN(INDEX(BAREMOS!G:Y,MATCH(1,(BAREMOS!A:A=A60)*(BAREMOS!B"&amp;":B=B60)*(BAREMOS!C:C=C60)*(BAREMOS!D:D=E60),0),0)),19,
         MATCH(H60,INDEX(BAREMOS!G:Y,MATCH(1,(BAREMOS!A:A=A60)*(BAREMOS!B:B=B60)*(BAREMOS!C:C=C60)*(BAREMOS!D:D=E60),0),0),-1)
      )
   ),
   IF(H60&lt;=MIN(INDEX(BAREMOS!G:Y,MATCH(1,(BAREMOS!A:A=A60)*"&amp;"(BAREMOS!B:B=B60)*(BAREMOS!C:C=C60)*(BAREMOS!D:D=E60),0),0)),1,
      IF(H60&gt;=MAX(INDEX(BAREMOS!G:Y,MATCH(1,(BAREMOS!A:A=A60)*(BAREMOS!B:B=B60)*(BAREMOS!C:C=C60)*(BAREMOS!D:D=E60),0),0)),19,
         MATCH(H60,INDEX(BAREMOS!G:Y,MATCH(1,(BAREMOS!A:A=A60)*("&amp;"BAREMOS!B:B=B60)*(BAREMOS!C:C=C60)*(BAREMOS!D:D=E60),0),0),1)
      )
   )
)
,""""))
"),"")</f>
        <v/>
      </c>
      <c r="K60" s="30" t="str">
        <f t="shared" si="1"/>
        <v/>
      </c>
    </row>
    <row r="61">
      <c r="A61" s="23" t="str">
        <f t="array" ref="A61">IF(D61="","",IFERROR(INDEX(CONFIGURACION!C:C,MATCH(D61,CONFIGURACION!E:E,0)),""))
</f>
        <v>BCH</v>
      </c>
      <c r="B61" s="23">
        <f t="array" ref="B61">IF(D61="","",IFERROR(INDEX(CONFIGURACION!D:D,MATCH(D61,CONFIGURACION!E:E,0)),""))
</f>
        <v>1</v>
      </c>
      <c r="C61" s="26" t="s">
        <v>19</v>
      </c>
      <c r="D61" s="13" t="s">
        <v>89</v>
      </c>
      <c r="E61" s="27" t="s">
        <v>21</v>
      </c>
      <c r="F61" s="24"/>
      <c r="G61" s="27"/>
      <c r="H61" s="28"/>
      <c r="I61" s="29"/>
      <c r="J61" s="29"/>
      <c r="K61" s="30"/>
    </row>
    <row r="62">
      <c r="A62" s="23" t="str">
        <f t="array" ref="A62">IF(D62="","",IFERROR(INDEX(CONFIGURACION!C:C,MATCH(D62,CONFIGURACION!E:E,0)),""))
</f>
        <v/>
      </c>
      <c r="B62" s="23" t="str">
        <f t="array" ref="B62">IF(D62="","",IFERROR(INDEX(CONFIGURACION!D:D,MATCH(D62,CONFIGURACION!E:E,0)),""))
</f>
        <v/>
      </c>
      <c r="C62" s="26"/>
      <c r="D62" s="13"/>
      <c r="E62" s="27"/>
      <c r="F62" s="24"/>
      <c r="G62" s="27"/>
      <c r="H62" s="28"/>
      <c r="I62" s="29"/>
      <c r="J62" s="29"/>
      <c r="K62" s="30"/>
    </row>
    <row r="63">
      <c r="A63" s="23" t="str">
        <f t="array" ref="A63">IF(D63="","",IFERROR(INDEX(CONFIGURACION!C:C,MATCH(D63,CONFIGURACION!E:E,0)),""))
</f>
        <v/>
      </c>
      <c r="B63" s="23" t="str">
        <f t="array" ref="B63">IF(D63="","",IFERROR(INDEX(CONFIGURACION!D:D,MATCH(D63,CONFIGURACION!E:E,0)),""))
</f>
        <v/>
      </c>
      <c r="C63" s="26"/>
      <c r="D63" s="13"/>
      <c r="E63" s="27"/>
      <c r="F63" s="24"/>
      <c r="G63" s="27"/>
      <c r="H63" s="28"/>
      <c r="I63" s="29"/>
      <c r="J63" s="29"/>
      <c r="K63" s="30"/>
    </row>
    <row r="64">
      <c r="A64" s="23" t="str">
        <f t="array" ref="A64">IF(D64="","",IFERROR(INDEX(CONFIGURACION!C:C,MATCH(D64,CONFIGURACION!E:E,0)),""))
</f>
        <v/>
      </c>
      <c r="B64" s="23" t="str">
        <f t="array" ref="B64">IF(D64="","",IFERROR(INDEX(CONFIGURACION!D:D,MATCH(D64,CONFIGURACION!E:E,0)),""))
</f>
        <v/>
      </c>
      <c r="C64" s="26"/>
      <c r="D64" s="13"/>
      <c r="E64" s="27"/>
      <c r="F64" s="24"/>
      <c r="G64" s="27"/>
      <c r="H64" s="28"/>
      <c r="I64" s="29"/>
      <c r="J64" s="29"/>
      <c r="K64" s="30"/>
    </row>
    <row r="65">
      <c r="A65" s="23" t="str">
        <f t="array" ref="A65">IF(D65="","",IFERROR(INDEX(CONFIGURACION!C:C,MATCH(D65,CONFIGURACION!E:E,0)),""))
</f>
        <v/>
      </c>
      <c r="B65" s="23" t="str">
        <f t="array" ref="B65">IF(D65="","",IFERROR(INDEX(CONFIGURACION!D:D,MATCH(D65,CONFIGURACION!E:E,0)),""))
</f>
        <v/>
      </c>
      <c r="C65" s="26"/>
      <c r="D65" s="13"/>
      <c r="E65" s="27"/>
      <c r="F65" s="24"/>
      <c r="G65" s="27"/>
      <c r="H65" s="28"/>
      <c r="I65" s="29"/>
      <c r="J65" s="29"/>
      <c r="K65" s="30"/>
    </row>
    <row r="66">
      <c r="A66" s="23" t="str">
        <f t="array" ref="A66">IF(D66="","",IFERROR(INDEX(CONFIGURACION!C:C,MATCH(D66,CONFIGURACION!E:E,0)),""))
</f>
        <v/>
      </c>
      <c r="B66" s="23" t="str">
        <f t="array" ref="B66">IF(D66="","",IFERROR(INDEX(CONFIGURACION!D:D,MATCH(D66,CONFIGURACION!E:E,0)),""))
</f>
        <v/>
      </c>
      <c r="C66" s="26"/>
      <c r="D66" s="13"/>
      <c r="E66" s="27"/>
      <c r="F66" s="24"/>
      <c r="G66" s="27"/>
      <c r="H66" s="28"/>
      <c r="I66" s="29"/>
      <c r="J66" s="29"/>
      <c r="K66" s="30"/>
    </row>
    <row r="67">
      <c r="A67" s="23" t="str">
        <f t="array" ref="A67">IF(D67="","",IFERROR(INDEX(CONFIGURACION!C:C,MATCH(D67,CONFIGURACION!E:E,0)),""))
</f>
        <v/>
      </c>
      <c r="B67" s="23" t="str">
        <f t="array" ref="B67">IF(D67="","",IFERROR(INDEX(CONFIGURACION!D:D,MATCH(D67,CONFIGURACION!E:E,0)),""))
</f>
        <v/>
      </c>
      <c r="C67" s="26"/>
      <c r="D67" s="13"/>
      <c r="E67" s="27"/>
      <c r="F67" s="24"/>
      <c r="G67" s="27"/>
      <c r="H67" s="28"/>
      <c r="I67" s="29"/>
      <c r="J67" s="29"/>
      <c r="K67" s="30"/>
    </row>
    <row r="68">
      <c r="A68" s="23" t="str">
        <f t="array" ref="A68">IF(D68="","",IFERROR(INDEX(CONFIGURACION!C:C,MATCH(D68,CONFIGURACION!E:E,0)),""))
</f>
        <v/>
      </c>
      <c r="B68" s="23" t="str">
        <f t="array" ref="B68">IF(D68="","",IFERROR(INDEX(CONFIGURACION!D:D,MATCH(D68,CONFIGURACION!E:E,0)),""))
</f>
        <v/>
      </c>
      <c r="C68" s="26"/>
      <c r="D68" s="13"/>
      <c r="E68" s="27"/>
      <c r="F68" s="24"/>
      <c r="G68" s="27"/>
      <c r="H68" s="28"/>
      <c r="I68" s="29"/>
      <c r="J68" s="29"/>
      <c r="K68" s="30"/>
    </row>
    <row r="69">
      <c r="A69" s="23" t="str">
        <f t="array" ref="A69">IF(D69="","",IFERROR(INDEX(CONFIGURACION!C:C,MATCH(D69,CONFIGURACION!E:E,0)),""))
</f>
        <v/>
      </c>
      <c r="B69" s="23" t="str">
        <f t="array" ref="B69">IF(D69="","",IFERROR(INDEX(CONFIGURACION!D:D,MATCH(D69,CONFIGURACION!E:E,0)),""))
</f>
        <v/>
      </c>
      <c r="C69" s="26"/>
      <c r="D69" s="13"/>
      <c r="E69" s="27"/>
      <c r="F69" s="24"/>
      <c r="G69" s="27"/>
      <c r="H69" s="28"/>
      <c r="I69" s="29"/>
      <c r="J69" s="29"/>
      <c r="K69" s="30"/>
    </row>
    <row r="70">
      <c r="A70" s="23" t="str">
        <f t="array" ref="A70">IF(D70="","",IFERROR(INDEX(CONFIGURACION!C:C,MATCH(D70,CONFIGURACION!E:E,0)),""))
</f>
        <v/>
      </c>
      <c r="B70" s="23" t="str">
        <f t="array" ref="B70">IF(D70="","",IFERROR(INDEX(CONFIGURACION!D:D,MATCH(D70,CONFIGURACION!E:E,0)),""))
</f>
        <v/>
      </c>
      <c r="C70" s="26"/>
      <c r="D70" s="13"/>
      <c r="E70" s="27"/>
      <c r="F70" s="24"/>
      <c r="G70" s="27"/>
      <c r="H70" s="28"/>
      <c r="I70" s="29"/>
      <c r="J70" s="29"/>
      <c r="K70" s="30"/>
    </row>
  </sheetData>
  <dataValidations>
    <dataValidation type="list" allowBlank="1" showInputMessage="1" showErrorMessage="1" prompt="Haz clic e introduce un valor del intervalo" sqref="G2:G70">
      <formula1>CONFIGURACION!$I$2:$I$5</formula1>
    </dataValidation>
    <dataValidation type="list" allowBlank="1" showInputMessage="1" showErrorMessage="1" prompt="Haz clic e introduce un valor del intervalo" sqref="F2:F5">
      <formula1>ALUMNOS!$D$2:$D70</formula1>
    </dataValidation>
    <dataValidation type="list" allowBlank="1" showInputMessage="1" showErrorMessage="1" prompt="Haz clic e introduce un valor del intervalo" sqref="E2:E70">
      <formula1>CONFIGURACION!$K$2:$K$9</formula1>
    </dataValidation>
    <dataValidation type="list" allowBlank="1" showInputMessage="1" showErrorMessage="1" prompt="Haz clic e introduce un valor del intervalo" sqref="C2:C70">
      <formula1>CONFIGURACION!$G$2:$G$3</formula1>
    </dataValidation>
    <dataValidation type="list" allowBlank="1" showErrorMessage="1" sqref="D2:D70">
      <formula1>CONFIGURACION!$E$2:$E$17</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8.0"/>
    <col customWidth="1" min="3" max="3" width="11.63"/>
    <col customWidth="1" min="4" max="4" width="14.5"/>
    <col customWidth="1" min="5" max="5" width="9.38"/>
    <col customWidth="1" min="6" max="6" width="13.13"/>
    <col customWidth="1" min="7" max="25" width="7.75"/>
  </cols>
  <sheetData>
    <row r="1">
      <c r="A1" s="4" t="s">
        <v>1</v>
      </c>
      <c r="B1" s="4" t="s">
        <v>2</v>
      </c>
      <c r="C1" s="4" t="s">
        <v>4</v>
      </c>
      <c r="D1" s="31" t="s">
        <v>105</v>
      </c>
      <c r="E1" s="4" t="s">
        <v>9</v>
      </c>
      <c r="F1" s="31" t="s">
        <v>106</v>
      </c>
      <c r="G1" s="32">
        <v>1.0</v>
      </c>
      <c r="H1" s="33">
        <v>46143.0</v>
      </c>
      <c r="I1" s="32">
        <v>2.0</v>
      </c>
      <c r="J1" s="33">
        <v>46144.0</v>
      </c>
      <c r="K1" s="32">
        <v>3.0</v>
      </c>
      <c r="L1" s="33">
        <v>46145.0</v>
      </c>
      <c r="M1" s="32">
        <v>4.0</v>
      </c>
      <c r="N1" s="33">
        <v>46146.0</v>
      </c>
      <c r="O1" s="32">
        <v>5.0</v>
      </c>
      <c r="P1" s="33">
        <v>46147.0</v>
      </c>
      <c r="Q1" s="32">
        <v>6.0</v>
      </c>
      <c r="R1" s="33">
        <v>46148.0</v>
      </c>
      <c r="S1" s="32">
        <v>7.0</v>
      </c>
      <c r="T1" s="33">
        <v>46149.0</v>
      </c>
      <c r="U1" s="32">
        <v>8.0</v>
      </c>
      <c r="V1" s="33">
        <v>46150.0</v>
      </c>
      <c r="W1" s="32">
        <v>9.0</v>
      </c>
      <c r="X1" s="33">
        <v>46151.0</v>
      </c>
      <c r="Y1" s="32">
        <v>10.0</v>
      </c>
    </row>
    <row r="2">
      <c r="A2" s="10" t="s">
        <v>88</v>
      </c>
      <c r="B2" s="10">
        <v>1.0</v>
      </c>
      <c r="C2" s="10" t="s">
        <v>19</v>
      </c>
      <c r="D2" s="9" t="s">
        <v>62</v>
      </c>
      <c r="E2" s="10" t="s">
        <v>107</v>
      </c>
      <c r="F2" s="34">
        <v>0.0</v>
      </c>
      <c r="G2" s="34">
        <v>1900.0</v>
      </c>
      <c r="H2" s="34">
        <v>2025.0</v>
      </c>
      <c r="I2" s="34">
        <v>2150.0</v>
      </c>
      <c r="J2" s="34">
        <v>2225.0</v>
      </c>
      <c r="K2" s="34">
        <v>2300.0</v>
      </c>
      <c r="L2" s="34">
        <v>2375.0</v>
      </c>
      <c r="M2" s="34">
        <v>2450.0</v>
      </c>
      <c r="N2" s="34">
        <v>2496.0</v>
      </c>
      <c r="O2" s="34">
        <v>2543.0</v>
      </c>
      <c r="P2" s="34">
        <v>2621.0</v>
      </c>
      <c r="Q2" s="34">
        <v>2700.0</v>
      </c>
      <c r="R2" s="34">
        <v>2775.0</v>
      </c>
      <c r="S2" s="34">
        <v>2850.0</v>
      </c>
      <c r="T2" s="34">
        <v>2900.0</v>
      </c>
      <c r="U2" s="34">
        <v>2950.0</v>
      </c>
      <c r="V2" s="34">
        <v>3050.0</v>
      </c>
      <c r="W2" s="34">
        <v>3150.0</v>
      </c>
      <c r="X2" s="34">
        <v>3200.0</v>
      </c>
      <c r="Y2" s="34">
        <v>3250.0</v>
      </c>
    </row>
    <row r="3">
      <c r="A3" s="10" t="s">
        <v>88</v>
      </c>
      <c r="B3" s="10">
        <v>1.0</v>
      </c>
      <c r="C3" s="10" t="s">
        <v>19</v>
      </c>
      <c r="D3" s="9" t="s">
        <v>49</v>
      </c>
      <c r="E3" s="10" t="s">
        <v>108</v>
      </c>
      <c r="F3" s="34">
        <v>0.0</v>
      </c>
      <c r="G3" s="34">
        <v>24.0</v>
      </c>
      <c r="H3" s="35">
        <v>46167.0</v>
      </c>
      <c r="I3" s="34">
        <v>27.0</v>
      </c>
      <c r="J3" s="35">
        <v>46170.0</v>
      </c>
      <c r="K3" s="34">
        <v>30.0</v>
      </c>
      <c r="L3" s="35">
        <v>46172.0</v>
      </c>
      <c r="M3" s="34">
        <v>31.0</v>
      </c>
      <c r="N3" s="34">
        <v>32.0</v>
      </c>
      <c r="O3" s="34">
        <v>33.0</v>
      </c>
      <c r="P3" s="34" t="s">
        <v>109</v>
      </c>
      <c r="Q3" s="34">
        <v>36.0</v>
      </c>
      <c r="R3" s="34" t="s">
        <v>110</v>
      </c>
      <c r="S3" s="34">
        <v>39.0</v>
      </c>
      <c r="T3" s="34">
        <v>40.0</v>
      </c>
      <c r="U3" s="34">
        <v>41.0</v>
      </c>
      <c r="V3" s="34">
        <v>42.0</v>
      </c>
      <c r="W3" s="34">
        <v>43.0</v>
      </c>
      <c r="X3" s="34">
        <v>44.0</v>
      </c>
      <c r="Y3" s="34">
        <v>45.0</v>
      </c>
    </row>
    <row r="4">
      <c r="A4" s="10" t="s">
        <v>88</v>
      </c>
      <c r="B4" s="10">
        <v>1.0</v>
      </c>
      <c r="C4" s="10" t="s">
        <v>19</v>
      </c>
      <c r="D4" s="9" t="s">
        <v>56</v>
      </c>
      <c r="E4" s="10" t="s">
        <v>108</v>
      </c>
      <c r="F4" s="34">
        <v>0.0</v>
      </c>
      <c r="G4" s="34">
        <v>28.0</v>
      </c>
      <c r="H4" s="35">
        <v>46172.0</v>
      </c>
      <c r="I4" s="34">
        <v>33.0</v>
      </c>
      <c r="J4" s="34" t="s">
        <v>111</v>
      </c>
      <c r="K4" s="34">
        <v>38.0</v>
      </c>
      <c r="L4" s="34">
        <v>41.0</v>
      </c>
      <c r="M4" s="34">
        <v>44.0</v>
      </c>
      <c r="N4" s="34">
        <v>46.0</v>
      </c>
      <c r="O4" s="34">
        <v>48.0</v>
      </c>
      <c r="P4" s="34">
        <v>49.0</v>
      </c>
      <c r="Q4" s="34">
        <v>50.0</v>
      </c>
      <c r="R4" s="34">
        <v>51.0</v>
      </c>
      <c r="S4" s="34">
        <v>52.0</v>
      </c>
      <c r="T4" s="34" t="s">
        <v>112</v>
      </c>
      <c r="U4" s="34">
        <v>55.0</v>
      </c>
      <c r="V4" s="34">
        <v>56.0</v>
      </c>
      <c r="W4" s="34">
        <v>57.0</v>
      </c>
      <c r="X4" s="34" t="s">
        <v>113</v>
      </c>
      <c r="Y4" s="34">
        <v>60.0</v>
      </c>
    </row>
    <row r="5">
      <c r="A5" s="10" t="s">
        <v>88</v>
      </c>
      <c r="B5" s="10">
        <v>1.0</v>
      </c>
      <c r="C5" s="10" t="s">
        <v>19</v>
      </c>
      <c r="D5" s="9" t="s">
        <v>21</v>
      </c>
      <c r="E5" s="10" t="s">
        <v>108</v>
      </c>
      <c r="F5" s="34">
        <v>0.0</v>
      </c>
      <c r="G5" s="34">
        <v>157.0</v>
      </c>
      <c r="H5" s="34">
        <v>161.0</v>
      </c>
      <c r="I5" s="34">
        <v>165.0</v>
      </c>
      <c r="J5" s="34" t="s">
        <v>114</v>
      </c>
      <c r="K5" s="34">
        <v>180.0</v>
      </c>
      <c r="L5" s="34">
        <v>185.0</v>
      </c>
      <c r="M5" s="34">
        <v>190.0</v>
      </c>
      <c r="N5" s="34" t="s">
        <v>115</v>
      </c>
      <c r="O5" s="34">
        <v>195.0</v>
      </c>
      <c r="P5" s="34">
        <v>200.0</v>
      </c>
      <c r="Q5" s="34">
        <v>205.0</v>
      </c>
      <c r="R5" s="34" t="s">
        <v>116</v>
      </c>
      <c r="S5" s="34">
        <v>220.0</v>
      </c>
      <c r="T5" s="34">
        <v>225.0</v>
      </c>
      <c r="U5" s="34">
        <v>230.0</v>
      </c>
      <c r="V5" s="34">
        <v>235.0</v>
      </c>
      <c r="W5" s="34">
        <v>240.0</v>
      </c>
      <c r="X5" s="34">
        <v>245.0</v>
      </c>
      <c r="Y5" s="34">
        <v>250.0</v>
      </c>
    </row>
    <row r="6">
      <c r="A6" s="10" t="s">
        <v>88</v>
      </c>
      <c r="B6" s="10">
        <v>1.0</v>
      </c>
      <c r="C6" s="10" t="s">
        <v>19</v>
      </c>
      <c r="D6" s="9" t="s">
        <v>41</v>
      </c>
      <c r="E6" s="10" t="s">
        <v>43</v>
      </c>
      <c r="F6" s="34">
        <v>0.0</v>
      </c>
      <c r="G6" s="34">
        <v>14.0</v>
      </c>
      <c r="H6" s="34">
        <v>15.0</v>
      </c>
      <c r="I6" s="34">
        <v>16.0</v>
      </c>
      <c r="J6" s="34">
        <v>17.0</v>
      </c>
      <c r="K6" s="34">
        <v>19.0</v>
      </c>
      <c r="L6" s="34">
        <v>20.0</v>
      </c>
      <c r="M6" s="34">
        <v>22.0</v>
      </c>
      <c r="N6" s="34">
        <v>23.0</v>
      </c>
      <c r="O6" s="34">
        <v>24.0</v>
      </c>
      <c r="P6" s="34">
        <v>25.0</v>
      </c>
      <c r="Q6" s="34">
        <v>26.0</v>
      </c>
      <c r="R6" s="34">
        <v>27.0</v>
      </c>
      <c r="S6" s="34">
        <v>28.0</v>
      </c>
      <c r="T6" s="34">
        <v>29.0</v>
      </c>
      <c r="U6" s="34">
        <v>30.0</v>
      </c>
      <c r="V6" s="34">
        <v>31.0</v>
      </c>
      <c r="W6" s="34">
        <v>32.0</v>
      </c>
      <c r="X6" s="34">
        <v>33.0</v>
      </c>
      <c r="Y6" s="34">
        <v>35.0</v>
      </c>
    </row>
    <row r="7">
      <c r="A7" s="10" t="s">
        <v>88</v>
      </c>
      <c r="B7" s="10">
        <v>1.0</v>
      </c>
      <c r="C7" s="10" t="s">
        <v>19</v>
      </c>
      <c r="D7" s="9" t="s">
        <v>33</v>
      </c>
      <c r="E7" s="10" t="s">
        <v>107</v>
      </c>
      <c r="F7" s="34">
        <v>0.0</v>
      </c>
      <c r="G7" s="35">
        <v>46237.0</v>
      </c>
      <c r="H7" s="34">
        <v>4.0</v>
      </c>
      <c r="I7" s="35">
        <v>46057.0</v>
      </c>
      <c r="J7" s="34" t="s">
        <v>117</v>
      </c>
      <c r="K7" s="35">
        <v>46086.0</v>
      </c>
      <c r="L7" s="34" t="s">
        <v>118</v>
      </c>
      <c r="M7" s="34">
        <v>6.0</v>
      </c>
      <c r="N7" s="34" t="s">
        <v>119</v>
      </c>
      <c r="O7" s="35">
        <v>46148.0</v>
      </c>
      <c r="P7" s="34" t="s">
        <v>120</v>
      </c>
      <c r="Q7" s="34">
        <v>7.0</v>
      </c>
      <c r="R7" s="35">
        <v>46088.0</v>
      </c>
      <c r="S7" s="35">
        <v>46180.0</v>
      </c>
      <c r="T7" s="34" t="s">
        <v>121</v>
      </c>
      <c r="U7" s="35">
        <v>46030.0</v>
      </c>
      <c r="V7" s="34" t="s">
        <v>122</v>
      </c>
      <c r="W7" s="34">
        <v>9.0</v>
      </c>
      <c r="X7" s="35">
        <v>46151.0</v>
      </c>
      <c r="Y7" s="34">
        <v>10.0</v>
      </c>
    </row>
    <row r="8">
      <c r="A8" s="10" t="s">
        <v>88</v>
      </c>
      <c r="B8" s="10">
        <v>1.0</v>
      </c>
      <c r="C8" s="10" t="s">
        <v>19</v>
      </c>
      <c r="D8" s="9" t="s">
        <v>70</v>
      </c>
      <c r="E8" s="10" t="s">
        <v>123</v>
      </c>
      <c r="F8" s="34">
        <v>0.0</v>
      </c>
      <c r="G8" s="34">
        <v>9.0</v>
      </c>
      <c r="H8" s="35">
        <v>46242.0</v>
      </c>
      <c r="I8" s="35">
        <v>46181.0</v>
      </c>
      <c r="J8" s="35">
        <v>46120.0</v>
      </c>
      <c r="K8" s="35">
        <v>46061.0</v>
      </c>
      <c r="L8" s="34">
        <v>8.0</v>
      </c>
      <c r="M8" s="35">
        <v>46241.0</v>
      </c>
      <c r="N8" s="35">
        <v>46180.0</v>
      </c>
      <c r="O8" s="35">
        <v>46119.0</v>
      </c>
      <c r="P8" s="35">
        <v>46088.0</v>
      </c>
      <c r="Q8" s="35">
        <v>46060.0</v>
      </c>
      <c r="R8" s="35">
        <v>46029.0</v>
      </c>
      <c r="S8" s="34">
        <v>7.0</v>
      </c>
      <c r="T8" s="35">
        <v>46271.0</v>
      </c>
      <c r="U8" s="35">
        <v>46240.0</v>
      </c>
      <c r="V8" s="35">
        <v>46209.0</v>
      </c>
      <c r="W8" s="35">
        <v>46179.0</v>
      </c>
      <c r="X8" s="35">
        <v>46148.0</v>
      </c>
      <c r="Y8" s="35">
        <v>46118.0</v>
      </c>
    </row>
    <row r="9">
      <c r="A9" s="4" t="s">
        <v>1</v>
      </c>
      <c r="B9" s="4" t="s">
        <v>2</v>
      </c>
      <c r="C9" s="4" t="s">
        <v>4</v>
      </c>
      <c r="D9" s="31" t="s">
        <v>105</v>
      </c>
      <c r="E9" s="4" t="s">
        <v>9</v>
      </c>
      <c r="F9" s="31" t="s">
        <v>106</v>
      </c>
      <c r="G9" s="32">
        <v>1.0</v>
      </c>
      <c r="H9" s="33">
        <v>46143.0</v>
      </c>
      <c r="I9" s="32">
        <v>2.0</v>
      </c>
      <c r="J9" s="33">
        <v>46144.0</v>
      </c>
      <c r="K9" s="32">
        <v>3.0</v>
      </c>
      <c r="L9" s="33">
        <v>46145.0</v>
      </c>
      <c r="M9" s="32">
        <v>4.0</v>
      </c>
      <c r="N9" s="33">
        <v>46146.0</v>
      </c>
      <c r="O9" s="32">
        <v>5.0</v>
      </c>
      <c r="P9" s="33">
        <v>46147.0</v>
      </c>
      <c r="Q9" s="32">
        <v>6.0</v>
      </c>
      <c r="R9" s="33">
        <v>46148.0</v>
      </c>
      <c r="S9" s="32">
        <v>7.0</v>
      </c>
      <c r="T9" s="33">
        <v>46149.0</v>
      </c>
      <c r="U9" s="32">
        <v>8.0</v>
      </c>
      <c r="V9" s="33">
        <v>46150.0</v>
      </c>
      <c r="W9" s="32">
        <v>9.0</v>
      </c>
      <c r="X9" s="33">
        <v>46151.0</v>
      </c>
      <c r="Y9" s="32">
        <v>10.0</v>
      </c>
    </row>
    <row r="10">
      <c r="A10" s="10" t="s">
        <v>88</v>
      </c>
      <c r="B10" s="10">
        <v>1.0</v>
      </c>
      <c r="C10" s="36" t="s">
        <v>31</v>
      </c>
      <c r="D10" s="9" t="s">
        <v>62</v>
      </c>
      <c r="E10" s="10" t="s">
        <v>107</v>
      </c>
      <c r="F10" s="34">
        <v>0.0</v>
      </c>
      <c r="G10" s="34">
        <v>1700.0</v>
      </c>
      <c r="H10" s="34">
        <v>1750.0</v>
      </c>
      <c r="I10" s="34">
        <v>1800.0</v>
      </c>
      <c r="J10" s="34">
        <v>1850.0</v>
      </c>
      <c r="K10" s="34">
        <v>1900.0</v>
      </c>
      <c r="L10" s="34">
        <v>1950.0</v>
      </c>
      <c r="M10" s="34">
        <v>2000.0</v>
      </c>
      <c r="N10" s="34">
        <v>2050.0</v>
      </c>
      <c r="O10" s="34">
        <v>2100.0</v>
      </c>
      <c r="P10" s="34">
        <v>2150.0</v>
      </c>
      <c r="Q10" s="34">
        <v>2250.0</v>
      </c>
      <c r="R10" s="34">
        <v>2350.0</v>
      </c>
      <c r="S10" s="34">
        <v>2400.0</v>
      </c>
      <c r="T10" s="34">
        <v>2500.0</v>
      </c>
      <c r="U10" s="34">
        <v>2550.0</v>
      </c>
      <c r="V10" s="34">
        <v>2600.0</v>
      </c>
      <c r="W10" s="34">
        <v>2700.0</v>
      </c>
      <c r="X10" s="34">
        <v>2750.0</v>
      </c>
      <c r="Y10" s="34">
        <v>2800.0</v>
      </c>
    </row>
    <row r="11">
      <c r="A11" s="10" t="s">
        <v>88</v>
      </c>
      <c r="B11" s="10">
        <v>1.0</v>
      </c>
      <c r="C11" s="36" t="s">
        <v>31</v>
      </c>
      <c r="D11" s="9" t="s">
        <v>49</v>
      </c>
      <c r="E11" s="10" t="s">
        <v>108</v>
      </c>
      <c r="F11" s="34">
        <v>0.0</v>
      </c>
      <c r="G11" s="34">
        <v>22.0</v>
      </c>
      <c r="H11" s="34">
        <v>24.0</v>
      </c>
      <c r="I11" s="34">
        <v>25.0</v>
      </c>
      <c r="J11" s="34">
        <v>26.0</v>
      </c>
      <c r="K11" s="34">
        <v>28.0</v>
      </c>
      <c r="L11" s="34">
        <v>30.0</v>
      </c>
      <c r="M11" s="34">
        <v>31.0</v>
      </c>
      <c r="N11" s="34">
        <v>33.0</v>
      </c>
      <c r="O11" s="34">
        <v>34.0</v>
      </c>
      <c r="P11" s="34">
        <v>35.0</v>
      </c>
      <c r="Q11" s="34">
        <v>36.0</v>
      </c>
      <c r="R11" s="34">
        <v>37.0</v>
      </c>
      <c r="S11" s="34">
        <v>38.0</v>
      </c>
      <c r="T11" s="34">
        <v>39.0</v>
      </c>
      <c r="U11" s="34">
        <v>40.0</v>
      </c>
      <c r="V11" s="34">
        <v>41.0</v>
      </c>
      <c r="W11" s="34">
        <v>42.0</v>
      </c>
      <c r="X11" s="34">
        <v>43.0</v>
      </c>
      <c r="Y11" s="34">
        <v>44.0</v>
      </c>
    </row>
    <row r="12">
      <c r="A12" s="10" t="s">
        <v>88</v>
      </c>
      <c r="B12" s="10">
        <v>1.0</v>
      </c>
      <c r="C12" s="36" t="s">
        <v>31</v>
      </c>
      <c r="D12" s="9" t="s">
        <v>56</v>
      </c>
      <c r="E12" s="10" t="s">
        <v>108</v>
      </c>
      <c r="F12" s="34">
        <v>0.0</v>
      </c>
      <c r="G12" s="34">
        <v>23.0</v>
      </c>
      <c r="H12" s="34">
        <v>24.0</v>
      </c>
      <c r="I12" s="34">
        <v>26.0</v>
      </c>
      <c r="J12" s="34">
        <v>27.0</v>
      </c>
      <c r="K12" s="34">
        <v>29.0</v>
      </c>
      <c r="L12" s="34">
        <v>30.0</v>
      </c>
      <c r="M12" s="34">
        <v>32.0</v>
      </c>
      <c r="N12" s="34">
        <v>35.0</v>
      </c>
      <c r="O12" s="34">
        <v>36.0</v>
      </c>
      <c r="P12" s="34">
        <v>37.0</v>
      </c>
      <c r="Q12" s="34">
        <v>38.0</v>
      </c>
      <c r="R12" s="34">
        <v>39.0</v>
      </c>
      <c r="S12" s="34">
        <v>41.0</v>
      </c>
      <c r="T12" s="34">
        <v>42.0</v>
      </c>
      <c r="U12" s="34">
        <v>43.0</v>
      </c>
      <c r="V12" s="34">
        <v>44.0</v>
      </c>
      <c r="W12" s="34">
        <v>45.0</v>
      </c>
      <c r="X12" s="34">
        <v>46.0</v>
      </c>
      <c r="Y12" s="34">
        <v>47.0</v>
      </c>
    </row>
    <row r="13">
      <c r="A13" s="10" t="s">
        <v>88</v>
      </c>
      <c r="B13" s="10">
        <v>1.0</v>
      </c>
      <c r="C13" s="36" t="s">
        <v>31</v>
      </c>
      <c r="D13" s="9" t="s">
        <v>21</v>
      </c>
      <c r="E13" s="10" t="s">
        <v>108</v>
      </c>
      <c r="F13" s="34">
        <v>0.0</v>
      </c>
      <c r="G13" s="34">
        <v>140.0</v>
      </c>
      <c r="H13" s="34">
        <v>144.0</v>
      </c>
      <c r="I13" s="34">
        <v>148.0</v>
      </c>
      <c r="J13" s="34">
        <v>152.0</v>
      </c>
      <c r="K13" s="34">
        <v>155.0</v>
      </c>
      <c r="L13" s="34">
        <v>159.0</v>
      </c>
      <c r="M13" s="34">
        <v>162.0</v>
      </c>
      <c r="N13" s="34">
        <v>166.0</v>
      </c>
      <c r="O13" s="34">
        <v>169.0</v>
      </c>
      <c r="P13" s="34">
        <v>171.0</v>
      </c>
      <c r="Q13" s="34">
        <v>174.0</v>
      </c>
      <c r="R13" s="34">
        <v>177.0</v>
      </c>
      <c r="S13" s="34">
        <v>179.0</v>
      </c>
      <c r="T13" s="34">
        <v>181.0</v>
      </c>
      <c r="U13" s="34">
        <v>184.0</v>
      </c>
      <c r="V13" s="34">
        <v>187.0</v>
      </c>
      <c r="W13" s="34">
        <v>189.0</v>
      </c>
      <c r="X13" s="34">
        <v>190.0</v>
      </c>
      <c r="Y13" s="34">
        <v>192.0</v>
      </c>
    </row>
    <row r="14">
      <c r="A14" s="10" t="s">
        <v>88</v>
      </c>
      <c r="B14" s="10">
        <v>1.0</v>
      </c>
      <c r="C14" s="36" t="s">
        <v>31</v>
      </c>
      <c r="D14" s="9" t="s">
        <v>41</v>
      </c>
      <c r="E14" s="10" t="s">
        <v>43</v>
      </c>
      <c r="F14" s="34">
        <v>0.0</v>
      </c>
      <c r="G14" s="34">
        <v>12.0</v>
      </c>
      <c r="H14" s="34">
        <v>13.0</v>
      </c>
      <c r="I14" s="34">
        <v>14.0</v>
      </c>
      <c r="J14" s="34">
        <v>15.0</v>
      </c>
      <c r="K14" s="34">
        <v>16.0</v>
      </c>
      <c r="L14" s="34">
        <v>17.0</v>
      </c>
      <c r="M14" s="34">
        <v>18.0</v>
      </c>
      <c r="N14" s="34">
        <v>19.0</v>
      </c>
      <c r="O14" s="34">
        <v>20.0</v>
      </c>
      <c r="P14" s="34">
        <v>21.0</v>
      </c>
      <c r="Q14" s="34">
        <v>22.0</v>
      </c>
      <c r="R14" s="34">
        <v>23.0</v>
      </c>
      <c r="S14" s="34">
        <v>24.0</v>
      </c>
      <c r="T14" s="34">
        <v>25.0</v>
      </c>
      <c r="U14" s="34">
        <v>26.0</v>
      </c>
      <c r="V14" s="34">
        <v>27.0</v>
      </c>
      <c r="W14" s="34">
        <v>28.0</v>
      </c>
      <c r="X14" s="34">
        <v>29.0</v>
      </c>
      <c r="Y14" s="34">
        <v>30.0</v>
      </c>
    </row>
    <row r="15">
      <c r="A15" s="10" t="s">
        <v>88</v>
      </c>
      <c r="B15" s="10">
        <v>1.0</v>
      </c>
      <c r="C15" s="36" t="s">
        <v>31</v>
      </c>
      <c r="D15" s="9" t="s">
        <v>33</v>
      </c>
      <c r="E15" s="10" t="s">
        <v>107</v>
      </c>
      <c r="F15" s="34">
        <v>0.0</v>
      </c>
      <c r="G15" s="34">
        <v>4.0</v>
      </c>
      <c r="H15" s="35">
        <v>46026.0</v>
      </c>
      <c r="I15" s="35">
        <v>46057.0</v>
      </c>
      <c r="J15" s="35">
        <v>46085.0</v>
      </c>
      <c r="K15" s="35">
        <v>46116.0</v>
      </c>
      <c r="L15" s="35">
        <v>46146.0</v>
      </c>
      <c r="M15" s="35">
        <v>46207.0</v>
      </c>
      <c r="N15" s="35">
        <v>46238.0</v>
      </c>
      <c r="O15" s="34">
        <v>5.0</v>
      </c>
      <c r="P15" s="35">
        <v>46027.0</v>
      </c>
      <c r="Q15" s="35">
        <v>46086.0</v>
      </c>
      <c r="R15" s="35">
        <v>46117.0</v>
      </c>
      <c r="S15" s="35">
        <v>46178.0</v>
      </c>
      <c r="T15" s="35">
        <v>46208.0</v>
      </c>
      <c r="U15" s="35">
        <v>46270.0</v>
      </c>
      <c r="V15" s="34">
        <v>6.0</v>
      </c>
      <c r="W15" s="35">
        <v>46059.0</v>
      </c>
      <c r="X15" s="35">
        <v>46087.0</v>
      </c>
      <c r="Y15" s="35">
        <v>46148.0</v>
      </c>
    </row>
    <row r="16">
      <c r="A16" s="10" t="s">
        <v>88</v>
      </c>
      <c r="B16" s="10">
        <v>1.0</v>
      </c>
      <c r="C16" s="36" t="s">
        <v>31</v>
      </c>
      <c r="D16" s="9" t="s">
        <v>70</v>
      </c>
      <c r="E16" s="10" t="s">
        <v>123</v>
      </c>
      <c r="F16" s="34">
        <v>0.0</v>
      </c>
      <c r="G16" s="34" t="s">
        <v>124</v>
      </c>
      <c r="H16" s="35">
        <v>46121.0</v>
      </c>
      <c r="I16" s="35">
        <v>46062.0</v>
      </c>
      <c r="J16" s="34">
        <v>9.0</v>
      </c>
      <c r="K16" s="35">
        <v>46273.0</v>
      </c>
      <c r="L16" s="35">
        <v>46242.0</v>
      </c>
      <c r="M16" s="35">
        <v>46181.0</v>
      </c>
      <c r="N16" s="35">
        <v>46150.0</v>
      </c>
      <c r="O16" s="35">
        <v>46089.0</v>
      </c>
      <c r="P16" s="34" t="s">
        <v>125</v>
      </c>
      <c r="Q16" s="34" t="s">
        <v>126</v>
      </c>
      <c r="R16" s="35">
        <v>46061.0</v>
      </c>
      <c r="S16" s="34" t="s">
        <v>127</v>
      </c>
      <c r="T16" s="34">
        <v>8.0</v>
      </c>
      <c r="U16" s="35">
        <v>46272.0</v>
      </c>
      <c r="V16" s="35">
        <v>46241.0</v>
      </c>
      <c r="W16" s="34" t="s">
        <v>128</v>
      </c>
      <c r="X16" s="35">
        <v>46210.0</v>
      </c>
      <c r="Y16" s="35">
        <v>46180.0</v>
      </c>
    </row>
    <row r="17">
      <c r="A17" s="4" t="s">
        <v>1</v>
      </c>
      <c r="B17" s="4" t="s">
        <v>2</v>
      </c>
      <c r="C17" s="4" t="s">
        <v>4</v>
      </c>
      <c r="D17" s="31" t="s">
        <v>105</v>
      </c>
      <c r="E17" s="4" t="s">
        <v>9</v>
      </c>
      <c r="F17" s="31" t="s">
        <v>106</v>
      </c>
      <c r="G17" s="32">
        <v>1.0</v>
      </c>
      <c r="H17" s="33">
        <v>46143.0</v>
      </c>
      <c r="I17" s="32">
        <v>2.0</v>
      </c>
      <c r="J17" s="33">
        <v>46144.0</v>
      </c>
      <c r="K17" s="32">
        <v>3.0</v>
      </c>
      <c r="L17" s="33">
        <v>46145.0</v>
      </c>
      <c r="M17" s="32">
        <v>4.0</v>
      </c>
      <c r="N17" s="33">
        <v>46146.0</v>
      </c>
      <c r="O17" s="32">
        <v>5.0</v>
      </c>
      <c r="P17" s="33">
        <v>46147.0</v>
      </c>
      <c r="Q17" s="32">
        <v>6.0</v>
      </c>
      <c r="R17" s="33">
        <v>46148.0</v>
      </c>
      <c r="S17" s="32">
        <v>7.0</v>
      </c>
      <c r="T17" s="33">
        <v>46149.0</v>
      </c>
      <c r="U17" s="32">
        <v>8.0</v>
      </c>
      <c r="V17" s="33">
        <v>46150.0</v>
      </c>
      <c r="W17" s="32">
        <v>9.0</v>
      </c>
      <c r="X17" s="33">
        <v>46151.0</v>
      </c>
      <c r="Y17" s="32">
        <v>10.0</v>
      </c>
    </row>
    <row r="18">
      <c r="A18" s="36" t="s">
        <v>17</v>
      </c>
      <c r="B18" s="36">
        <v>2.0</v>
      </c>
      <c r="C18" s="10" t="s">
        <v>19</v>
      </c>
      <c r="D18" s="9" t="s">
        <v>62</v>
      </c>
      <c r="E18" s="10" t="s">
        <v>107</v>
      </c>
      <c r="F18" s="34">
        <v>0.0</v>
      </c>
      <c r="G18" s="34">
        <v>1400.0</v>
      </c>
      <c r="H18" s="34">
        <v>1475.0</v>
      </c>
      <c r="I18" s="34">
        <v>1548.0</v>
      </c>
      <c r="J18" s="34">
        <v>1622.0</v>
      </c>
      <c r="K18" s="34">
        <v>1697.0</v>
      </c>
      <c r="L18" s="34">
        <v>1771.0</v>
      </c>
      <c r="M18" s="34">
        <v>1845.0</v>
      </c>
      <c r="N18" s="34">
        <v>1919.0</v>
      </c>
      <c r="O18" s="34">
        <v>1995.0</v>
      </c>
      <c r="P18" s="34">
        <v>2068.0</v>
      </c>
      <c r="Q18" s="34">
        <v>2142.0</v>
      </c>
      <c r="R18" s="34">
        <v>2216.0</v>
      </c>
      <c r="S18" s="34">
        <v>2291.0</v>
      </c>
      <c r="T18" s="34">
        <v>2365.0</v>
      </c>
      <c r="U18" s="34">
        <v>2439.0</v>
      </c>
      <c r="V18" s="34">
        <v>2513.0</v>
      </c>
      <c r="W18" s="34">
        <v>2588.0</v>
      </c>
      <c r="X18" s="34">
        <v>2662.0</v>
      </c>
      <c r="Y18" s="34">
        <v>2736.0</v>
      </c>
    </row>
    <row r="19">
      <c r="A19" s="36" t="s">
        <v>17</v>
      </c>
      <c r="B19" s="36">
        <v>2.0</v>
      </c>
      <c r="C19" s="10" t="s">
        <v>19</v>
      </c>
      <c r="D19" s="9" t="s">
        <v>49</v>
      </c>
      <c r="E19" s="10" t="s">
        <v>108</v>
      </c>
      <c r="F19" s="34">
        <v>0.0</v>
      </c>
      <c r="G19" s="34">
        <v>6.0</v>
      </c>
      <c r="H19" s="34">
        <v>7.0</v>
      </c>
      <c r="I19" s="34">
        <v>9.0</v>
      </c>
      <c r="J19" s="34">
        <v>10.0</v>
      </c>
      <c r="K19" s="34">
        <v>12.0</v>
      </c>
      <c r="L19" s="34">
        <v>14.0</v>
      </c>
      <c r="M19" s="34">
        <v>15.0</v>
      </c>
      <c r="N19" s="34">
        <v>17.0</v>
      </c>
      <c r="O19" s="34">
        <v>20.0</v>
      </c>
      <c r="P19" s="34">
        <v>21.0</v>
      </c>
      <c r="Q19" s="34">
        <v>23.0</v>
      </c>
      <c r="R19" s="34">
        <v>24.0</v>
      </c>
      <c r="S19" s="34">
        <v>26.0</v>
      </c>
      <c r="T19" s="34">
        <v>27.0</v>
      </c>
      <c r="U19" s="34">
        <v>29.0</v>
      </c>
      <c r="V19" s="34">
        <v>30.0</v>
      </c>
      <c r="W19" s="34">
        <v>32.0</v>
      </c>
      <c r="X19" s="34">
        <v>34.0</v>
      </c>
      <c r="Y19" s="34">
        <v>36.0</v>
      </c>
    </row>
    <row r="20">
      <c r="A20" s="36" t="s">
        <v>17</v>
      </c>
      <c r="B20" s="36">
        <v>2.0</v>
      </c>
      <c r="C20" s="10" t="s">
        <v>19</v>
      </c>
      <c r="D20" s="9" t="s">
        <v>56</v>
      </c>
      <c r="E20" s="10" t="s">
        <v>108</v>
      </c>
      <c r="F20" s="34">
        <v>0.0</v>
      </c>
      <c r="G20" s="34">
        <v>25.0</v>
      </c>
      <c r="H20" s="34">
        <v>26.0</v>
      </c>
      <c r="I20" s="34">
        <v>28.0</v>
      </c>
      <c r="J20" s="34">
        <v>30.0</v>
      </c>
      <c r="K20" s="34">
        <v>31.0</v>
      </c>
      <c r="L20" s="34">
        <v>33.0</v>
      </c>
      <c r="M20" s="34">
        <v>35.0</v>
      </c>
      <c r="N20" s="34">
        <v>36.0</v>
      </c>
      <c r="O20" s="34">
        <v>38.0</v>
      </c>
      <c r="P20" s="34">
        <v>40.0</v>
      </c>
      <c r="Q20" s="34">
        <v>42.0</v>
      </c>
      <c r="R20" s="34">
        <v>43.0</v>
      </c>
      <c r="S20" s="34">
        <v>45.0</v>
      </c>
      <c r="T20" s="34">
        <v>47.0</v>
      </c>
      <c r="U20" s="34">
        <v>48.0</v>
      </c>
      <c r="V20" s="34">
        <v>50.0</v>
      </c>
      <c r="W20" s="34">
        <v>52.0</v>
      </c>
      <c r="X20" s="34">
        <v>53.0</v>
      </c>
      <c r="Y20" s="34">
        <v>55.0</v>
      </c>
    </row>
    <row r="21">
      <c r="A21" s="36" t="s">
        <v>17</v>
      </c>
      <c r="B21" s="36">
        <v>2.0</v>
      </c>
      <c r="C21" s="10" t="s">
        <v>19</v>
      </c>
      <c r="D21" s="9" t="s">
        <v>21</v>
      </c>
      <c r="E21" s="10" t="s">
        <v>108</v>
      </c>
      <c r="F21" s="34">
        <v>0.0</v>
      </c>
      <c r="G21" s="34" t="s">
        <v>129</v>
      </c>
      <c r="H21" s="34" t="s">
        <v>130</v>
      </c>
      <c r="I21" s="34" t="s">
        <v>131</v>
      </c>
      <c r="J21" s="34" t="s">
        <v>132</v>
      </c>
      <c r="K21" s="34" t="s">
        <v>133</v>
      </c>
      <c r="L21" s="34" t="s">
        <v>134</v>
      </c>
      <c r="M21" s="34" t="s">
        <v>135</v>
      </c>
      <c r="N21" s="34" t="s">
        <v>136</v>
      </c>
      <c r="O21" s="34" t="s">
        <v>137</v>
      </c>
      <c r="P21" s="35">
        <v>46174.0</v>
      </c>
      <c r="Q21" s="34" t="s">
        <v>138</v>
      </c>
      <c r="R21" s="34" t="s">
        <v>139</v>
      </c>
      <c r="S21" s="34" t="s">
        <v>140</v>
      </c>
      <c r="T21" s="34" t="s">
        <v>141</v>
      </c>
      <c r="U21" s="34" t="s">
        <v>141</v>
      </c>
      <c r="V21" s="34" t="s">
        <v>142</v>
      </c>
      <c r="W21" s="34" t="s">
        <v>143</v>
      </c>
      <c r="X21" s="34" t="s">
        <v>144</v>
      </c>
      <c r="Y21" s="34" t="s">
        <v>145</v>
      </c>
    </row>
    <row r="22">
      <c r="A22" s="36" t="s">
        <v>17</v>
      </c>
      <c r="B22" s="36">
        <v>2.0</v>
      </c>
      <c r="C22" s="10" t="s">
        <v>19</v>
      </c>
      <c r="D22" s="9" t="s">
        <v>41</v>
      </c>
      <c r="E22" s="10" t="s">
        <v>43</v>
      </c>
      <c r="F22" s="34">
        <v>0.0</v>
      </c>
      <c r="G22" s="34">
        <v>15.0</v>
      </c>
      <c r="H22" s="34">
        <v>16.0</v>
      </c>
      <c r="I22" s="34">
        <v>17.0</v>
      </c>
      <c r="J22" s="34">
        <v>18.0</v>
      </c>
      <c r="K22" s="34">
        <v>19.0</v>
      </c>
      <c r="L22" s="34">
        <v>20.0</v>
      </c>
      <c r="M22" s="34">
        <v>21.0</v>
      </c>
      <c r="N22" s="34">
        <v>22.0</v>
      </c>
      <c r="O22" s="34">
        <v>23.0</v>
      </c>
      <c r="P22" s="34">
        <v>24.0</v>
      </c>
      <c r="Q22" s="34">
        <v>25.0</v>
      </c>
      <c r="R22" s="34">
        <v>26.0</v>
      </c>
      <c r="S22" s="34">
        <v>27.0</v>
      </c>
      <c r="T22" s="34">
        <v>28.0</v>
      </c>
      <c r="U22" s="34">
        <v>29.0</v>
      </c>
      <c r="V22" s="34">
        <v>30.0</v>
      </c>
      <c r="W22" s="34">
        <v>31.0</v>
      </c>
      <c r="X22" s="34">
        <v>32.0</v>
      </c>
      <c r="Y22" s="34">
        <v>33.0</v>
      </c>
    </row>
    <row r="23">
      <c r="A23" s="36" t="s">
        <v>17</v>
      </c>
      <c r="B23" s="36">
        <v>2.0</v>
      </c>
      <c r="C23" s="10" t="s">
        <v>19</v>
      </c>
      <c r="D23" s="9" t="s">
        <v>33</v>
      </c>
      <c r="E23" s="10" t="s">
        <v>107</v>
      </c>
      <c r="F23" s="34">
        <v>0.0</v>
      </c>
      <c r="G23" s="34" t="s">
        <v>146</v>
      </c>
      <c r="H23" s="34" t="s">
        <v>147</v>
      </c>
      <c r="I23" s="34" t="s">
        <v>148</v>
      </c>
      <c r="J23" s="34" t="s">
        <v>149</v>
      </c>
      <c r="K23" s="34" t="s">
        <v>150</v>
      </c>
      <c r="L23" s="34" t="s">
        <v>151</v>
      </c>
      <c r="M23" s="34" t="s">
        <v>152</v>
      </c>
      <c r="N23" s="35">
        <v>46269.0</v>
      </c>
      <c r="O23" s="34" t="s">
        <v>153</v>
      </c>
      <c r="P23" s="34" t="s">
        <v>154</v>
      </c>
      <c r="Q23" s="34" t="s">
        <v>155</v>
      </c>
      <c r="R23" s="34" t="s">
        <v>156</v>
      </c>
      <c r="S23" s="37">
        <v>46240.0</v>
      </c>
      <c r="T23" s="34" t="s">
        <v>157</v>
      </c>
      <c r="U23" s="34" t="s">
        <v>158</v>
      </c>
      <c r="V23" s="35">
        <v>46240.0</v>
      </c>
      <c r="W23" s="37">
        <v>46088.0</v>
      </c>
      <c r="X23" s="34" t="s">
        <v>159</v>
      </c>
      <c r="Y23" s="34" t="s">
        <v>160</v>
      </c>
    </row>
    <row r="24">
      <c r="A24" s="36" t="s">
        <v>17</v>
      </c>
      <c r="B24" s="36">
        <v>2.0</v>
      </c>
      <c r="C24" s="10" t="s">
        <v>19</v>
      </c>
      <c r="D24" s="9" t="s">
        <v>70</v>
      </c>
      <c r="E24" s="10" t="s">
        <v>123</v>
      </c>
      <c r="F24" s="34">
        <v>0.0</v>
      </c>
      <c r="G24" s="35">
        <v>46212.0</v>
      </c>
      <c r="H24" s="35">
        <v>46182.0</v>
      </c>
      <c r="I24" s="35">
        <v>46151.0</v>
      </c>
      <c r="J24" s="35">
        <v>46121.0</v>
      </c>
      <c r="K24" s="35">
        <v>46090.0</v>
      </c>
      <c r="L24" s="35">
        <v>46062.0</v>
      </c>
      <c r="M24" s="35">
        <v>46031.0</v>
      </c>
      <c r="N24" s="34">
        <v>9.0</v>
      </c>
      <c r="O24" s="35">
        <v>46273.0</v>
      </c>
      <c r="P24" s="35">
        <v>46211.0</v>
      </c>
      <c r="Q24" s="35">
        <v>46181.0</v>
      </c>
      <c r="R24" s="35">
        <v>46150.0</v>
      </c>
      <c r="S24" s="35">
        <v>46120.0</v>
      </c>
      <c r="T24" s="35">
        <v>46089.0</v>
      </c>
      <c r="U24" s="35">
        <v>46061.0</v>
      </c>
      <c r="V24" s="34">
        <v>8.0</v>
      </c>
      <c r="W24" s="35">
        <v>46272.0</v>
      </c>
      <c r="X24" s="35">
        <v>46241.0</v>
      </c>
      <c r="Y24" s="35">
        <v>46210.0</v>
      </c>
    </row>
    <row r="25">
      <c r="A25" s="4" t="s">
        <v>1</v>
      </c>
      <c r="B25" s="4" t="s">
        <v>2</v>
      </c>
      <c r="C25" s="4" t="s">
        <v>4</v>
      </c>
      <c r="D25" s="31" t="s">
        <v>105</v>
      </c>
      <c r="E25" s="4" t="s">
        <v>9</v>
      </c>
      <c r="F25" s="31" t="s">
        <v>106</v>
      </c>
      <c r="G25" s="32">
        <v>1.0</v>
      </c>
      <c r="H25" s="33">
        <v>46143.0</v>
      </c>
      <c r="I25" s="32">
        <v>2.0</v>
      </c>
      <c r="J25" s="33">
        <v>46144.0</v>
      </c>
      <c r="K25" s="32">
        <v>3.0</v>
      </c>
      <c r="L25" s="33">
        <v>46145.0</v>
      </c>
      <c r="M25" s="32">
        <v>4.0</v>
      </c>
      <c r="N25" s="33">
        <v>46146.0</v>
      </c>
      <c r="O25" s="32">
        <v>5.0</v>
      </c>
      <c r="P25" s="33">
        <v>46147.0</v>
      </c>
      <c r="Q25" s="32">
        <v>6.0</v>
      </c>
      <c r="R25" s="33">
        <v>46148.0</v>
      </c>
      <c r="S25" s="32">
        <v>7.0</v>
      </c>
      <c r="T25" s="33">
        <v>46149.0</v>
      </c>
      <c r="U25" s="32">
        <v>8.0</v>
      </c>
      <c r="V25" s="33">
        <v>46150.0</v>
      </c>
      <c r="W25" s="32">
        <v>9.0</v>
      </c>
      <c r="X25" s="33">
        <v>46151.0</v>
      </c>
      <c r="Y25" s="32">
        <v>10.0</v>
      </c>
    </row>
    <row r="26">
      <c r="A26" s="36" t="s">
        <v>17</v>
      </c>
      <c r="B26" s="36">
        <v>2.0</v>
      </c>
      <c r="C26" s="10" t="s">
        <v>31</v>
      </c>
      <c r="D26" s="9" t="s">
        <v>62</v>
      </c>
      <c r="E26" s="10" t="s">
        <v>107</v>
      </c>
      <c r="F26" s="34">
        <v>0.0</v>
      </c>
      <c r="G26" s="34">
        <v>700.0</v>
      </c>
      <c r="H26" s="34">
        <v>792.0</v>
      </c>
      <c r="I26" s="34">
        <v>882.0</v>
      </c>
      <c r="J26" s="34">
        <v>974.0</v>
      </c>
      <c r="K26" s="34">
        <v>1065.0</v>
      </c>
      <c r="L26" s="34">
        <v>1156.0</v>
      </c>
      <c r="M26" s="34">
        <v>1247.0</v>
      </c>
      <c r="N26" s="34">
        <v>1338.0</v>
      </c>
      <c r="O26" s="34">
        <v>1430.0</v>
      </c>
      <c r="P26" s="34">
        <v>1521.0</v>
      </c>
      <c r="Q26" s="34">
        <v>1612.0</v>
      </c>
      <c r="R26" s="34">
        <v>1703.0</v>
      </c>
      <c r="S26" s="34">
        <v>1795.0</v>
      </c>
      <c r="T26" s="34">
        <v>1886.0</v>
      </c>
      <c r="U26" s="34">
        <v>1977.0</v>
      </c>
      <c r="V26" s="34">
        <v>2068.0</v>
      </c>
      <c r="W26" s="34">
        <v>2160.0</v>
      </c>
      <c r="X26" s="34">
        <v>2251.0</v>
      </c>
      <c r="Y26" s="34">
        <v>2342.0</v>
      </c>
    </row>
    <row r="27">
      <c r="A27" s="36" t="s">
        <v>17</v>
      </c>
      <c r="B27" s="36">
        <v>2.0</v>
      </c>
      <c r="C27" s="10" t="s">
        <v>31</v>
      </c>
      <c r="D27" s="9" t="s">
        <v>49</v>
      </c>
      <c r="E27" s="10" t="s">
        <v>108</v>
      </c>
      <c r="F27" s="34">
        <v>0.0</v>
      </c>
      <c r="G27" s="34">
        <v>15.0</v>
      </c>
      <c r="H27" s="34">
        <v>16.0</v>
      </c>
      <c r="I27" s="34">
        <v>18.0</v>
      </c>
      <c r="J27" s="34">
        <v>20.0</v>
      </c>
      <c r="K27" s="34">
        <v>22.0</v>
      </c>
      <c r="L27" s="34">
        <v>24.0</v>
      </c>
      <c r="M27" s="34">
        <v>26.0</v>
      </c>
      <c r="N27" s="34">
        <v>28.0</v>
      </c>
      <c r="O27" s="34">
        <v>31.0</v>
      </c>
      <c r="P27" s="34">
        <v>33.0</v>
      </c>
      <c r="Q27" s="34">
        <v>35.0</v>
      </c>
      <c r="R27" s="34">
        <v>37.0</v>
      </c>
      <c r="S27" s="34">
        <v>39.0</v>
      </c>
      <c r="T27" s="34">
        <v>41.0</v>
      </c>
      <c r="U27" s="34">
        <v>43.0</v>
      </c>
      <c r="V27" s="34">
        <v>45.0</v>
      </c>
      <c r="W27" s="34">
        <v>47.0</v>
      </c>
      <c r="X27" s="34">
        <v>49.0</v>
      </c>
      <c r="Y27" s="34">
        <v>50.0</v>
      </c>
    </row>
    <row r="28">
      <c r="A28" s="36" t="s">
        <v>17</v>
      </c>
      <c r="B28" s="36">
        <v>2.0</v>
      </c>
      <c r="C28" s="10" t="s">
        <v>31</v>
      </c>
      <c r="D28" s="9" t="s">
        <v>56</v>
      </c>
      <c r="E28" s="10" t="s">
        <v>108</v>
      </c>
      <c r="F28" s="34">
        <v>0.0</v>
      </c>
      <c r="G28" s="34">
        <v>31.0</v>
      </c>
      <c r="H28" s="34">
        <v>32.0</v>
      </c>
      <c r="I28" s="34">
        <v>34.0</v>
      </c>
      <c r="J28" s="34">
        <v>35.0</v>
      </c>
      <c r="K28" s="34">
        <v>36.0</v>
      </c>
      <c r="L28" s="34">
        <v>38.0</v>
      </c>
      <c r="M28" s="34">
        <v>39.0</v>
      </c>
      <c r="N28" s="34">
        <v>40.0</v>
      </c>
      <c r="O28" s="34">
        <v>42.0</v>
      </c>
      <c r="P28" s="34">
        <v>43.0</v>
      </c>
      <c r="Q28" s="34">
        <v>44.0</v>
      </c>
      <c r="R28" s="34">
        <v>46.0</v>
      </c>
      <c r="S28" s="34">
        <v>47.0</v>
      </c>
      <c r="T28" s="34">
        <v>48.0</v>
      </c>
      <c r="U28" s="34">
        <v>50.0</v>
      </c>
      <c r="V28" s="34">
        <v>51.0</v>
      </c>
      <c r="W28" s="34">
        <v>53.0</v>
      </c>
      <c r="X28" s="34">
        <v>54.0</v>
      </c>
      <c r="Y28" s="34">
        <v>55.0</v>
      </c>
    </row>
    <row r="29">
      <c r="A29" s="36" t="s">
        <v>17</v>
      </c>
      <c r="B29" s="36">
        <v>2.0</v>
      </c>
      <c r="C29" s="10" t="s">
        <v>31</v>
      </c>
      <c r="D29" s="9" t="s">
        <v>21</v>
      </c>
      <c r="E29" s="10" t="s">
        <v>108</v>
      </c>
      <c r="F29" s="34">
        <v>0.0</v>
      </c>
      <c r="G29" s="34">
        <v>46054.0</v>
      </c>
      <c r="H29" s="34" t="s">
        <v>161</v>
      </c>
      <c r="I29" s="34" t="s">
        <v>162</v>
      </c>
      <c r="J29" s="34" t="s">
        <v>163</v>
      </c>
      <c r="K29" s="34" t="s">
        <v>130</v>
      </c>
      <c r="L29" s="34">
        <v>46113.0</v>
      </c>
      <c r="M29" s="34" t="s">
        <v>164</v>
      </c>
      <c r="N29" s="34" t="s">
        <v>134</v>
      </c>
      <c r="O29" s="34" t="s">
        <v>165</v>
      </c>
      <c r="P29" s="34" t="s">
        <v>166</v>
      </c>
      <c r="Q29" s="34">
        <v>46174.0</v>
      </c>
      <c r="R29" s="34" t="s">
        <v>167</v>
      </c>
      <c r="S29" s="34" t="s">
        <v>168</v>
      </c>
      <c r="T29" s="34" t="s">
        <v>141</v>
      </c>
      <c r="U29" s="34" t="s">
        <v>169</v>
      </c>
      <c r="V29" s="34">
        <v>46235.0</v>
      </c>
      <c r="W29" s="34" t="s">
        <v>145</v>
      </c>
      <c r="X29" s="34" t="s">
        <v>170</v>
      </c>
      <c r="Y29" s="34" t="s">
        <v>171</v>
      </c>
    </row>
    <row r="30">
      <c r="A30" s="36" t="s">
        <v>17</v>
      </c>
      <c r="B30" s="36">
        <v>2.0</v>
      </c>
      <c r="C30" s="10" t="s">
        <v>31</v>
      </c>
      <c r="D30" s="9" t="s">
        <v>41</v>
      </c>
      <c r="E30" s="10" t="s">
        <v>43</v>
      </c>
      <c r="F30" s="34">
        <v>0.0</v>
      </c>
      <c r="G30" s="34">
        <v>8.0</v>
      </c>
      <c r="H30" s="34">
        <v>9.0</v>
      </c>
      <c r="I30" s="34">
        <v>10.0</v>
      </c>
      <c r="J30" s="34">
        <v>11.0</v>
      </c>
      <c r="K30" s="34">
        <v>12.0</v>
      </c>
      <c r="L30" s="34">
        <v>13.0</v>
      </c>
      <c r="M30" s="34">
        <v>14.0</v>
      </c>
      <c r="N30" s="34">
        <v>15.0</v>
      </c>
      <c r="O30" s="34">
        <v>16.0</v>
      </c>
      <c r="P30" s="34">
        <v>17.0</v>
      </c>
      <c r="Q30" s="34">
        <v>18.0</v>
      </c>
      <c r="R30" s="34">
        <v>19.0</v>
      </c>
      <c r="S30" s="34">
        <v>20.0</v>
      </c>
      <c r="T30" s="34">
        <v>21.0</v>
      </c>
      <c r="U30" s="34">
        <v>22.0</v>
      </c>
      <c r="V30" s="34">
        <v>23.0</v>
      </c>
      <c r="W30" s="34">
        <v>24.0</v>
      </c>
      <c r="X30" s="34">
        <v>25.0</v>
      </c>
      <c r="Y30" s="34">
        <v>26.0</v>
      </c>
    </row>
    <row r="31">
      <c r="A31" s="36" t="s">
        <v>17</v>
      </c>
      <c r="B31" s="36">
        <v>2.0</v>
      </c>
      <c r="C31" s="10" t="s">
        <v>31</v>
      </c>
      <c r="D31" s="9" t="s">
        <v>33</v>
      </c>
      <c r="E31" s="10" t="s">
        <v>107</v>
      </c>
      <c r="F31" s="34">
        <v>0.0</v>
      </c>
      <c r="G31" s="34">
        <v>46145.0</v>
      </c>
      <c r="H31" s="34">
        <v>46359.0</v>
      </c>
      <c r="I31" s="34" t="s">
        <v>172</v>
      </c>
      <c r="J31" s="34" t="s">
        <v>173</v>
      </c>
      <c r="K31" s="34" t="s">
        <v>174</v>
      </c>
      <c r="L31" s="34" t="s">
        <v>175</v>
      </c>
      <c r="M31" s="34" t="s">
        <v>176</v>
      </c>
      <c r="N31" s="34">
        <v>46268.0</v>
      </c>
      <c r="O31" s="34">
        <v>46057.0</v>
      </c>
      <c r="P31" s="34" t="s">
        <v>177</v>
      </c>
      <c r="Q31" s="34" t="s">
        <v>178</v>
      </c>
      <c r="R31" s="34">
        <v>46116.0</v>
      </c>
      <c r="S31" s="34" t="s">
        <v>179</v>
      </c>
      <c r="T31" s="34" t="s">
        <v>180</v>
      </c>
      <c r="U31" s="34" t="s">
        <v>181</v>
      </c>
      <c r="V31" s="34" t="s">
        <v>182</v>
      </c>
      <c r="W31" s="34">
        <v>46117.0</v>
      </c>
      <c r="X31" s="34" t="s">
        <v>183</v>
      </c>
      <c r="Y31" s="34">
        <v>46086.0</v>
      </c>
    </row>
    <row r="32">
      <c r="A32" s="36" t="s">
        <v>17</v>
      </c>
      <c r="B32" s="36">
        <v>2.0</v>
      </c>
      <c r="C32" s="10" t="s">
        <v>31</v>
      </c>
      <c r="D32" s="9" t="s">
        <v>70</v>
      </c>
      <c r="E32" s="10" t="s">
        <v>123</v>
      </c>
      <c r="F32" s="34">
        <v>0.0</v>
      </c>
      <c r="G32" s="34">
        <v>46153.0</v>
      </c>
      <c r="H32" s="34">
        <v>46092.0</v>
      </c>
      <c r="I32" s="34">
        <v>46033.0</v>
      </c>
      <c r="J32" s="34">
        <v>46244.0</v>
      </c>
      <c r="K32" s="34">
        <v>46183.0</v>
      </c>
      <c r="L32" s="34">
        <v>46091.0</v>
      </c>
      <c r="M32" s="34">
        <v>46032.0</v>
      </c>
      <c r="N32" s="34">
        <v>46274.0</v>
      </c>
      <c r="O32" s="34">
        <v>46182.0</v>
      </c>
      <c r="P32" s="34">
        <v>46121.0</v>
      </c>
      <c r="Q32" s="34">
        <v>46062.0</v>
      </c>
      <c r="R32" s="34">
        <v>46273.0</v>
      </c>
      <c r="S32" s="34">
        <v>46211.0</v>
      </c>
      <c r="T32" s="34">
        <v>46150.0</v>
      </c>
      <c r="U32" s="34">
        <v>46061.0</v>
      </c>
      <c r="V32" s="34">
        <v>8.0</v>
      </c>
      <c r="W32" s="34">
        <v>46241.0</v>
      </c>
      <c r="X32" s="34">
        <v>46149.0</v>
      </c>
      <c r="Y32" s="34">
        <v>46088.0</v>
      </c>
    </row>
    <row r="33">
      <c r="A33" s="4" t="s">
        <v>1</v>
      </c>
      <c r="B33" s="4" t="s">
        <v>2</v>
      </c>
      <c r="C33" s="4" t="s">
        <v>4</v>
      </c>
      <c r="D33" s="31" t="s">
        <v>105</v>
      </c>
      <c r="E33" s="4" t="s">
        <v>9</v>
      </c>
      <c r="F33" s="31" t="s">
        <v>106</v>
      </c>
      <c r="G33" s="32">
        <v>1.0</v>
      </c>
      <c r="H33" s="33">
        <v>46143.0</v>
      </c>
      <c r="I33" s="32">
        <v>2.0</v>
      </c>
      <c r="J33" s="33">
        <v>46144.0</v>
      </c>
      <c r="K33" s="32">
        <v>3.0</v>
      </c>
      <c r="L33" s="33">
        <v>46145.0</v>
      </c>
      <c r="M33" s="32">
        <v>4.0</v>
      </c>
      <c r="N33" s="33">
        <v>46146.0</v>
      </c>
      <c r="O33" s="32">
        <v>5.0</v>
      </c>
      <c r="P33" s="33">
        <v>46147.0</v>
      </c>
      <c r="Q33" s="32">
        <v>6.0</v>
      </c>
      <c r="R33" s="33">
        <v>46148.0</v>
      </c>
      <c r="S33" s="32">
        <v>7.0</v>
      </c>
      <c r="T33" s="33">
        <v>46149.0</v>
      </c>
      <c r="U33" s="32">
        <v>8.0</v>
      </c>
      <c r="V33" s="33">
        <v>46150.0</v>
      </c>
      <c r="W33" s="32">
        <v>9.0</v>
      </c>
      <c r="X33" s="33">
        <v>46151.0</v>
      </c>
      <c r="Y33" s="32">
        <v>10.0</v>
      </c>
    </row>
    <row r="34">
      <c r="A34" s="36" t="s">
        <v>17</v>
      </c>
      <c r="B34" s="36">
        <v>3.0</v>
      </c>
      <c r="C34" s="10" t="s">
        <v>19</v>
      </c>
      <c r="D34" s="9" t="s">
        <v>62</v>
      </c>
      <c r="E34" s="10" t="s">
        <v>107</v>
      </c>
      <c r="F34" s="34">
        <v>0.0</v>
      </c>
      <c r="G34" s="34">
        <v>1577.0</v>
      </c>
      <c r="H34" s="34">
        <v>1600.0</v>
      </c>
      <c r="I34" s="34">
        <v>1624.0</v>
      </c>
      <c r="J34" s="34">
        <v>1647.0</v>
      </c>
      <c r="K34" s="34">
        <v>1671.0</v>
      </c>
      <c r="L34" s="34">
        <v>1694.0</v>
      </c>
      <c r="M34" s="34">
        <v>1718.0</v>
      </c>
      <c r="N34" s="34">
        <v>1741.0</v>
      </c>
      <c r="O34" s="34">
        <v>1765.0</v>
      </c>
      <c r="P34" s="34">
        <v>1788.0</v>
      </c>
      <c r="Q34" s="34">
        <v>1812.0</v>
      </c>
      <c r="R34" s="34">
        <v>1835.0</v>
      </c>
      <c r="S34" s="34">
        <v>1859.0</v>
      </c>
      <c r="T34" s="34">
        <v>1882.0</v>
      </c>
      <c r="U34" s="34">
        <v>1906.0</v>
      </c>
      <c r="V34" s="34">
        <v>1929.0</v>
      </c>
      <c r="W34" s="34">
        <v>1953.0</v>
      </c>
      <c r="X34" s="34">
        <v>1976.0</v>
      </c>
      <c r="Y34" s="34">
        <v>2000.0</v>
      </c>
    </row>
    <row r="35">
      <c r="A35" s="36" t="s">
        <v>17</v>
      </c>
      <c r="B35" s="36">
        <v>3.0</v>
      </c>
      <c r="C35" s="10" t="s">
        <v>19</v>
      </c>
      <c r="D35" s="9" t="s">
        <v>49</v>
      </c>
      <c r="E35" s="10" t="s">
        <v>108</v>
      </c>
      <c r="F35" s="34">
        <v>0.0</v>
      </c>
      <c r="G35" s="34">
        <v>18.0</v>
      </c>
      <c r="H35" s="34">
        <v>21.0</v>
      </c>
      <c r="I35" s="34">
        <v>22.0</v>
      </c>
      <c r="J35" s="34">
        <v>23.0</v>
      </c>
      <c r="K35" s="34">
        <v>24.0</v>
      </c>
      <c r="L35" s="34">
        <v>25.0</v>
      </c>
      <c r="M35" s="34">
        <v>26.0</v>
      </c>
      <c r="N35" s="34">
        <v>27.0</v>
      </c>
      <c r="O35" s="34">
        <v>28.0</v>
      </c>
      <c r="P35" s="34">
        <v>29.0</v>
      </c>
      <c r="Q35" s="34">
        <v>30.0</v>
      </c>
      <c r="R35" s="34">
        <v>31.0</v>
      </c>
      <c r="S35" s="34">
        <v>32.0</v>
      </c>
      <c r="T35" s="34">
        <v>33.0</v>
      </c>
      <c r="U35" s="34">
        <v>34.0</v>
      </c>
      <c r="V35" s="34">
        <v>36.0</v>
      </c>
      <c r="W35" s="34">
        <v>37.0</v>
      </c>
      <c r="X35" s="34">
        <v>39.0</v>
      </c>
      <c r="Y35" s="34">
        <v>43.0</v>
      </c>
    </row>
    <row r="36">
      <c r="A36" s="36" t="s">
        <v>17</v>
      </c>
      <c r="B36" s="36">
        <v>3.0</v>
      </c>
      <c r="C36" s="10" t="s">
        <v>19</v>
      </c>
      <c r="D36" s="9" t="s">
        <v>56</v>
      </c>
      <c r="E36" s="10" t="s">
        <v>108</v>
      </c>
      <c r="F36" s="34">
        <v>0.0</v>
      </c>
      <c r="G36" s="34">
        <v>17.0</v>
      </c>
      <c r="H36" s="34">
        <v>19.0</v>
      </c>
      <c r="I36" s="34">
        <v>21.0</v>
      </c>
      <c r="J36" s="34">
        <v>23.0</v>
      </c>
      <c r="K36" s="34">
        <v>25.0</v>
      </c>
      <c r="L36" s="34">
        <v>27.0</v>
      </c>
      <c r="M36" s="34">
        <v>29.0</v>
      </c>
      <c r="N36" s="34">
        <v>31.0</v>
      </c>
      <c r="O36" s="34">
        <v>33.0</v>
      </c>
      <c r="P36" s="34">
        <v>35.0</v>
      </c>
      <c r="Q36" s="34">
        <v>37.0</v>
      </c>
      <c r="R36" s="34">
        <v>39.0</v>
      </c>
      <c r="S36" s="34">
        <v>41.0</v>
      </c>
      <c r="T36" s="34">
        <v>43.0</v>
      </c>
      <c r="U36" s="34">
        <v>45.0</v>
      </c>
      <c r="V36" s="34">
        <v>47.0</v>
      </c>
      <c r="W36" s="34">
        <v>49.0</v>
      </c>
      <c r="X36" s="34">
        <v>51.0</v>
      </c>
      <c r="Y36" s="34">
        <v>53.0</v>
      </c>
    </row>
    <row r="37">
      <c r="A37" s="36" t="s">
        <v>17</v>
      </c>
      <c r="B37" s="36">
        <v>3.0</v>
      </c>
      <c r="C37" s="10" t="s">
        <v>19</v>
      </c>
      <c r="D37" s="9" t="s">
        <v>21</v>
      </c>
      <c r="E37" s="10" t="s">
        <v>108</v>
      </c>
      <c r="F37" s="34">
        <v>0.0</v>
      </c>
      <c r="G37" s="34" t="s">
        <v>141</v>
      </c>
      <c r="H37" s="34" t="s">
        <v>142</v>
      </c>
      <c r="I37" s="34" t="s">
        <v>143</v>
      </c>
      <c r="J37" s="34" t="s">
        <v>144</v>
      </c>
      <c r="K37" s="34" t="s">
        <v>145</v>
      </c>
      <c r="L37" s="34" t="s">
        <v>184</v>
      </c>
      <c r="M37" s="34">
        <v>46266.0</v>
      </c>
      <c r="N37" s="34" t="s">
        <v>185</v>
      </c>
      <c r="O37" s="34" t="s">
        <v>186</v>
      </c>
      <c r="P37" s="34" t="s">
        <v>187</v>
      </c>
      <c r="Q37" s="34">
        <v>2.0</v>
      </c>
      <c r="R37" s="34">
        <v>46083.0</v>
      </c>
      <c r="S37" s="34">
        <v>46205.0</v>
      </c>
      <c r="T37" s="34">
        <v>46328.0</v>
      </c>
      <c r="U37" s="34" t="s">
        <v>188</v>
      </c>
      <c r="V37" s="34" t="s">
        <v>189</v>
      </c>
      <c r="W37" s="34" t="s">
        <v>190</v>
      </c>
      <c r="X37" s="34" t="s">
        <v>191</v>
      </c>
      <c r="Y37" s="34">
        <v>46114.0</v>
      </c>
    </row>
    <row r="38">
      <c r="A38" s="36" t="s">
        <v>17</v>
      </c>
      <c r="B38" s="36">
        <v>3.0</v>
      </c>
      <c r="C38" s="10" t="s">
        <v>19</v>
      </c>
      <c r="D38" s="9" t="s">
        <v>41</v>
      </c>
      <c r="E38" s="10" t="s">
        <v>43</v>
      </c>
      <c r="F38" s="34">
        <v>0.0</v>
      </c>
      <c r="G38" s="34">
        <v>16.0</v>
      </c>
      <c r="H38" s="34">
        <v>17.0</v>
      </c>
      <c r="I38" s="34">
        <v>18.0</v>
      </c>
      <c r="J38" s="34">
        <v>19.0</v>
      </c>
      <c r="K38" s="34">
        <v>20.0</v>
      </c>
      <c r="L38" s="34">
        <v>21.0</v>
      </c>
      <c r="M38" s="34">
        <v>22.0</v>
      </c>
      <c r="N38" s="34">
        <v>23.0</v>
      </c>
      <c r="O38" s="34">
        <v>24.0</v>
      </c>
      <c r="P38" s="34">
        <v>25.0</v>
      </c>
      <c r="Q38" s="34">
        <v>26.0</v>
      </c>
      <c r="R38" s="34">
        <v>27.0</v>
      </c>
      <c r="S38" s="34">
        <v>28.0</v>
      </c>
      <c r="T38" s="34">
        <v>29.0</v>
      </c>
      <c r="U38" s="34">
        <v>30.0</v>
      </c>
      <c r="V38" s="34">
        <v>31.0</v>
      </c>
      <c r="W38" s="34">
        <v>32.0</v>
      </c>
      <c r="X38" s="34">
        <v>33.0</v>
      </c>
      <c r="Y38" s="34">
        <v>34.0</v>
      </c>
    </row>
    <row r="39">
      <c r="A39" s="36" t="s">
        <v>17</v>
      </c>
      <c r="B39" s="36">
        <v>3.0</v>
      </c>
      <c r="C39" s="10" t="s">
        <v>19</v>
      </c>
      <c r="D39" s="9" t="s">
        <v>33</v>
      </c>
      <c r="E39" s="10" t="s">
        <v>107</v>
      </c>
      <c r="F39" s="34">
        <v>0.0</v>
      </c>
      <c r="G39" s="34">
        <v>46115.0</v>
      </c>
      <c r="H39" s="34" t="s">
        <v>192</v>
      </c>
      <c r="I39" s="34">
        <v>46268.0</v>
      </c>
      <c r="J39" s="34" t="s">
        <v>177</v>
      </c>
      <c r="K39" s="34">
        <v>46116.0</v>
      </c>
      <c r="L39" s="34" t="s">
        <v>180</v>
      </c>
      <c r="M39" s="34">
        <v>46269.0</v>
      </c>
      <c r="N39" s="34" t="s">
        <v>193</v>
      </c>
      <c r="O39" s="34">
        <v>46117.0</v>
      </c>
      <c r="P39" s="34" t="s">
        <v>118</v>
      </c>
      <c r="Q39" s="34">
        <v>46270.0</v>
      </c>
      <c r="R39" s="34" t="s">
        <v>194</v>
      </c>
      <c r="S39" s="34">
        <v>46118.0</v>
      </c>
      <c r="T39" s="34" t="s">
        <v>195</v>
      </c>
      <c r="U39" s="34">
        <v>46271.0</v>
      </c>
      <c r="V39" s="34" t="s">
        <v>196</v>
      </c>
      <c r="W39" s="34">
        <v>46119.0</v>
      </c>
      <c r="X39" s="34">
        <v>46210.0</v>
      </c>
      <c r="Y39" s="34">
        <v>8.0</v>
      </c>
    </row>
    <row r="40">
      <c r="A40" s="36" t="s">
        <v>17</v>
      </c>
      <c r="B40" s="36">
        <v>3.0</v>
      </c>
      <c r="C40" s="10" t="s">
        <v>19</v>
      </c>
      <c r="D40" s="9" t="s">
        <v>70</v>
      </c>
      <c r="E40" s="10" t="s">
        <v>123</v>
      </c>
      <c r="F40" s="34">
        <v>0.0</v>
      </c>
      <c r="G40" s="34">
        <v>46213.0</v>
      </c>
      <c r="H40" s="34">
        <v>46122.0</v>
      </c>
      <c r="I40" s="34">
        <v>46032.0</v>
      </c>
      <c r="J40" s="34">
        <v>46243.0</v>
      </c>
      <c r="K40" s="34">
        <v>46151.0</v>
      </c>
      <c r="L40" s="34">
        <v>46062.0</v>
      </c>
      <c r="M40" s="34">
        <v>46273.0</v>
      </c>
      <c r="N40" s="34">
        <v>46181.0</v>
      </c>
      <c r="O40" s="34">
        <v>46089.0</v>
      </c>
      <c r="P40" s="34">
        <v>46030.0</v>
      </c>
      <c r="Q40" s="34">
        <v>46272.0</v>
      </c>
      <c r="R40" s="34">
        <v>46210.0</v>
      </c>
      <c r="S40" s="34">
        <v>46149.0</v>
      </c>
      <c r="T40" s="34">
        <v>46088.0</v>
      </c>
      <c r="U40" s="34">
        <v>46029.0</v>
      </c>
      <c r="V40" s="34">
        <v>7.0</v>
      </c>
      <c r="W40" s="34">
        <v>46240.0</v>
      </c>
      <c r="X40" s="34">
        <v>46179.0</v>
      </c>
      <c r="Y40" s="34">
        <v>46118.0</v>
      </c>
    </row>
    <row r="41">
      <c r="A41" s="4" t="s">
        <v>1</v>
      </c>
      <c r="B41" s="4" t="s">
        <v>2</v>
      </c>
      <c r="C41" s="4" t="s">
        <v>4</v>
      </c>
      <c r="D41" s="31" t="s">
        <v>105</v>
      </c>
      <c r="E41" s="4" t="s">
        <v>9</v>
      </c>
      <c r="F41" s="31" t="s">
        <v>106</v>
      </c>
      <c r="G41" s="32">
        <v>1.0</v>
      </c>
      <c r="H41" s="33">
        <v>46143.0</v>
      </c>
      <c r="I41" s="32">
        <v>2.0</v>
      </c>
      <c r="J41" s="33">
        <v>46144.0</v>
      </c>
      <c r="K41" s="32">
        <v>3.0</v>
      </c>
      <c r="L41" s="33">
        <v>46145.0</v>
      </c>
      <c r="M41" s="32">
        <v>4.0</v>
      </c>
      <c r="N41" s="33">
        <v>46146.0</v>
      </c>
      <c r="O41" s="32">
        <v>5.0</v>
      </c>
      <c r="P41" s="33">
        <v>46147.0</v>
      </c>
      <c r="Q41" s="32">
        <v>6.0</v>
      </c>
      <c r="R41" s="33">
        <v>46148.0</v>
      </c>
      <c r="S41" s="32">
        <v>7.0</v>
      </c>
      <c r="T41" s="33">
        <v>46149.0</v>
      </c>
      <c r="U41" s="32">
        <v>8.0</v>
      </c>
      <c r="V41" s="33">
        <v>46150.0</v>
      </c>
      <c r="W41" s="32">
        <v>9.0</v>
      </c>
      <c r="X41" s="33">
        <v>46151.0</v>
      </c>
      <c r="Y41" s="32">
        <v>10.0</v>
      </c>
    </row>
    <row r="42">
      <c r="A42" s="36" t="s">
        <v>17</v>
      </c>
      <c r="B42" s="36">
        <v>3.0</v>
      </c>
      <c r="C42" s="10" t="s">
        <v>31</v>
      </c>
      <c r="D42" s="9" t="s">
        <v>62</v>
      </c>
      <c r="E42" s="10" t="s">
        <v>107</v>
      </c>
      <c r="F42" s="34">
        <v>0.0</v>
      </c>
      <c r="G42" s="34">
        <v>1347.0</v>
      </c>
      <c r="H42" s="34">
        <v>1371.0</v>
      </c>
      <c r="I42" s="34">
        <v>1395.0</v>
      </c>
      <c r="J42" s="34">
        <v>1418.0</v>
      </c>
      <c r="K42" s="34">
        <v>1442.0</v>
      </c>
      <c r="L42" s="34">
        <v>1466.0</v>
      </c>
      <c r="M42" s="34">
        <v>1490.0</v>
      </c>
      <c r="N42" s="34">
        <v>1513.0</v>
      </c>
      <c r="O42" s="34">
        <v>1537.0</v>
      </c>
      <c r="P42" s="34">
        <v>1561.0</v>
      </c>
      <c r="Q42" s="34">
        <v>1585.0</v>
      </c>
      <c r="R42" s="34">
        <v>1608.0</v>
      </c>
      <c r="S42" s="34">
        <v>1632.0</v>
      </c>
      <c r="T42" s="34">
        <v>1656.0</v>
      </c>
      <c r="U42" s="34">
        <v>1680.0</v>
      </c>
      <c r="V42" s="34">
        <v>1703.0</v>
      </c>
      <c r="W42" s="34">
        <v>1727.0</v>
      </c>
      <c r="X42" s="34">
        <v>1751.0</v>
      </c>
      <c r="Y42" s="34">
        <v>1775.0</v>
      </c>
    </row>
    <row r="43">
      <c r="A43" s="36" t="s">
        <v>17</v>
      </c>
      <c r="B43" s="36">
        <v>3.0</v>
      </c>
      <c r="C43" s="10" t="s">
        <v>31</v>
      </c>
      <c r="D43" s="9" t="s">
        <v>49</v>
      </c>
      <c r="E43" s="10" t="s">
        <v>108</v>
      </c>
      <c r="F43" s="34">
        <v>0.0</v>
      </c>
      <c r="G43" s="34">
        <v>23.0</v>
      </c>
      <c r="H43" s="34">
        <v>24.0</v>
      </c>
      <c r="I43" s="34">
        <v>26.0</v>
      </c>
      <c r="J43" s="34">
        <v>28.0</v>
      </c>
      <c r="K43" s="34">
        <v>29.0</v>
      </c>
      <c r="L43" s="34">
        <v>30.0</v>
      </c>
      <c r="M43" s="34">
        <v>31.0</v>
      </c>
      <c r="N43" s="34">
        <v>32.0</v>
      </c>
      <c r="O43" s="34">
        <v>33.0</v>
      </c>
      <c r="P43" s="34">
        <v>34.0</v>
      </c>
      <c r="Q43" s="34">
        <v>35.0</v>
      </c>
      <c r="R43" s="34">
        <v>36.0</v>
      </c>
      <c r="S43" s="34">
        <v>37.0</v>
      </c>
      <c r="T43" s="34">
        <v>38.0</v>
      </c>
      <c r="U43" s="34">
        <v>39.0</v>
      </c>
      <c r="V43" s="34">
        <v>40.0</v>
      </c>
      <c r="W43" s="34">
        <v>42.0</v>
      </c>
      <c r="X43" s="34">
        <v>44.0</v>
      </c>
      <c r="Y43" s="34">
        <v>49.0</v>
      </c>
    </row>
    <row r="44">
      <c r="A44" s="36" t="s">
        <v>17</v>
      </c>
      <c r="B44" s="36">
        <v>3.0</v>
      </c>
      <c r="C44" s="10" t="s">
        <v>31</v>
      </c>
      <c r="D44" s="9" t="s">
        <v>56</v>
      </c>
      <c r="E44" s="10" t="s">
        <v>108</v>
      </c>
      <c r="F44" s="34">
        <v>0.0</v>
      </c>
      <c r="G44" s="34">
        <v>17.0</v>
      </c>
      <c r="H44" s="34">
        <v>18.0</v>
      </c>
      <c r="I44" s="34">
        <v>20.0</v>
      </c>
      <c r="J44" s="34">
        <v>21.0</v>
      </c>
      <c r="K44" s="34">
        <v>24.0</v>
      </c>
      <c r="L44" s="34">
        <v>26.0</v>
      </c>
      <c r="M44" s="34">
        <v>27.0</v>
      </c>
      <c r="N44" s="34">
        <v>29.0</v>
      </c>
      <c r="O44" s="34">
        <v>31.0</v>
      </c>
      <c r="P44" s="34">
        <v>32.0</v>
      </c>
      <c r="Q44" s="34">
        <v>34.0</v>
      </c>
      <c r="R44" s="34">
        <v>36.0</v>
      </c>
      <c r="S44" s="34">
        <v>37.0</v>
      </c>
      <c r="T44" s="34">
        <v>40.0</v>
      </c>
      <c r="U44" s="34">
        <v>43.0</v>
      </c>
      <c r="V44" s="34">
        <v>44.0</v>
      </c>
      <c r="W44" s="34">
        <v>49.0</v>
      </c>
      <c r="X44" s="34">
        <v>50.0</v>
      </c>
      <c r="Y44" s="34">
        <v>52.0</v>
      </c>
    </row>
    <row r="45">
      <c r="A45" s="36" t="s">
        <v>17</v>
      </c>
      <c r="B45" s="36">
        <v>3.0</v>
      </c>
      <c r="C45" s="10" t="s">
        <v>31</v>
      </c>
      <c r="D45" s="9" t="s">
        <v>21</v>
      </c>
      <c r="E45" s="10" t="s">
        <v>108</v>
      </c>
      <c r="F45" s="34">
        <v>0.0</v>
      </c>
      <c r="G45" s="34" t="s">
        <v>197</v>
      </c>
      <c r="H45" s="34" t="s">
        <v>198</v>
      </c>
      <c r="I45" s="34" t="s">
        <v>163</v>
      </c>
      <c r="J45" s="34" t="s">
        <v>199</v>
      </c>
      <c r="K45" s="34" t="s">
        <v>200</v>
      </c>
      <c r="L45" s="34" t="s">
        <v>201</v>
      </c>
      <c r="M45" s="34" t="s">
        <v>164</v>
      </c>
      <c r="N45" s="34" t="s">
        <v>202</v>
      </c>
      <c r="O45" s="34">
        <v>46143.0</v>
      </c>
      <c r="P45" s="34" t="s">
        <v>203</v>
      </c>
      <c r="Q45" s="34" t="s">
        <v>166</v>
      </c>
      <c r="R45" s="34">
        <v>46174.0</v>
      </c>
      <c r="S45" s="34" t="s">
        <v>204</v>
      </c>
      <c r="T45" s="34">
        <v>46204.0</v>
      </c>
      <c r="U45" s="34" t="s">
        <v>142</v>
      </c>
      <c r="V45" s="34" t="s">
        <v>144</v>
      </c>
      <c r="W45" s="34" t="s">
        <v>184</v>
      </c>
      <c r="X45" s="34" t="s">
        <v>185</v>
      </c>
      <c r="Y45" s="34">
        <v>2.0</v>
      </c>
    </row>
    <row r="46">
      <c r="A46" s="36" t="s">
        <v>17</v>
      </c>
      <c r="B46" s="36">
        <v>3.0</v>
      </c>
      <c r="C46" s="10" t="s">
        <v>31</v>
      </c>
      <c r="D46" s="9" t="s">
        <v>41</v>
      </c>
      <c r="E46" s="10" t="s">
        <v>43</v>
      </c>
      <c r="F46" s="34">
        <v>0.0</v>
      </c>
      <c r="G46" s="34">
        <v>12.0</v>
      </c>
      <c r="H46" s="34">
        <v>13.0</v>
      </c>
      <c r="I46" s="34">
        <v>14.0</v>
      </c>
      <c r="J46" s="34">
        <v>15.0</v>
      </c>
      <c r="K46" s="34">
        <v>16.0</v>
      </c>
      <c r="L46" s="34">
        <v>17.0</v>
      </c>
      <c r="M46" s="34">
        <v>18.0</v>
      </c>
      <c r="N46" s="34">
        <v>19.0</v>
      </c>
      <c r="O46" s="34">
        <v>20.0</v>
      </c>
      <c r="P46" s="34">
        <v>21.0</v>
      </c>
      <c r="Q46" s="34">
        <v>22.0</v>
      </c>
      <c r="R46" s="34">
        <v>23.0</v>
      </c>
      <c r="S46" s="34">
        <v>24.0</v>
      </c>
      <c r="T46" s="34">
        <v>25.0</v>
      </c>
      <c r="U46" s="34">
        <v>26.0</v>
      </c>
      <c r="V46" s="34">
        <v>27.0</v>
      </c>
      <c r="W46" s="34">
        <v>25.0</v>
      </c>
      <c r="X46" s="34">
        <v>26.0</v>
      </c>
      <c r="Y46" s="34">
        <v>32.0</v>
      </c>
    </row>
    <row r="47">
      <c r="A47" s="36" t="s">
        <v>17</v>
      </c>
      <c r="B47" s="36">
        <v>3.0</v>
      </c>
      <c r="C47" s="10" t="s">
        <v>31</v>
      </c>
      <c r="D47" s="9" t="s">
        <v>33</v>
      </c>
      <c r="E47" s="10" t="s">
        <v>107</v>
      </c>
      <c r="F47" s="34">
        <v>0.0</v>
      </c>
      <c r="G47" s="34" t="s">
        <v>205</v>
      </c>
      <c r="H47" s="34" t="s">
        <v>206</v>
      </c>
      <c r="I47" s="34" t="s">
        <v>207</v>
      </c>
      <c r="J47" s="34">
        <v>46145.0</v>
      </c>
      <c r="K47" s="34" t="s">
        <v>146</v>
      </c>
      <c r="L47" s="34" t="s">
        <v>208</v>
      </c>
      <c r="M47" s="34" t="s">
        <v>209</v>
      </c>
      <c r="N47" s="34">
        <v>46237.0</v>
      </c>
      <c r="O47" s="34" t="s">
        <v>210</v>
      </c>
      <c r="P47" s="34" t="s">
        <v>211</v>
      </c>
      <c r="Q47" s="34" t="s">
        <v>212</v>
      </c>
      <c r="R47" s="34" t="s">
        <v>213</v>
      </c>
      <c r="S47" s="34" t="s">
        <v>214</v>
      </c>
      <c r="T47" s="34" t="s">
        <v>215</v>
      </c>
      <c r="U47" s="34" t="s">
        <v>216</v>
      </c>
      <c r="V47" s="34">
        <v>46271.0</v>
      </c>
      <c r="W47" s="34">
        <v>46118.0</v>
      </c>
      <c r="X47" s="34">
        <v>46209.0</v>
      </c>
      <c r="Y47" s="34">
        <v>7.0</v>
      </c>
    </row>
    <row r="48">
      <c r="A48" s="36" t="s">
        <v>17</v>
      </c>
      <c r="B48" s="36">
        <v>3.0</v>
      </c>
      <c r="C48" s="10" t="s">
        <v>31</v>
      </c>
      <c r="D48" s="9" t="s">
        <v>70</v>
      </c>
      <c r="E48" s="10" t="s">
        <v>123</v>
      </c>
      <c r="F48" s="34">
        <v>0.0</v>
      </c>
      <c r="G48" s="34">
        <v>46276.0</v>
      </c>
      <c r="H48" s="34">
        <v>46153.0</v>
      </c>
      <c r="I48" s="34">
        <v>46064.0</v>
      </c>
      <c r="J48" s="34">
        <v>46244.0</v>
      </c>
      <c r="K48" s="34">
        <v>46152.0</v>
      </c>
      <c r="L48" s="34">
        <v>46032.0</v>
      </c>
      <c r="M48" s="34">
        <v>46243.0</v>
      </c>
      <c r="N48" s="34">
        <v>46121.0</v>
      </c>
      <c r="O48" s="34">
        <v>46031.0</v>
      </c>
      <c r="P48" s="34">
        <v>46273.0</v>
      </c>
      <c r="Q48" s="34">
        <v>46211.0</v>
      </c>
      <c r="R48" s="34">
        <v>46150.0</v>
      </c>
      <c r="S48" s="34">
        <v>46089.0</v>
      </c>
      <c r="T48" s="34">
        <v>8.0</v>
      </c>
      <c r="U48" s="34">
        <v>46241.0</v>
      </c>
      <c r="V48" s="34">
        <v>46180.0</v>
      </c>
      <c r="W48" s="34">
        <v>46119.0</v>
      </c>
      <c r="X48" s="34">
        <v>46060.0</v>
      </c>
      <c r="Y48" s="34">
        <v>7.0</v>
      </c>
    </row>
  </sheetData>
  <drawing r:id="rId1"/>
</worksheet>
</file>
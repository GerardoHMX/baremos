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ON" sheetId="1" r:id="rId5"/>
    <sheet state="visible" name="ALUMNOS" sheetId="2" r:id="rId6"/>
    <sheet state="visible" name="DATOS" sheetId="3" r:id="rId7"/>
    <sheet state="visible" name="BAREMOS" sheetId="4" r:id="rId8"/>
  </sheets>
  <definedNames>
    <definedName name="NombreIntervalo1">DATOS!$E$2:$E$23</definedName>
    <definedName name="CURSO">CONFIGURACION!$E$2:$E$17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tc={5a2daf66-1634-4aeb-b600-e77acc87c19a}</author>
  </authors>
  <commentList>
    <comment authorId="0" xr:uid="{5a2daf66-1634-4aeb-b600-e77acc87c19a}" ref="A1">
      <text>
        <t xml:space="preserve">[Threaded comment]
 Your version of Excel allows you to read this threaded comment; however, any edits to it will get removed if the file is opened in a newer version of Excel. Learn more: https://go.microsoft.com/fwlink/?linkid=870924
Comment:
	Número de registros 1 POR CADA TRIMESTRE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tc={7716646a-de06-4d89-b7ae-2e396cb31dc5}</author>
  </authors>
  <commentList>
    <comment authorId="0" xr:uid="{7716646a-de06-4d89-b7ae-2e396cb31dc5}" ref="K1">
      <text>
        <t xml:space="preserve">[Threaded comment]
 Your version of Excel allows you to read this threaded comment; however, any edits to it will get removed if the file is opened in a newer version of Excel. Learn more: https://go.microsoft.com/fwlink/?linkid=870924
Comment:
	Usa rangos.
Controla valores fuera de escala.
Funciona para todas las pruebas.
</t>
      </text>
    </comment>
  </commentList>
</comments>
</file>

<file path=xl/sharedStrings.xml><?xml version="1.0" encoding="utf-8"?>
<sst xmlns="http://schemas.openxmlformats.org/spreadsheetml/2006/main" count="634" uniqueCount="235">
  <si>
    <t>ANIO_ACADEMICO</t>
  </si>
  <si>
    <t>CICLO</t>
  </si>
  <si>
    <t>GRADO</t>
  </si>
  <si>
    <t>CURSO</t>
  </si>
  <si>
    <t>GENERO</t>
  </si>
  <si>
    <t>PERIODO</t>
  </si>
  <si>
    <t>PRUEBA</t>
  </si>
  <si>
    <t>HABILITAR</t>
  </si>
  <si>
    <t>NOMBRE_PRUEBA</t>
  </si>
  <si>
    <t>UNIDAD</t>
  </si>
  <si>
    <t>TIPO</t>
  </si>
  <si>
    <t>OBJETIVO</t>
  </si>
  <si>
    <t>MEDIO</t>
  </si>
  <si>
    <t>MATERIAL</t>
  </si>
  <si>
    <t>DESCRIPCION</t>
  </si>
  <si>
    <t>VALORACION</t>
  </si>
  <si>
    <t>2024-2025</t>
  </si>
  <si>
    <t>ESO</t>
  </si>
  <si>
    <t>A</t>
  </si>
  <si>
    <t>MASCULINO</t>
  </si>
  <si>
    <t>1 TRIMESTRE</t>
  </si>
  <si>
    <t>S. HORIZONTAL</t>
  </si>
  <si>
    <t>SI</t>
  </si>
  <si>
    <t>Test de Salto Horizontal</t>
  </si>
  <si>
    <t>cm</t>
  </si>
  <si>
    <t>Fuerza</t>
  </si>
  <si>
    <t>Determinar la potencia de las piernas.</t>
  </si>
  <si>
    <t>Superficie plana y antideslizante, con una línea dibujada en el suelo.</t>
  </si>
  <si>
    <t>Posición Inicial: El ejecutante ha de situarse derecho con los pies
ligeramente separados y la punta de los pies detrás de la línea de
salida.
Desarrollo: Ha de tomar impulso para saltar, flexionando las
piernas y empujando con los brazos desde detrás hacia adelante.
Se salta haciendo una rápida extensión de las piernas y estirando
los brazos hacia adelante.
Finalización: En el momento de la caída, el ejecutante ha de
mantener los pies en el mismo sitio donde ha tomado contacto con
el suelo sin perder el equilibrio.</t>
  </si>
  <si>
    <t>Se registrará la distancia en centímetros.
Hay que anotar el mejor de los dos resultados.</t>
  </si>
  <si>
    <t>B</t>
  </si>
  <si>
    <t>FEMENINO</t>
  </si>
  <si>
    <t>2 TRIMESTRE</t>
  </si>
  <si>
    <t>L. BALON</t>
  </si>
  <si>
    <t>Test de Balón medicinal</t>
  </si>
  <si>
    <t>m</t>
  </si>
  <si>
    <t>Medir la fuerza del tren superior.</t>
  </si>
  <si>
    <t>Superficie plana y antideslizante.</t>
  </si>
  <si>
    <t>Balón medicinal.</t>
  </si>
  <si>
    <t>Posición Inicial: El ejecutante se colocará en la línea con los pies separados a la anchura de los hombros, cogiendo el balón con las dos manos por detrás de la cabeza.
Desarrollo: Lanzar el balón lo más lejos posible. No se podrá saltar en el momento del lanzamiento. De igual modo se tendrá
que mantener la posición de equilibrio. Se ejecutarán dos intentos.</t>
  </si>
  <si>
    <t>3 TRIMESTRE</t>
  </si>
  <si>
    <t>ABDOMINALES</t>
  </si>
  <si>
    <t xml:space="preserve">Test de Abdominales </t>
  </si>
  <si>
    <t>repeticiones</t>
  </si>
  <si>
    <t>Medir la fuerza-resistencia de los músculos abdominales.</t>
  </si>
  <si>
    <t>Superficie plana y lisa.</t>
  </si>
  <si>
    <t>Cronómetro con precisión de centésimas de segundo.</t>
  </si>
  <si>
    <t>Posición Inicial: El ejecutante ha de colocarse en decúbito supino con las piernas flexionadas 90o, los pies ligeramente separados y los dedos entrelazados detrás de la nuca o brazos cruzados sobre el pecho. Un ayudante ha de sujetarle los pies para fijarlos al suelo.
Desarrollo: Al oír la señal del observador "preparado...ya!", el ejecutante ha de tratar de hacer el mayor número de repeticiones posibles, tocando siempre con los codos las rodillas y con la espalda en la colchoneta. El ayudante contará el número de repeticiones. Finalización: Cuando hayan pasado 30” se indicará el final.</t>
  </si>
  <si>
    <t>Se registra el número de repeticiones realizadas correctamente.
Solo habrá un intento.</t>
  </si>
  <si>
    <t>4 TRIMESTRE</t>
  </si>
  <si>
    <t>FLEXIBILIDAD</t>
  </si>
  <si>
    <t>Test de Flexión anterior del tronco</t>
  </si>
  <si>
    <t>Flexibilidad</t>
  </si>
  <si>
    <t>Medir la flexibilidad del tronco.</t>
  </si>
  <si>
    <t>Superficie antideslizante.</t>
  </si>
  <si>
    <t>Posición Inicial: El ejecutante descalzo, se ha de sentar enfrente del cajón con las piernas completamente extendidas y las plantas de los pies en completo contacto con la pared del cajón.
Desarrollo: Flexionar el tronco hacia adelante sin doblar las piernas, y extender los brazos y las palmas de la mano sobre la
regla, ha de tratar de llegar lo más lejos posible.
Finalización: El ejecutante, en el momento en que llega a la posición máxima, ha de permanecer inmóvil durante 2 segundos
para que se pueda registrar el resultado conseguido.</t>
  </si>
  <si>
    <t>El registro se hará en centímetros. Se anota el mejor de los 2 resultados.</t>
  </si>
  <si>
    <t>S. VERTICAL</t>
  </si>
  <si>
    <t>Test de Salto Vertical</t>
  </si>
  <si>
    <t>Medir la fuerza explosiva del tren inferior en el sentido
vertical.</t>
  </si>
  <si>
    <t>Tabla graduada o escala pintada sobre la pared.</t>
  </si>
  <si>
    <t>Posición Inicial: El ejecutante se colocará junto a una pared,
lateralmente, y con el brazo más próximo a ella señalará su punto
más alto.
Desarrollo: A la señal y previa separación de la pared, ha de
tomar impulso para saltar, flexionando las piernas, hasta alcanzar el
máximo posible dejando marca con los dedos en la tabla.</t>
  </si>
  <si>
    <t>Se registrará la diferencia entre el máximo estático y
el de la marca del salto en centímetros.
Hay que anotar el mejor de los dos resultados.</t>
  </si>
  <si>
    <t>COOPER</t>
  </si>
  <si>
    <t>Test de Cooper</t>
  </si>
  <si>
    <t>Resistencia</t>
  </si>
  <si>
    <t>Valorar la resistencia aeróbica. Determinar el VO2 máximo.</t>
  </si>
  <si>
    <t>Pista o terreno liso y sin pendiente.</t>
  </si>
  <si>
    <t>Cronómetro</t>
  </si>
  <si>
    <t>Consiste en cubrir la máxima distancia posible
durante 12 minutos de carrera continua.</t>
  </si>
  <si>
    <t>Se anotará la distancia recorrida al finalizar los doce minutos.</t>
  </si>
  <si>
    <t>VELOCIDAD</t>
  </si>
  <si>
    <t>Test de Velocidad en 50m</t>
  </si>
  <si>
    <t>seg</t>
  </si>
  <si>
    <t>Velocidad</t>
  </si>
  <si>
    <t>Medir la velocidad de traslación partiendo de una velocidad inicial igual a 0.</t>
  </si>
  <si>
    <t>Recorrer la distancia de 50 metros en el menor tiempo posible. Se realizarán dos intentos con un periodo de reposo entre cada uno.</t>
  </si>
  <si>
    <t>El registro se hará en centésimas de segundo. Se anota el mejor de los dos resultados.</t>
  </si>
  <si>
    <t>INTESIDAD FISICA</t>
  </si>
  <si>
    <t>Test de intensidad de esfuerzos físicos</t>
  </si>
  <si>
    <t>fc</t>
  </si>
  <si>
    <t>Medición</t>
  </si>
  <si>
    <t>Calcular la zona de actividad a partir de la frecuencia cardiaca y ejercicio físico</t>
  </si>
  <si>
    <t>Cualquier medio</t>
  </si>
  <si>
    <t>Conocer la intensidad de nuestros esfuerzos y nos va a ayudar a situarnos en la
ZONA DE ACTIVIDAD apropiada según el objetivo que pretendamos.</t>
  </si>
  <si>
    <t>Toma el pulso nada más parar la actividad física, durante 15” y multiplica tu resultado por 4 para saber los latidos por minuto.</t>
  </si>
  <si>
    <t>A1</t>
  </si>
  <si>
    <t>A2-C</t>
  </si>
  <si>
    <t>BCH</t>
  </si>
  <si>
    <t>B1</t>
  </si>
  <si>
    <t>B2</t>
  </si>
  <si>
    <t>C</t>
  </si>
  <si>
    <t>NOMBRE _ALUMNO</t>
  </si>
  <si>
    <t>Manolo Díaz Camacho</t>
  </si>
  <si>
    <t>María Domínguez García.</t>
  </si>
  <si>
    <t>Juan Pérez Holguín</t>
  </si>
  <si>
    <t>María García Andrade</t>
  </si>
  <si>
    <t>Rubén Fernández Ríos</t>
  </si>
  <si>
    <t>Paty Vergara González</t>
  </si>
  <si>
    <t>Jorge López Ortega</t>
  </si>
  <si>
    <t>Olga Contreras Méndez</t>
  </si>
  <si>
    <t>Job Gabriel Yepes Espitia</t>
  </si>
  <si>
    <t>Gloria Patricia Rincón Montoya</t>
  </si>
  <si>
    <t>Carlos Antonio Barragán Torres</t>
  </si>
  <si>
    <t>Daniel Efren Daza Timaná</t>
  </si>
  <si>
    <t>Judith Cardona Gallego</t>
  </si>
  <si>
    <t>Luis López Bayardo</t>
  </si>
  <si>
    <t>Luz Mariuxi Murillo Calvache</t>
  </si>
  <si>
    <t>Luis Enrique Santander Rosero</t>
  </si>
  <si>
    <t>Gladys Monserrate Ordóñez Alemán</t>
  </si>
  <si>
    <t>Maria Jose Franco Pico</t>
  </si>
  <si>
    <t>Sara Eguiluz Sandemetrio</t>
  </si>
  <si>
    <t>Manuel Zuzunaga Garza</t>
  </si>
  <si>
    <t>Elena Sorní Vital</t>
  </si>
  <si>
    <t>Roberto Urriaga Bonachera</t>
  </si>
  <si>
    <t>MEDICION</t>
  </si>
  <si>
    <t>NOMBRE _CORTO</t>
  </si>
  <si>
    <t>POSICION_TABLA</t>
  </si>
  <si>
    <t>BAREMO</t>
  </si>
  <si>
    <t>PUNTUACIONES X ALUMNO</t>
  </si>
  <si>
    <t>PROMEDIO DE PUNTUACIONES BAREMO X ALUMNO</t>
  </si>
  <si>
    <t>PROMEDIO DE PUNTUACIONES BAREMO X CURSO</t>
  </si>
  <si>
    <t>COMPARACIÓN DE MEJORA</t>
  </si>
  <si>
    <t xml:space="preserve">PRUEBA </t>
  </si>
  <si>
    <t>PUNTUACION</t>
  </si>
  <si>
    <t>34.5</t>
  </si>
  <si>
    <t>37.5</t>
  </si>
  <si>
    <t>35.5</t>
  </si>
  <si>
    <t>53.5</t>
  </si>
  <si>
    <t>58.5</t>
  </si>
  <si>
    <t>172.5</t>
  </si>
  <si>
    <t>192.5</t>
  </si>
  <si>
    <t>212.5</t>
  </si>
  <si>
    <t>4.75</t>
  </si>
  <si>
    <t>5.65</t>
  </si>
  <si>
    <t>6.25</t>
  </si>
  <si>
    <t>6.75</t>
  </si>
  <si>
    <t>7.85</t>
  </si>
  <si>
    <t>8.55</t>
  </si>
  <si>
    <t>9.65</t>
  </si>
  <si>
    <t>8.27</t>
  </si>
  <si>
    <t>8.25</t>
  </si>
  <si>
    <t>8.15</t>
  </si>
  <si>
    <t>7.75</t>
  </si>
  <si>
    <t>1.33</t>
  </si>
  <si>
    <t>1.36</t>
  </si>
  <si>
    <t>1.39</t>
  </si>
  <si>
    <t>1.42</t>
  </si>
  <si>
    <t>1.45</t>
  </si>
  <si>
    <t>1.48</t>
  </si>
  <si>
    <t>1.51</t>
  </si>
  <si>
    <t>1.54</t>
  </si>
  <si>
    <t>1.57</t>
  </si>
  <si>
    <t>1.63</t>
  </si>
  <si>
    <t>1.66</t>
  </si>
  <si>
    <t>1.69</t>
  </si>
  <si>
    <t>1.72</t>
  </si>
  <si>
    <t>1.75</t>
  </si>
  <si>
    <t>1.78</t>
  </si>
  <si>
    <t>1.81</t>
  </si>
  <si>
    <t>1.84</t>
  </si>
  <si>
    <t>ABDOMINAL</t>
  </si>
  <si>
    <t>3.23</t>
  </si>
  <si>
    <t>3.47</t>
  </si>
  <si>
    <t>3.71</t>
  </si>
  <si>
    <t>3.95</t>
  </si>
  <si>
    <t>4.18</t>
  </si>
  <si>
    <t>4.42</t>
  </si>
  <si>
    <t>4.66</t>
  </si>
  <si>
    <t>5.13</t>
  </si>
  <si>
    <t>5.37</t>
  </si>
  <si>
    <t>5.61</t>
  </si>
  <si>
    <t>5.85</t>
  </si>
  <si>
    <t>6.32</t>
  </si>
  <si>
    <t>6.56</t>
  </si>
  <si>
    <t>7.27</t>
  </si>
  <si>
    <t>7.51</t>
  </si>
  <si>
    <t>1.24</t>
  </si>
  <si>
    <t>1.28</t>
  </si>
  <si>
    <t>1.32</t>
  </si>
  <si>
    <t>1.44</t>
  </si>
  <si>
    <t>1.52</t>
  </si>
  <si>
    <t>1.56</t>
  </si>
  <si>
    <t>1.64</t>
  </si>
  <si>
    <t>1.68</t>
  </si>
  <si>
    <t>1.76</t>
  </si>
  <si>
    <t>1.88</t>
  </si>
  <si>
    <t>1.92</t>
  </si>
  <si>
    <t>L. BALÓN</t>
  </si>
  <si>
    <t>3.25</t>
  </si>
  <si>
    <t>3.38</t>
  </si>
  <si>
    <t>3.51</t>
  </si>
  <si>
    <t>3.63</t>
  </si>
  <si>
    <t>3.76</t>
  </si>
  <si>
    <t>4.15</t>
  </si>
  <si>
    <t>4.27</t>
  </si>
  <si>
    <t>4.53</t>
  </si>
  <si>
    <t>4.65</t>
  </si>
  <si>
    <t>4.78</t>
  </si>
  <si>
    <t>4.91</t>
  </si>
  <si>
    <t>5.16</t>
  </si>
  <si>
    <t>PRUEBA / PUNTUACION</t>
  </si>
  <si>
    <t>1.87</t>
  </si>
  <si>
    <t>1.93</t>
  </si>
  <si>
    <t>1.96</t>
  </si>
  <si>
    <t>1.98</t>
  </si>
  <si>
    <t>2.16</t>
  </si>
  <si>
    <t>2.21</t>
  </si>
  <si>
    <t>2.27</t>
  </si>
  <si>
    <t>2.33</t>
  </si>
  <si>
    <t>3.65</t>
  </si>
  <si>
    <t>5.15</t>
  </si>
  <si>
    <t>6.15</t>
  </si>
  <si>
    <t>6.65</t>
  </si>
  <si>
    <t>7.15</t>
  </si>
  <si>
    <t>1.26</t>
  </si>
  <si>
    <t>1.29</t>
  </si>
  <si>
    <t>1.35</t>
  </si>
  <si>
    <t>1.38</t>
  </si>
  <si>
    <t>1.41</t>
  </si>
  <si>
    <t>1.47</t>
  </si>
  <si>
    <t>1.53</t>
  </si>
  <si>
    <t>1.65</t>
  </si>
  <si>
    <t>2.49</t>
  </si>
  <si>
    <t>2.67</t>
  </si>
  <si>
    <t>2.86</t>
  </si>
  <si>
    <t>3.42</t>
  </si>
  <si>
    <t>3.61</t>
  </si>
  <si>
    <t>3.98</t>
  </si>
  <si>
    <t>4.28</t>
  </si>
  <si>
    <t>4.59</t>
  </si>
  <si>
    <t>4.89</t>
  </si>
  <si>
    <t>5.19</t>
  </si>
  <si>
    <t>5.44</t>
  </si>
  <si>
    <t>5.79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</si>
</sst>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14">
    <font>
      <sz val="10.0"/>
      <color rgb="FF000000"/>
      <name val="Arial"/>
      <scheme val="minor"/>
    </font>
    <font>
      <b/>
      <sz val="11.0"/>
      <color rgb="FFFFFFFF"/>
      <name val="Calibri"/>
    </font>
    <font>
      <sz val="11.0"/>
      <color theme="1"/>
      <name val="Calibri"/>
    </font>
    <font>
      <b/>
      <sz val="12.0"/>
      <color rgb="FFFFFFFF"/>
      <name val="Calibri"/>
    </font>
    <font>
      <sz val="10.0"/>
      <color theme="1"/>
      <name val="Calibri"/>
    </font>
    <font>
      <sz val="10.0"/>
      <color rgb="FF000000"/>
      <name val="Calibri"/>
    </font>
    <font>
      <b/>
      <sz val="14.0"/>
      <color rgb="FFFFFFFF"/>
      <name val="Calibri"/>
    </font>
    <font>
      <color theme="1"/>
      <name val="Arial"/>
      <scheme val="minor"/>
    </font>
    <font>
      <sz val="14.0"/>
      <color rgb="FF222222"/>
      <name val="Calibri"/>
    </font>
    <font>
      <sz val="10.0"/>
      <color rgb="FF222222"/>
      <name val="Calibri"/>
    </font>
    <font>
      <sz val="14.0"/>
      <color theme="1"/>
      <name val="Arial"/>
      <scheme val="minor"/>
    </font>
    <font>
      <sz val="12.0"/>
      <color theme="1"/>
      <name val="Calibri"/>
    </font>
    <font>
      <b/>
      <sz val="10.0"/>
      <color theme="1"/>
      <name val="Calibri"/>
    </font>
    <font>
      <b/>
      <sz val="10.0"/>
      <color rgb="FFFFFFFF"/>
      <name val="Calibri"/>
    </font>
  </fonts>
  <fills count="5">
    <fill>
      <patternFill patternType="none"/>
    </fill>
    <fill>
      <patternFill patternType="lightGray"/>
    </fill>
    <fill>
      <patternFill patternType="solid">
        <fgColor rgb="FF8F1737"/>
        <bgColor rgb="FF8F1737"/>
      </patternFill>
    </fill>
    <fill>
      <patternFill patternType="solid">
        <fgColor rgb="FFFFFFFF"/>
        <bgColor rgb="FFFFFFFF"/>
      </patternFill>
    </fill>
    <fill>
      <patternFill patternType="solid">
        <fgColor rgb="FFD9D9D9"/>
        <bgColor rgb="FFD9D9D9"/>
      </patternFill>
    </fill>
  </fills>
  <borders count="3">
    <border/>
    <border>
      <left style="thin">
        <color rgb="FFCCCCCC"/>
      </left>
      <right style="thin">
        <color rgb="FFCCCCCC"/>
      </right>
      <top style="thin">
        <color rgb="FFCCCCCC"/>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1" fillId="2" fontId="1" numFmtId="0" xfId="0" applyAlignment="1" applyBorder="1" applyFont="1">
      <alignment horizontal="center" shrinkToFit="0" vertical="center" wrapText="1"/>
    </xf>
    <xf borderId="1" fillId="2" fontId="3" numFmtId="0" xfId="0" applyAlignment="1" applyBorder="1" applyFont="1">
      <alignment horizontal="center" readingOrder="0"/>
    </xf>
    <xf borderId="1" fillId="2" fontId="1" numFmtId="0" xfId="0" applyAlignment="1" applyBorder="1" applyFont="1">
      <alignment horizontal="center" readingOrder="0"/>
    </xf>
    <xf borderId="2" fillId="3" fontId="4" numFmtId="0" xfId="0" applyAlignment="1" applyBorder="1" applyFill="1" applyFont="1">
      <alignment horizontal="center" readingOrder="0" shrinkToFit="0" vertical="center" wrapText="1"/>
    </xf>
    <xf borderId="0" fillId="0" fontId="4" numFmtId="0" xfId="0" applyAlignment="1" applyFont="1">
      <alignment shrinkToFit="0" vertical="center" wrapText="1"/>
    </xf>
    <xf borderId="2" fillId="3" fontId="4" numFmtId="0" xfId="0" applyAlignment="1" applyBorder="1" applyFont="1">
      <alignment readingOrder="0" shrinkToFit="0" vertical="center" wrapText="1"/>
    </xf>
    <xf borderId="2" fillId="0" fontId="5" numFmtId="0" xfId="0" applyAlignment="1" applyBorder="1" applyFont="1">
      <alignment horizontal="left" readingOrder="0" shrinkToFit="0" vertical="bottom" wrapText="0"/>
    </xf>
    <xf borderId="2" fillId="0" fontId="5" numFmtId="0" xfId="0" applyAlignment="1" applyBorder="1" applyFont="1">
      <alignment horizontal="center" readingOrder="0" shrinkToFit="0" vertical="bottom" wrapText="0"/>
    </xf>
    <xf borderId="2" fillId="0" fontId="4"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0" fillId="3" fontId="4" numFmtId="0" xfId="0" applyAlignment="1" applyFont="1">
      <alignment horizontal="center" readingOrder="0" shrinkToFit="0" vertical="center" wrapText="1"/>
    </xf>
    <xf borderId="2" fillId="0" fontId="4" numFmtId="0" xfId="0" applyAlignment="1" applyBorder="1" applyFont="1">
      <alignment shrinkToFit="0" vertical="center" wrapText="1"/>
    </xf>
    <xf borderId="0" fillId="0" fontId="4" numFmtId="0" xfId="0" applyAlignment="1" applyFont="1">
      <alignment horizontal="center" shrinkToFit="0" vertical="center" wrapText="1"/>
    </xf>
    <xf borderId="0" fillId="0" fontId="4" numFmtId="0" xfId="0" applyFont="1"/>
    <xf borderId="0" fillId="0" fontId="4" numFmtId="0" xfId="0" applyAlignment="1" applyFont="1">
      <alignment horizontal="center"/>
    </xf>
    <xf borderId="0" fillId="0" fontId="2" numFmtId="0" xfId="0" applyAlignment="1" applyFont="1">
      <alignment horizontal="center" shrinkToFit="0" vertical="center" wrapText="1"/>
    </xf>
    <xf borderId="1" fillId="2" fontId="3" numFmtId="0" xfId="0" applyAlignment="1" applyBorder="1" applyFont="1">
      <alignment horizontal="center"/>
    </xf>
    <xf borderId="1" fillId="2" fontId="6" numFmtId="0" xfId="0" applyAlignment="1" applyBorder="1" applyFont="1">
      <alignment horizontal="center"/>
    </xf>
    <xf borderId="0" fillId="3" fontId="7" numFmtId="0" xfId="0" applyFont="1"/>
    <xf borderId="2" fillId="4" fontId="4" numFmtId="0" xfId="0" applyAlignment="1" applyBorder="1" applyFill="1" applyFont="1">
      <alignment horizontal="center" readingOrder="0" shrinkToFit="0" vertical="center" wrapText="1"/>
    </xf>
    <xf borderId="2" fillId="3" fontId="8" numFmtId="0" xfId="0" applyAlignment="1" applyBorder="1" applyFont="1">
      <alignment readingOrder="0"/>
    </xf>
    <xf borderId="2" fillId="3" fontId="9" numFmtId="0" xfId="0" applyAlignment="1" applyBorder="1" applyFont="1">
      <alignment readingOrder="0"/>
    </xf>
    <xf borderId="2" fillId="3" fontId="10" numFmtId="0" xfId="0" applyBorder="1" applyFont="1"/>
    <xf borderId="2" fillId="3" fontId="3" numFmtId="0" xfId="0" applyAlignment="1" applyBorder="1" applyFont="1">
      <alignment horizontal="center"/>
    </xf>
    <xf borderId="2" fillId="3" fontId="3" numFmtId="0" xfId="0" applyAlignment="1" applyBorder="1" applyFont="1">
      <alignment horizontal="center" readingOrder="0"/>
    </xf>
    <xf borderId="2" fillId="3" fontId="7" numFmtId="0" xfId="0" applyBorder="1" applyFont="1"/>
    <xf borderId="0" fillId="3" fontId="10" numFmtId="0" xfId="0" applyFont="1"/>
    <xf borderId="0" fillId="0" fontId="11" numFmtId="0" xfId="0" applyFont="1"/>
    <xf borderId="2" fillId="4" fontId="9" numFmtId="0" xfId="0" applyAlignment="1" applyBorder="1" applyFont="1">
      <alignment readingOrder="0"/>
    </xf>
    <xf borderId="2" fillId="0" fontId="4" numFmtId="0" xfId="0" applyAlignment="1" applyBorder="1" applyFont="1">
      <alignment readingOrder="0"/>
    </xf>
    <xf borderId="2" fillId="4" fontId="4" numFmtId="0" xfId="0" applyBorder="1" applyFont="1"/>
    <xf borderId="2" fillId="4" fontId="12" numFmtId="0" xfId="0" applyBorder="1" applyFont="1"/>
    <xf borderId="0" fillId="0" fontId="4" numFmtId="0" xfId="0" applyAlignment="1" applyFont="1">
      <alignment readingOrder="0"/>
    </xf>
    <xf borderId="2" fillId="0" fontId="4" numFmtId="164" xfId="0" applyAlignment="1" applyBorder="1" applyFont="1" applyNumberFormat="1">
      <alignment readingOrder="0"/>
    </xf>
    <xf borderId="1" fillId="2" fontId="3" numFmtId="0" xfId="0" applyAlignment="1" applyBorder="1" applyFont="1">
      <alignment horizontal="left" readingOrder="0"/>
    </xf>
    <xf borderId="1" fillId="2" fontId="3" numFmtId="0" xfId="0" applyAlignment="1" applyBorder="1" applyFont="1">
      <alignment horizontal="right" readingOrder="0"/>
    </xf>
    <xf borderId="1" fillId="2" fontId="3" numFmtId="164" xfId="0" applyAlignment="1" applyBorder="1" applyFont="1" applyNumberFormat="1">
      <alignment horizontal="right" readingOrder="0"/>
    </xf>
    <xf borderId="2" fillId="0" fontId="5" numFmtId="0" xfId="0" applyAlignment="1" applyBorder="1" applyFont="1">
      <alignment horizontal="right" readingOrder="0" shrinkToFit="0" vertical="bottom" wrapText="0"/>
    </xf>
    <xf borderId="2" fillId="0" fontId="5" numFmtId="164" xfId="0" applyAlignment="1" applyBorder="1" applyFont="1" applyNumberFormat="1">
      <alignment horizontal="right" readingOrder="0" shrinkToFit="0" vertical="bottom" wrapText="0"/>
    </xf>
    <xf borderId="2" fillId="0" fontId="4" numFmtId="0" xfId="0" applyAlignment="1" applyBorder="1" applyFont="1">
      <alignment horizontal="center" readingOrder="0"/>
    </xf>
    <xf borderId="2" fillId="0" fontId="5" numFmtId="165" xfId="0" applyAlignment="1" applyBorder="1" applyFont="1" applyNumberFormat="1">
      <alignment horizontal="right" readingOrder="0" shrinkToFit="0" vertical="bottom" wrapText="0"/>
    </xf>
    <xf borderId="1" fillId="2" fontId="13" numFmtId="0" xfId="0" applyAlignment="1" applyBorder="1" applyFont="1">
      <alignment horizontal="center" readingOrder="0"/>
    </xf>
    <xf borderId="1" fillId="2" fontId="13" numFmtId="0" xfId="0" applyAlignment="1" applyBorder="1" applyFont="1">
      <alignment horizontal="left" readingOrder="0"/>
    </xf>
    <xf borderId="1" fillId="2" fontId="13" numFmtId="0" xfId="0" applyAlignment="1" applyBorder="1" applyFont="1">
      <alignment horizontal="right" readingOrder="0"/>
    </xf>
    <xf borderId="1" fillId="2" fontId="13" numFmtId="164" xfId="0" applyAlignment="1" applyBorder="1" applyFont="1" applyNumberFormat="1">
      <alignment horizontal="right" readingOrder="0"/>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milia Huizar Castro" id="{ebbfe6ec-97fa-49cd-a949-693bee1ea39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4T16:50:39.00" personId="{ebbfe6ec-97fa-49cd-a949-693bee1ea39b}" id="{5a2daf66-1634-4aeb-b600-e77acc87c19a}" done="0">
    <x18tc:text xml:space="preserve">Número de registros 1 POR CADA TRIMESTRE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2-14T14:41:39.00" personId="{ebbfe6ec-97fa-49cd-a949-693bee1ea39b}" id="{7716646a-de06-4d89-b7ae-2e396cb31dc5}" done="1">
    <x18tc:text xml:space="preserve">Usa rangos.
Controla valores fuera de escala.
Funciona para todas las pruebas.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38"/>
    <col customWidth="1" min="3" max="5" width="7.5"/>
    <col customWidth="1" min="6" max="6" width="1.38"/>
    <col customWidth="1" min="7" max="7" width="11.88"/>
    <col customWidth="1" min="8" max="8" width="1.38"/>
    <col customWidth="1" min="9" max="9" width="15.88"/>
    <col customWidth="1" min="10" max="10" width="1.38"/>
    <col customWidth="1" min="11" max="11" width="14.13"/>
    <col customWidth="1" min="12" max="12" width="9.0"/>
    <col customWidth="1" min="13" max="13" width="28.63"/>
    <col customWidth="1" min="14" max="15" width="10.75"/>
    <col customWidth="1" min="16" max="20" width="28.63"/>
  </cols>
  <sheetData>
    <row r="1" ht="19.5" customHeight="1">
      <c r="A1" s="1" t="s">
        <v>0</v>
      </c>
      <c r="B1" s="2"/>
      <c r="C1" s="3" t="s">
        <v>1</v>
      </c>
      <c r="D1" s="1" t="s">
        <v>2</v>
      </c>
      <c r="E1" s="4" t="s">
        <v>3</v>
      </c>
      <c r="F1" s="2"/>
      <c r="G1" s="1" t="s">
        <v>4</v>
      </c>
      <c r="H1" s="2"/>
      <c r="I1" s="1" t="s">
        <v>5</v>
      </c>
      <c r="J1" s="2"/>
      <c r="K1" s="1" t="s">
        <v>6</v>
      </c>
      <c r="L1" s="1" t="s">
        <v>7</v>
      </c>
      <c r="M1" s="1" t="s">
        <v>8</v>
      </c>
      <c r="N1" s="5" t="s">
        <v>9</v>
      </c>
      <c r="O1" s="1" t="s">
        <v>10</v>
      </c>
      <c r="P1" s="1" t="s">
        <v>11</v>
      </c>
      <c r="Q1" s="1" t="s">
        <v>12</v>
      </c>
      <c r="R1" s="1" t="s">
        <v>13</v>
      </c>
      <c r="S1" s="1" t="s">
        <v>14</v>
      </c>
      <c r="T1" s="1" t="s">
        <v>15</v>
      </c>
      <c r="U1" s="2"/>
      <c r="V1" s="2"/>
      <c r="W1" s="2"/>
      <c r="X1" s="2"/>
      <c r="Y1" s="2"/>
      <c r="Z1" s="2"/>
      <c r="AA1" s="2"/>
      <c r="AB1" s="2"/>
      <c r="AC1" s="2"/>
      <c r="AD1" s="2"/>
      <c r="AE1" s="2"/>
      <c r="AF1" s="2"/>
      <c r="AG1" s="2"/>
      <c r="AH1" s="2"/>
      <c r="AI1" s="2"/>
      <c r="AJ1" s="2"/>
      <c r="AK1" s="2"/>
      <c r="AL1" s="2"/>
      <c r="AM1" s="2"/>
      <c r="AN1" s="2"/>
      <c r="AO1" s="2"/>
    </row>
    <row r="2" ht="19.5" customHeight="1">
      <c r="A2" s="6" t="s">
        <v>16</v>
      </c>
      <c r="B2" s="7"/>
      <c r="C2" s="6" t="s">
        <v>17</v>
      </c>
      <c r="D2" s="6">
        <v>1.0</v>
      </c>
      <c r="E2" s="6" t="s">
        <v>18</v>
      </c>
      <c r="F2" s="7"/>
      <c r="G2" s="8" t="s">
        <v>19</v>
      </c>
      <c r="H2" s="7"/>
      <c r="I2" s="6" t="s">
        <v>20</v>
      </c>
      <c r="J2" s="7"/>
      <c r="K2" s="9" t="s">
        <v>21</v>
      </c>
      <c r="L2" s="6" t="s">
        <v>22</v>
      </c>
      <c r="M2" s="8" t="s">
        <v>23</v>
      </c>
      <c r="N2" s="10" t="s">
        <v>24</v>
      </c>
      <c r="O2" s="11" t="s">
        <v>25</v>
      </c>
      <c r="P2" s="12" t="s">
        <v>26</v>
      </c>
      <c r="Q2" s="12" t="s">
        <v>27</v>
      </c>
      <c r="R2" s="12"/>
      <c r="S2" s="12" t="s">
        <v>28</v>
      </c>
      <c r="T2" s="12" t="s">
        <v>29</v>
      </c>
      <c r="U2" s="7"/>
      <c r="V2" s="7"/>
      <c r="W2" s="7"/>
      <c r="X2" s="7"/>
      <c r="Y2" s="7"/>
      <c r="Z2" s="7"/>
      <c r="AA2" s="7"/>
      <c r="AB2" s="7"/>
      <c r="AC2" s="7"/>
      <c r="AD2" s="7"/>
      <c r="AE2" s="7"/>
      <c r="AF2" s="7"/>
      <c r="AG2" s="7"/>
      <c r="AH2" s="7"/>
      <c r="AI2" s="7"/>
      <c r="AJ2" s="7"/>
      <c r="AK2" s="7"/>
      <c r="AL2" s="7"/>
      <c r="AM2" s="7"/>
      <c r="AN2" s="7"/>
      <c r="AO2" s="7"/>
    </row>
    <row r="3" ht="19.5" customHeight="1">
      <c r="A3" s="13"/>
      <c r="B3" s="7"/>
      <c r="C3" s="6" t="s">
        <v>17</v>
      </c>
      <c r="D3" s="6">
        <v>1.0</v>
      </c>
      <c r="E3" s="6" t="s">
        <v>30</v>
      </c>
      <c r="F3" s="7"/>
      <c r="G3" s="8" t="s">
        <v>31</v>
      </c>
      <c r="H3" s="7"/>
      <c r="I3" s="6" t="s">
        <v>32</v>
      </c>
      <c r="J3" s="7"/>
      <c r="K3" s="9" t="s">
        <v>33</v>
      </c>
      <c r="L3" s="6" t="s">
        <v>22</v>
      </c>
      <c r="M3" s="8" t="s">
        <v>34</v>
      </c>
      <c r="N3" s="10" t="s">
        <v>35</v>
      </c>
      <c r="O3" s="11" t="s">
        <v>25</v>
      </c>
      <c r="P3" s="12" t="s">
        <v>36</v>
      </c>
      <c r="Q3" s="12" t="s">
        <v>37</v>
      </c>
      <c r="R3" s="12" t="s">
        <v>38</v>
      </c>
      <c r="S3" s="12" t="s">
        <v>39</v>
      </c>
      <c r="T3" s="12" t="s">
        <v>29</v>
      </c>
      <c r="U3" s="7"/>
      <c r="V3" s="7"/>
      <c r="W3" s="7"/>
      <c r="X3" s="7"/>
      <c r="Y3" s="7"/>
      <c r="Z3" s="7"/>
      <c r="AA3" s="7"/>
      <c r="AB3" s="7"/>
      <c r="AC3" s="7"/>
      <c r="AD3" s="7"/>
      <c r="AE3" s="7"/>
      <c r="AF3" s="7"/>
      <c r="AG3" s="7"/>
      <c r="AH3" s="7"/>
      <c r="AI3" s="7"/>
      <c r="AJ3" s="7"/>
      <c r="AK3" s="7"/>
      <c r="AL3" s="7"/>
      <c r="AM3" s="7"/>
      <c r="AN3" s="7"/>
      <c r="AO3" s="7"/>
    </row>
    <row r="4" ht="19.5" customHeight="1">
      <c r="A4" s="13"/>
      <c r="B4" s="7"/>
      <c r="C4" s="6" t="s">
        <v>17</v>
      </c>
      <c r="D4" s="6">
        <v>2.0</v>
      </c>
      <c r="E4" s="6" t="s">
        <v>18</v>
      </c>
      <c r="F4" s="7"/>
      <c r="G4" s="7"/>
      <c r="H4" s="7"/>
      <c r="I4" s="6" t="s">
        <v>40</v>
      </c>
      <c r="J4" s="7"/>
      <c r="K4" s="9" t="s">
        <v>41</v>
      </c>
      <c r="L4" s="6" t="s">
        <v>22</v>
      </c>
      <c r="M4" s="8" t="s">
        <v>42</v>
      </c>
      <c r="N4" s="11" t="s">
        <v>43</v>
      </c>
      <c r="O4" s="11" t="s">
        <v>25</v>
      </c>
      <c r="P4" s="12" t="s">
        <v>44</v>
      </c>
      <c r="Q4" s="12" t="s">
        <v>45</v>
      </c>
      <c r="R4" s="12" t="s">
        <v>46</v>
      </c>
      <c r="S4" s="12" t="s">
        <v>47</v>
      </c>
      <c r="T4" s="12" t="s">
        <v>48</v>
      </c>
      <c r="U4" s="7"/>
      <c r="V4" s="7"/>
      <c r="W4" s="7"/>
      <c r="X4" s="7"/>
      <c r="Y4" s="7"/>
      <c r="Z4" s="7"/>
      <c r="AA4" s="7"/>
      <c r="AB4" s="7"/>
      <c r="AC4" s="7"/>
      <c r="AD4" s="7"/>
      <c r="AE4" s="7"/>
      <c r="AF4" s="7"/>
      <c r="AG4" s="7"/>
      <c r="AH4" s="7"/>
      <c r="AI4" s="7"/>
      <c r="AJ4" s="7"/>
      <c r="AK4" s="7"/>
      <c r="AL4" s="7"/>
      <c r="AM4" s="7"/>
      <c r="AN4" s="7"/>
      <c r="AO4" s="7"/>
    </row>
    <row r="5" ht="19.5" customHeight="1">
      <c r="A5" s="13"/>
      <c r="B5" s="7"/>
      <c r="C5" s="6" t="s">
        <v>17</v>
      </c>
      <c r="D5" s="6">
        <v>2.0</v>
      </c>
      <c r="E5" s="6" t="s">
        <v>30</v>
      </c>
      <c r="F5" s="7"/>
      <c r="G5" s="7"/>
      <c r="H5" s="7"/>
      <c r="I5" s="6" t="s">
        <v>49</v>
      </c>
      <c r="J5" s="7"/>
      <c r="K5" s="9" t="s">
        <v>50</v>
      </c>
      <c r="L5" s="6" t="s">
        <v>22</v>
      </c>
      <c r="M5" s="8" t="s">
        <v>51</v>
      </c>
      <c r="N5" s="10" t="s">
        <v>24</v>
      </c>
      <c r="O5" s="11" t="s">
        <v>52</v>
      </c>
      <c r="P5" s="12" t="s">
        <v>53</v>
      </c>
      <c r="Q5" s="12" t="s">
        <v>54</v>
      </c>
      <c r="R5" s="14"/>
      <c r="S5" s="12" t="s">
        <v>55</v>
      </c>
      <c r="T5" s="12" t="s">
        <v>56</v>
      </c>
      <c r="U5" s="7"/>
      <c r="V5" s="7"/>
      <c r="W5" s="7"/>
      <c r="X5" s="7"/>
      <c r="Y5" s="7"/>
      <c r="Z5" s="7"/>
      <c r="AA5" s="7"/>
      <c r="AB5" s="7"/>
      <c r="AC5" s="7"/>
      <c r="AD5" s="7"/>
      <c r="AE5" s="7"/>
      <c r="AF5" s="7"/>
      <c r="AG5" s="7"/>
      <c r="AH5" s="7"/>
      <c r="AI5" s="7"/>
      <c r="AJ5" s="7"/>
      <c r="AK5" s="7"/>
      <c r="AL5" s="7"/>
      <c r="AM5" s="7"/>
      <c r="AN5" s="7"/>
      <c r="AO5" s="7"/>
    </row>
    <row r="6" ht="19.5" customHeight="1">
      <c r="A6" s="13"/>
      <c r="B6" s="7"/>
      <c r="C6" s="6" t="s">
        <v>17</v>
      </c>
      <c r="D6" s="6">
        <v>3.0</v>
      </c>
      <c r="E6" s="6" t="s">
        <v>18</v>
      </c>
      <c r="F6" s="7"/>
      <c r="G6" s="7"/>
      <c r="H6" s="7"/>
      <c r="I6" s="7"/>
      <c r="J6" s="7"/>
      <c r="K6" s="9" t="s">
        <v>57</v>
      </c>
      <c r="L6" s="6" t="s">
        <v>22</v>
      </c>
      <c r="M6" s="8" t="s">
        <v>58</v>
      </c>
      <c r="N6" s="10" t="s">
        <v>24</v>
      </c>
      <c r="O6" s="11" t="s">
        <v>25</v>
      </c>
      <c r="P6" s="12" t="s">
        <v>59</v>
      </c>
      <c r="Q6" s="12" t="s">
        <v>37</v>
      </c>
      <c r="R6" s="12" t="s">
        <v>60</v>
      </c>
      <c r="S6" s="12" t="s">
        <v>61</v>
      </c>
      <c r="T6" s="12" t="s">
        <v>62</v>
      </c>
      <c r="U6" s="7"/>
      <c r="V6" s="7"/>
      <c r="W6" s="7"/>
      <c r="X6" s="7"/>
      <c r="Y6" s="7"/>
      <c r="Z6" s="7"/>
      <c r="AA6" s="7"/>
      <c r="AB6" s="7"/>
      <c r="AC6" s="7"/>
      <c r="AD6" s="7"/>
      <c r="AE6" s="7"/>
      <c r="AF6" s="7"/>
      <c r="AG6" s="7"/>
      <c r="AH6" s="7"/>
      <c r="AI6" s="7"/>
      <c r="AJ6" s="7"/>
      <c r="AK6" s="7"/>
      <c r="AL6" s="7"/>
      <c r="AM6" s="7"/>
      <c r="AN6" s="7"/>
      <c r="AO6" s="7"/>
    </row>
    <row r="7" ht="19.5" customHeight="1">
      <c r="A7" s="13"/>
      <c r="B7" s="7"/>
      <c r="C7" s="6" t="s">
        <v>17</v>
      </c>
      <c r="D7" s="6">
        <v>3.0</v>
      </c>
      <c r="E7" s="6" t="s">
        <v>30</v>
      </c>
      <c r="F7" s="7"/>
      <c r="G7" s="7"/>
      <c r="H7" s="7"/>
      <c r="I7" s="7"/>
      <c r="J7" s="7"/>
      <c r="K7" s="9" t="s">
        <v>63</v>
      </c>
      <c r="L7" s="6" t="s">
        <v>22</v>
      </c>
      <c r="M7" s="8" t="s">
        <v>64</v>
      </c>
      <c r="N7" s="11" t="s">
        <v>35</v>
      </c>
      <c r="O7" s="11" t="s">
        <v>65</v>
      </c>
      <c r="P7" s="12" t="s">
        <v>66</v>
      </c>
      <c r="Q7" s="12" t="s">
        <v>67</v>
      </c>
      <c r="R7" s="12" t="s">
        <v>68</v>
      </c>
      <c r="S7" s="12" t="s">
        <v>69</v>
      </c>
      <c r="T7" s="12" t="s">
        <v>70</v>
      </c>
      <c r="U7" s="7"/>
      <c r="V7" s="7"/>
      <c r="W7" s="7"/>
      <c r="X7" s="7"/>
      <c r="Y7" s="7"/>
      <c r="Z7" s="7"/>
      <c r="AA7" s="7"/>
      <c r="AB7" s="7"/>
      <c r="AC7" s="7"/>
      <c r="AD7" s="7"/>
      <c r="AE7" s="7"/>
      <c r="AF7" s="7"/>
      <c r="AG7" s="7"/>
      <c r="AH7" s="7"/>
      <c r="AI7" s="7"/>
      <c r="AJ7" s="7"/>
      <c r="AK7" s="7"/>
      <c r="AL7" s="7"/>
      <c r="AM7" s="7"/>
      <c r="AN7" s="7"/>
      <c r="AO7" s="7"/>
    </row>
    <row r="8" ht="19.5" customHeight="1">
      <c r="A8" s="13"/>
      <c r="B8" s="7"/>
      <c r="C8" s="6" t="s">
        <v>17</v>
      </c>
      <c r="D8" s="6">
        <v>4.0</v>
      </c>
      <c r="E8" s="6" t="s">
        <v>18</v>
      </c>
      <c r="F8" s="7"/>
      <c r="G8" s="7"/>
      <c r="H8" s="7"/>
      <c r="I8" s="7"/>
      <c r="J8" s="7"/>
      <c r="K8" s="9" t="s">
        <v>71</v>
      </c>
      <c r="L8" s="6" t="s">
        <v>22</v>
      </c>
      <c r="M8" s="8" t="s">
        <v>72</v>
      </c>
      <c r="N8" s="11" t="s">
        <v>73</v>
      </c>
      <c r="O8" s="11" t="s">
        <v>74</v>
      </c>
      <c r="P8" s="12" t="s">
        <v>75</v>
      </c>
      <c r="Q8" s="12" t="s">
        <v>67</v>
      </c>
      <c r="R8" s="12" t="s">
        <v>68</v>
      </c>
      <c r="S8" s="12" t="s">
        <v>76</v>
      </c>
      <c r="T8" s="12" t="s">
        <v>77</v>
      </c>
      <c r="U8" s="7"/>
      <c r="V8" s="7"/>
      <c r="W8" s="7"/>
      <c r="X8" s="7"/>
      <c r="Y8" s="7"/>
      <c r="Z8" s="7"/>
      <c r="AA8" s="7"/>
      <c r="AB8" s="7"/>
      <c r="AC8" s="7"/>
      <c r="AD8" s="7"/>
      <c r="AE8" s="7"/>
      <c r="AF8" s="7"/>
      <c r="AG8" s="7"/>
      <c r="AH8" s="7"/>
      <c r="AI8" s="7"/>
      <c r="AJ8" s="7"/>
      <c r="AK8" s="7"/>
      <c r="AL8" s="7"/>
      <c r="AM8" s="7"/>
      <c r="AN8" s="7"/>
      <c r="AO8" s="7"/>
    </row>
    <row r="9" ht="19.5" customHeight="1">
      <c r="A9" s="13"/>
      <c r="B9" s="7"/>
      <c r="C9" s="6" t="s">
        <v>17</v>
      </c>
      <c r="D9" s="6">
        <v>4.0</v>
      </c>
      <c r="E9" s="6" t="s">
        <v>30</v>
      </c>
      <c r="F9" s="7"/>
      <c r="G9" s="7"/>
      <c r="H9" s="7"/>
      <c r="I9" s="7"/>
      <c r="J9" s="7"/>
      <c r="K9" s="9" t="s">
        <v>78</v>
      </c>
      <c r="L9" s="6" t="s">
        <v>22</v>
      </c>
      <c r="M9" s="8" t="s">
        <v>79</v>
      </c>
      <c r="N9" s="11" t="s">
        <v>80</v>
      </c>
      <c r="O9" s="11" t="s">
        <v>81</v>
      </c>
      <c r="P9" s="8" t="s">
        <v>82</v>
      </c>
      <c r="Q9" s="12" t="s">
        <v>83</v>
      </c>
      <c r="R9" s="12" t="s">
        <v>68</v>
      </c>
      <c r="S9" s="12" t="s">
        <v>84</v>
      </c>
      <c r="T9" s="12" t="s">
        <v>85</v>
      </c>
      <c r="U9" s="7"/>
      <c r="V9" s="7"/>
      <c r="W9" s="7"/>
      <c r="X9" s="7"/>
      <c r="Y9" s="7"/>
      <c r="Z9" s="7"/>
      <c r="AA9" s="7"/>
      <c r="AB9" s="7"/>
      <c r="AC9" s="7"/>
      <c r="AD9" s="7"/>
      <c r="AE9" s="7"/>
      <c r="AF9" s="7"/>
      <c r="AG9" s="7"/>
      <c r="AH9" s="7"/>
      <c r="AI9" s="7"/>
      <c r="AJ9" s="7"/>
      <c r="AK9" s="7"/>
      <c r="AL9" s="7"/>
      <c r="AM9" s="7"/>
      <c r="AN9" s="7"/>
      <c r="AO9" s="7"/>
    </row>
    <row r="10" ht="19.5" customHeight="1">
      <c r="A10" s="13"/>
      <c r="B10" s="7"/>
      <c r="C10" s="6" t="s">
        <v>17</v>
      </c>
      <c r="D10" s="6">
        <v>1.0</v>
      </c>
      <c r="E10" s="6" t="s">
        <v>86</v>
      </c>
      <c r="F10" s="7"/>
      <c r="G10" s="7"/>
      <c r="H10" s="7"/>
      <c r="I10" s="7"/>
      <c r="J10" s="7"/>
      <c r="K10" s="7"/>
      <c r="L10" s="15"/>
      <c r="M10" s="7"/>
      <c r="N10" s="15"/>
      <c r="O10" s="15"/>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ht="19.5" customHeight="1">
      <c r="A11" s="13"/>
      <c r="B11" s="7"/>
      <c r="C11" s="6" t="s">
        <v>17</v>
      </c>
      <c r="D11" s="6">
        <v>1.0</v>
      </c>
      <c r="E11" s="6" t="s">
        <v>87</v>
      </c>
      <c r="F11" s="7"/>
      <c r="G11" s="7"/>
      <c r="H11" s="7"/>
      <c r="I11" s="7"/>
      <c r="J11" s="7"/>
      <c r="K11" s="7"/>
      <c r="L11" s="15"/>
      <c r="M11" s="7"/>
      <c r="N11" s="15"/>
      <c r="O11" s="15"/>
      <c r="P11" s="7"/>
      <c r="Q11" s="7"/>
      <c r="R11" s="7"/>
      <c r="S11" s="7"/>
      <c r="T11" s="7"/>
      <c r="U11" s="7"/>
      <c r="V11" s="7"/>
      <c r="W11" s="7"/>
      <c r="X11" s="7"/>
      <c r="Y11" s="7"/>
      <c r="Z11" s="7"/>
      <c r="AA11" s="7"/>
      <c r="AB11" s="7"/>
      <c r="AC11" s="7"/>
      <c r="AD11" s="7"/>
      <c r="AE11" s="7"/>
      <c r="AF11" s="7"/>
      <c r="AG11" s="7"/>
      <c r="AH11" s="7"/>
      <c r="AI11" s="7"/>
      <c r="AJ11" s="7"/>
      <c r="AK11" s="7"/>
      <c r="AL11" s="7"/>
      <c r="AM11" s="7"/>
      <c r="AN11" s="7"/>
      <c r="AO11" s="7"/>
    </row>
    <row r="12" ht="19.5" customHeight="1">
      <c r="A12" s="13"/>
      <c r="B12" s="7"/>
      <c r="C12" s="6" t="s">
        <v>88</v>
      </c>
      <c r="D12" s="6">
        <v>1.0</v>
      </c>
      <c r="E12" s="6" t="s">
        <v>89</v>
      </c>
      <c r="F12" s="7"/>
      <c r="G12" s="7"/>
      <c r="H12" s="7"/>
      <c r="I12" s="7"/>
      <c r="J12" s="7"/>
      <c r="K12" s="7"/>
      <c r="L12" s="15"/>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row>
    <row r="13" ht="19.5" customHeight="1">
      <c r="A13" s="13"/>
      <c r="B13" s="7"/>
      <c r="C13" s="6" t="s">
        <v>88</v>
      </c>
      <c r="D13" s="6">
        <v>1.0</v>
      </c>
      <c r="E13" s="6" t="s">
        <v>90</v>
      </c>
      <c r="F13" s="7"/>
      <c r="G13" s="7"/>
      <c r="H13" s="7"/>
      <c r="I13" s="7"/>
      <c r="J13" s="7"/>
      <c r="K13" s="16"/>
      <c r="L13" s="17"/>
      <c r="M13" s="16"/>
      <c r="N13" s="7"/>
      <c r="O13" s="7"/>
      <c r="P13" s="16"/>
      <c r="Q13" s="7"/>
      <c r="R13" s="7"/>
      <c r="S13" s="7"/>
      <c r="T13" s="7"/>
      <c r="U13" s="7"/>
      <c r="V13" s="7"/>
      <c r="W13" s="7"/>
      <c r="X13" s="7"/>
      <c r="Y13" s="7"/>
      <c r="Z13" s="7"/>
      <c r="AA13" s="7"/>
      <c r="AB13" s="7"/>
      <c r="AC13" s="7"/>
      <c r="AD13" s="7"/>
      <c r="AE13" s="7"/>
      <c r="AF13" s="7"/>
      <c r="AG13" s="7"/>
      <c r="AH13" s="7"/>
      <c r="AI13" s="7"/>
      <c r="AJ13" s="7"/>
      <c r="AK13" s="7"/>
      <c r="AL13" s="7"/>
      <c r="AM13" s="7"/>
      <c r="AN13" s="7"/>
      <c r="AO13" s="7"/>
    </row>
    <row r="14" ht="19.5" customHeight="1">
      <c r="A14" s="13"/>
      <c r="B14" s="7"/>
      <c r="C14" s="6" t="s">
        <v>88</v>
      </c>
      <c r="D14" s="6">
        <v>2.0</v>
      </c>
      <c r="E14" s="6" t="s">
        <v>86</v>
      </c>
      <c r="F14" s="7"/>
      <c r="G14" s="7"/>
      <c r="H14" s="7"/>
      <c r="I14" s="7"/>
      <c r="J14" s="7"/>
      <c r="K14" s="16"/>
      <c r="L14" s="17"/>
      <c r="M14" s="16"/>
      <c r="N14" s="7"/>
      <c r="O14" s="7"/>
      <c r="P14" s="16"/>
      <c r="Q14" s="7"/>
      <c r="R14" s="7"/>
      <c r="S14" s="7"/>
      <c r="T14" s="7"/>
      <c r="U14" s="7"/>
      <c r="V14" s="7"/>
      <c r="W14" s="7"/>
      <c r="X14" s="7"/>
      <c r="Y14" s="7"/>
      <c r="Z14" s="7"/>
      <c r="AA14" s="7"/>
      <c r="AB14" s="7"/>
      <c r="AC14" s="7"/>
      <c r="AD14" s="7"/>
      <c r="AE14" s="7"/>
      <c r="AF14" s="7"/>
      <c r="AG14" s="7"/>
      <c r="AH14" s="7"/>
      <c r="AI14" s="7"/>
      <c r="AJ14" s="7"/>
      <c r="AK14" s="7"/>
      <c r="AL14" s="7"/>
      <c r="AM14" s="7"/>
      <c r="AN14" s="7"/>
      <c r="AO14" s="7"/>
    </row>
    <row r="15" ht="19.5" customHeight="1">
      <c r="A15" s="13"/>
      <c r="B15" s="7"/>
      <c r="C15" s="6" t="s">
        <v>88</v>
      </c>
      <c r="D15" s="6">
        <v>2.0</v>
      </c>
      <c r="E15" s="6" t="s">
        <v>89</v>
      </c>
      <c r="F15" s="7"/>
      <c r="G15" s="7"/>
      <c r="H15" s="7"/>
      <c r="I15" s="7"/>
      <c r="J15" s="7"/>
      <c r="K15" s="16"/>
      <c r="L15" s="17"/>
      <c r="M15" s="16"/>
      <c r="N15" s="7"/>
      <c r="O15" s="7"/>
      <c r="P15" s="16"/>
      <c r="Q15" s="7"/>
      <c r="R15" s="7"/>
      <c r="S15" s="7"/>
      <c r="T15" s="7"/>
      <c r="U15" s="7"/>
      <c r="V15" s="7"/>
      <c r="W15" s="7"/>
      <c r="X15" s="7"/>
      <c r="Y15" s="7"/>
      <c r="Z15" s="7"/>
      <c r="AA15" s="7"/>
      <c r="AB15" s="7"/>
      <c r="AC15" s="7"/>
      <c r="AD15" s="7"/>
      <c r="AE15" s="7"/>
      <c r="AF15" s="7"/>
      <c r="AG15" s="7"/>
      <c r="AH15" s="7"/>
      <c r="AI15" s="7"/>
      <c r="AJ15" s="7"/>
      <c r="AK15" s="7"/>
      <c r="AL15" s="7"/>
      <c r="AM15" s="7"/>
      <c r="AN15" s="7"/>
      <c r="AO15" s="7"/>
    </row>
    <row r="16" ht="19.5" customHeight="1">
      <c r="A16" s="13"/>
      <c r="B16" s="7"/>
      <c r="C16" s="6" t="s">
        <v>88</v>
      </c>
      <c r="D16" s="6">
        <v>2.0</v>
      </c>
      <c r="E16" s="6" t="s">
        <v>90</v>
      </c>
      <c r="F16" s="7"/>
      <c r="G16" s="7"/>
      <c r="H16" s="7"/>
      <c r="I16" s="7"/>
      <c r="J16" s="7"/>
      <c r="K16" s="16"/>
      <c r="L16" s="17"/>
      <c r="M16" s="16"/>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ht="19.5" customHeight="1">
      <c r="A17" s="13"/>
      <c r="B17" s="7"/>
      <c r="C17" s="6" t="s">
        <v>88</v>
      </c>
      <c r="D17" s="6">
        <v>2.0</v>
      </c>
      <c r="E17" s="6" t="s">
        <v>91</v>
      </c>
      <c r="F17" s="7"/>
      <c r="G17" s="7"/>
      <c r="H17" s="7"/>
      <c r="I17" s="7"/>
      <c r="J17" s="7"/>
      <c r="K17" s="16"/>
      <c r="L17" s="17"/>
      <c r="M17" s="16"/>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row>
    <row r="18">
      <c r="A18" s="18"/>
      <c r="B18" s="2"/>
      <c r="C18" s="18"/>
      <c r="D18" s="18"/>
      <c r="E18" s="18"/>
      <c r="F18" s="2"/>
      <c r="G18" s="2"/>
      <c r="H18" s="2"/>
      <c r="I18" s="2"/>
      <c r="J18" s="2"/>
      <c r="K18" s="2"/>
      <c r="L18" s="1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c r="A19" s="18"/>
      <c r="B19" s="2"/>
      <c r="C19" s="18"/>
      <c r="D19" s="18"/>
      <c r="E19" s="18"/>
      <c r="F19" s="2"/>
      <c r="G19" s="2"/>
      <c r="H19" s="2"/>
      <c r="I19" s="2"/>
      <c r="J19" s="2"/>
      <c r="K19" s="2"/>
      <c r="L19" s="1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c r="A20" s="18"/>
      <c r="B20" s="2"/>
      <c r="C20" s="18"/>
      <c r="D20" s="18"/>
      <c r="E20" s="18"/>
      <c r="F20" s="2"/>
      <c r="G20" s="2"/>
      <c r="H20" s="2"/>
      <c r="I20" s="2"/>
      <c r="J20" s="2"/>
      <c r="K20" s="2"/>
      <c r="L20" s="18"/>
      <c r="M20" s="2"/>
      <c r="N20" s="18"/>
      <c r="O20" s="18"/>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c r="A21" s="18"/>
      <c r="B21" s="2"/>
      <c r="C21" s="18"/>
      <c r="D21" s="18"/>
      <c r="E21" s="18"/>
      <c r="F21" s="2"/>
      <c r="G21" s="2"/>
      <c r="H21" s="2"/>
      <c r="I21" s="2"/>
      <c r="J21" s="2"/>
      <c r="K21" s="2"/>
      <c r="L21" s="18"/>
      <c r="M21" s="2"/>
      <c r="N21" s="18"/>
      <c r="O21" s="18"/>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c r="A22" s="18"/>
      <c r="B22" s="2"/>
      <c r="C22" s="18"/>
      <c r="D22" s="18"/>
      <c r="E22" s="18"/>
      <c r="F22" s="2"/>
      <c r="G22" s="2"/>
      <c r="H22" s="2"/>
      <c r="I22" s="2"/>
      <c r="J22" s="2"/>
      <c r="K22" s="2"/>
      <c r="L22" s="18"/>
      <c r="M22" s="2"/>
      <c r="N22" s="18"/>
      <c r="O22" s="18"/>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c r="A23" s="18"/>
      <c r="B23" s="2"/>
      <c r="C23" s="18"/>
      <c r="D23" s="18"/>
      <c r="E23" s="18"/>
      <c r="F23" s="2"/>
      <c r="G23" s="2"/>
      <c r="H23" s="2"/>
      <c r="I23" s="2"/>
      <c r="J23" s="2"/>
      <c r="K23" s="2"/>
      <c r="L23" s="18"/>
      <c r="M23" s="2"/>
      <c r="N23" s="18"/>
      <c r="O23" s="18"/>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c r="A24" s="18"/>
      <c r="B24" s="2"/>
      <c r="C24" s="18"/>
      <c r="D24" s="18"/>
      <c r="E24" s="18"/>
      <c r="F24" s="2"/>
      <c r="G24" s="2"/>
      <c r="H24" s="2"/>
      <c r="I24" s="2"/>
      <c r="J24" s="2"/>
      <c r="K24" s="2"/>
      <c r="L24" s="18"/>
      <c r="M24" s="2"/>
      <c r="N24" s="18"/>
      <c r="O24" s="18"/>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c r="A25" s="18"/>
      <c r="B25" s="2"/>
      <c r="C25" s="18"/>
      <c r="D25" s="18"/>
      <c r="E25" s="18"/>
      <c r="F25" s="2"/>
      <c r="G25" s="2"/>
      <c r="H25" s="2"/>
      <c r="I25" s="2"/>
      <c r="J25" s="2"/>
      <c r="K25" s="2"/>
      <c r="L25" s="18"/>
      <c r="M25" s="2"/>
      <c r="N25" s="18"/>
      <c r="O25" s="18"/>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c r="A26" s="18"/>
      <c r="B26" s="2"/>
      <c r="C26" s="18"/>
      <c r="D26" s="18"/>
      <c r="E26" s="18"/>
      <c r="F26" s="2"/>
      <c r="G26" s="2"/>
      <c r="H26" s="2"/>
      <c r="I26" s="2"/>
      <c r="J26" s="2"/>
      <c r="K26" s="2"/>
      <c r="L26" s="18"/>
      <c r="M26" s="2"/>
      <c r="N26" s="18"/>
      <c r="O26" s="18"/>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c r="A27" s="18"/>
      <c r="B27" s="2"/>
      <c r="C27" s="18"/>
      <c r="D27" s="18"/>
      <c r="E27" s="18"/>
      <c r="F27" s="2"/>
      <c r="G27" s="2"/>
      <c r="H27" s="2"/>
      <c r="I27" s="2"/>
      <c r="J27" s="2"/>
      <c r="K27" s="2"/>
      <c r="L27" s="18"/>
      <c r="M27" s="2"/>
      <c r="N27" s="18"/>
      <c r="O27" s="18"/>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c r="A28" s="18"/>
      <c r="B28" s="2"/>
      <c r="C28" s="18"/>
      <c r="D28" s="18"/>
      <c r="E28" s="18"/>
      <c r="F28" s="2"/>
      <c r="G28" s="2"/>
      <c r="H28" s="2"/>
      <c r="I28" s="2"/>
      <c r="J28" s="2"/>
      <c r="K28" s="2"/>
      <c r="L28" s="18"/>
      <c r="M28" s="2"/>
      <c r="N28" s="18"/>
      <c r="O28" s="18"/>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c r="A29" s="18"/>
      <c r="B29" s="2"/>
      <c r="C29" s="18"/>
      <c r="D29" s="18"/>
      <c r="E29" s="18"/>
      <c r="F29" s="2"/>
      <c r="G29" s="2"/>
      <c r="H29" s="2"/>
      <c r="I29" s="2"/>
      <c r="J29" s="2"/>
      <c r="K29" s="2"/>
      <c r="L29" s="18"/>
      <c r="M29" s="2"/>
      <c r="N29" s="18"/>
      <c r="O29" s="18"/>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c r="A30" s="18"/>
      <c r="B30" s="2"/>
      <c r="C30" s="18"/>
      <c r="D30" s="18"/>
      <c r="E30" s="18"/>
      <c r="F30" s="2"/>
      <c r="G30" s="2"/>
      <c r="H30" s="2"/>
      <c r="I30" s="2"/>
      <c r="J30" s="2"/>
      <c r="K30" s="2"/>
      <c r="L30" s="18"/>
      <c r="M30" s="2"/>
      <c r="N30" s="18"/>
      <c r="O30" s="18"/>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c r="A31" s="18"/>
      <c r="B31" s="2"/>
      <c r="C31" s="18"/>
      <c r="D31" s="18"/>
      <c r="E31" s="18"/>
      <c r="F31" s="2"/>
      <c r="G31" s="2"/>
      <c r="H31" s="2"/>
      <c r="I31" s="2"/>
      <c r="J31" s="2"/>
      <c r="K31" s="2"/>
      <c r="L31" s="18"/>
      <c r="M31" s="2"/>
      <c r="N31" s="18"/>
      <c r="O31" s="18"/>
      <c r="P31" s="2"/>
      <c r="Q31" s="2"/>
      <c r="R31" s="2"/>
      <c r="S31" s="2"/>
      <c r="T31" s="2"/>
      <c r="U31" s="2"/>
      <c r="V31" s="2"/>
      <c r="W31" s="2"/>
      <c r="X31" s="2"/>
      <c r="Y31" s="2"/>
      <c r="Z31" s="2"/>
      <c r="AA31" s="2"/>
      <c r="AB31" s="2"/>
      <c r="AC31" s="2"/>
      <c r="AD31" s="2"/>
      <c r="AE31" s="2"/>
      <c r="AF31" s="2"/>
      <c r="AG31" s="2"/>
      <c r="AH31" s="2"/>
      <c r="AI31" s="2"/>
      <c r="AJ31" s="2"/>
      <c r="AK31" s="2"/>
      <c r="AL31" s="2"/>
      <c r="AM31" s="2"/>
      <c r="AN31" s="2"/>
      <c r="AO31" s="2"/>
    </row>
    <row r="32">
      <c r="A32" s="18"/>
      <c r="B32" s="2"/>
      <c r="C32" s="18"/>
      <c r="D32" s="18"/>
      <c r="E32" s="18"/>
      <c r="F32" s="2"/>
      <c r="G32" s="2"/>
      <c r="H32" s="2"/>
      <c r="I32" s="2"/>
      <c r="J32" s="2"/>
      <c r="K32" s="2"/>
      <c r="L32" s="18"/>
      <c r="M32" s="2"/>
      <c r="N32" s="18"/>
      <c r="O32" s="18"/>
      <c r="P32" s="2"/>
      <c r="Q32" s="2"/>
      <c r="R32" s="2"/>
      <c r="S32" s="2"/>
      <c r="T32" s="2"/>
      <c r="U32" s="2"/>
      <c r="V32" s="2"/>
      <c r="W32" s="2"/>
      <c r="X32" s="2"/>
      <c r="Y32" s="2"/>
      <c r="Z32" s="2"/>
      <c r="AA32" s="2"/>
      <c r="AB32" s="2"/>
      <c r="AC32" s="2"/>
      <c r="AD32" s="2"/>
      <c r="AE32" s="2"/>
      <c r="AF32" s="2"/>
      <c r="AG32" s="2"/>
      <c r="AH32" s="2"/>
      <c r="AI32" s="2"/>
      <c r="AJ32" s="2"/>
      <c r="AK32" s="2"/>
      <c r="AL32" s="2"/>
      <c r="AM32" s="2"/>
      <c r="AN32" s="2"/>
      <c r="AO32" s="2"/>
    </row>
    <row r="33">
      <c r="A33" s="18"/>
      <c r="B33" s="2"/>
      <c r="C33" s="18"/>
      <c r="D33" s="18"/>
      <c r="E33" s="18"/>
      <c r="F33" s="2"/>
      <c r="G33" s="2"/>
      <c r="H33" s="2"/>
      <c r="I33" s="2"/>
      <c r="J33" s="2"/>
      <c r="K33" s="2"/>
      <c r="L33" s="18"/>
      <c r="M33" s="2"/>
      <c r="N33" s="18"/>
      <c r="O33" s="18"/>
      <c r="P33" s="2"/>
      <c r="Q33" s="2"/>
      <c r="R33" s="2"/>
      <c r="S33" s="2"/>
      <c r="T33" s="2"/>
      <c r="U33" s="2"/>
      <c r="V33" s="2"/>
      <c r="W33" s="2"/>
      <c r="X33" s="2"/>
      <c r="Y33" s="2"/>
      <c r="Z33" s="2"/>
      <c r="AA33" s="2"/>
      <c r="AB33" s="2"/>
      <c r="AC33" s="2"/>
      <c r="AD33" s="2"/>
      <c r="AE33" s="2"/>
      <c r="AF33" s="2"/>
      <c r="AG33" s="2"/>
      <c r="AH33" s="2"/>
      <c r="AI33" s="2"/>
      <c r="AJ33" s="2"/>
      <c r="AK33" s="2"/>
      <c r="AL33" s="2"/>
      <c r="AM33" s="2"/>
      <c r="AN33" s="2"/>
      <c r="AO33" s="2"/>
    </row>
    <row r="34">
      <c r="A34" s="18"/>
      <c r="B34" s="2"/>
      <c r="C34" s="18"/>
      <c r="D34" s="18"/>
      <c r="E34" s="18"/>
      <c r="F34" s="2"/>
      <c r="G34" s="2"/>
      <c r="H34" s="2"/>
      <c r="I34" s="2"/>
      <c r="J34" s="2"/>
      <c r="K34" s="2"/>
      <c r="L34" s="18"/>
      <c r="M34" s="2"/>
      <c r="N34" s="18"/>
      <c r="O34" s="18"/>
      <c r="P34" s="2"/>
      <c r="Q34" s="2"/>
      <c r="R34" s="2"/>
      <c r="S34" s="2"/>
      <c r="T34" s="2"/>
      <c r="U34" s="2"/>
      <c r="V34" s="2"/>
      <c r="W34" s="2"/>
      <c r="X34" s="2"/>
      <c r="Y34" s="2"/>
      <c r="Z34" s="2"/>
      <c r="AA34" s="2"/>
      <c r="AB34" s="2"/>
      <c r="AC34" s="2"/>
      <c r="AD34" s="2"/>
      <c r="AE34" s="2"/>
      <c r="AF34" s="2"/>
      <c r="AG34" s="2"/>
      <c r="AH34" s="2"/>
      <c r="AI34" s="2"/>
      <c r="AJ34" s="2"/>
      <c r="AK34" s="2"/>
      <c r="AL34" s="2"/>
      <c r="AM34" s="2"/>
      <c r="AN34" s="2"/>
      <c r="AO34" s="2"/>
    </row>
    <row r="35">
      <c r="A35" s="18"/>
      <c r="B35" s="2"/>
      <c r="C35" s="18"/>
      <c r="D35" s="18"/>
      <c r="E35" s="18"/>
      <c r="F35" s="2"/>
      <c r="G35" s="2"/>
      <c r="H35" s="2"/>
      <c r="I35" s="2"/>
      <c r="J35" s="2"/>
      <c r="K35" s="2"/>
      <c r="L35" s="18"/>
      <c r="M35" s="2"/>
      <c r="N35" s="18"/>
      <c r="O35" s="18"/>
      <c r="P35" s="2"/>
      <c r="Q35" s="2"/>
      <c r="R35" s="2"/>
      <c r="S35" s="2"/>
      <c r="T35" s="2"/>
      <c r="U35" s="2"/>
      <c r="V35" s="2"/>
      <c r="W35" s="2"/>
      <c r="X35" s="2"/>
      <c r="Y35" s="2"/>
      <c r="Z35" s="2"/>
      <c r="AA35" s="2"/>
      <c r="AB35" s="2"/>
      <c r="AC35" s="2"/>
      <c r="AD35" s="2"/>
      <c r="AE35" s="2"/>
      <c r="AF35" s="2"/>
      <c r="AG35" s="2"/>
      <c r="AH35" s="2"/>
      <c r="AI35" s="2"/>
      <c r="AJ35" s="2"/>
      <c r="AK35" s="2"/>
      <c r="AL35" s="2"/>
      <c r="AM35" s="2"/>
      <c r="AN35" s="2"/>
      <c r="AO35" s="2"/>
    </row>
    <row r="36">
      <c r="A36" s="18"/>
      <c r="B36" s="2"/>
      <c r="C36" s="18"/>
      <c r="D36" s="18"/>
      <c r="E36" s="18"/>
      <c r="F36" s="2"/>
      <c r="G36" s="2"/>
      <c r="H36" s="2"/>
      <c r="I36" s="2"/>
      <c r="J36" s="2"/>
      <c r="K36" s="2"/>
      <c r="L36" s="18"/>
      <c r="M36" s="2"/>
      <c r="N36" s="18"/>
      <c r="O36" s="18"/>
      <c r="P36" s="2"/>
      <c r="Q36" s="2"/>
      <c r="R36" s="2"/>
      <c r="S36" s="2"/>
      <c r="T36" s="2"/>
      <c r="U36" s="2"/>
      <c r="V36" s="2"/>
      <c r="W36" s="2"/>
      <c r="X36" s="2"/>
      <c r="Y36" s="2"/>
      <c r="Z36" s="2"/>
      <c r="AA36" s="2"/>
      <c r="AB36" s="2"/>
      <c r="AC36" s="2"/>
      <c r="AD36" s="2"/>
      <c r="AE36" s="2"/>
      <c r="AF36" s="2"/>
      <c r="AG36" s="2"/>
      <c r="AH36" s="2"/>
      <c r="AI36" s="2"/>
      <c r="AJ36" s="2"/>
      <c r="AK36" s="2"/>
      <c r="AL36" s="2"/>
      <c r="AM36" s="2"/>
      <c r="AN36" s="2"/>
      <c r="AO36" s="2"/>
    </row>
    <row r="37">
      <c r="A37" s="18"/>
      <c r="B37" s="2"/>
      <c r="C37" s="18"/>
      <c r="D37" s="18"/>
      <c r="E37" s="18"/>
      <c r="F37" s="2"/>
      <c r="G37" s="2"/>
      <c r="H37" s="2"/>
      <c r="I37" s="2"/>
      <c r="J37" s="2"/>
      <c r="K37" s="2"/>
      <c r="L37" s="18"/>
      <c r="M37" s="2"/>
      <c r="N37" s="18"/>
      <c r="O37" s="18"/>
      <c r="P37" s="2"/>
      <c r="Q37" s="2"/>
      <c r="R37" s="2"/>
      <c r="S37" s="2"/>
      <c r="T37" s="2"/>
      <c r="U37" s="2"/>
      <c r="V37" s="2"/>
      <c r="W37" s="2"/>
      <c r="X37" s="2"/>
      <c r="Y37" s="2"/>
      <c r="Z37" s="2"/>
      <c r="AA37" s="2"/>
      <c r="AB37" s="2"/>
      <c r="AC37" s="2"/>
      <c r="AD37" s="2"/>
      <c r="AE37" s="2"/>
      <c r="AF37" s="2"/>
      <c r="AG37" s="2"/>
      <c r="AH37" s="2"/>
      <c r="AI37" s="2"/>
      <c r="AJ37" s="2"/>
      <c r="AK37" s="2"/>
      <c r="AL37" s="2"/>
      <c r="AM37" s="2"/>
      <c r="AN37" s="2"/>
      <c r="AO37" s="2"/>
    </row>
    <row r="38">
      <c r="A38" s="18"/>
      <c r="B38" s="2"/>
      <c r="C38" s="18"/>
      <c r="D38" s="18"/>
      <c r="E38" s="18"/>
      <c r="F38" s="2"/>
      <c r="G38" s="2"/>
      <c r="H38" s="2"/>
      <c r="I38" s="2"/>
      <c r="J38" s="2"/>
      <c r="K38" s="2"/>
      <c r="L38" s="18"/>
      <c r="M38" s="2"/>
      <c r="N38" s="18"/>
      <c r="O38" s="18"/>
      <c r="P38" s="2"/>
      <c r="Q38" s="2"/>
      <c r="R38" s="2"/>
      <c r="S38" s="2"/>
      <c r="T38" s="2"/>
      <c r="U38" s="2"/>
      <c r="V38" s="2"/>
      <c r="W38" s="2"/>
      <c r="X38" s="2"/>
      <c r="Y38" s="2"/>
      <c r="Z38" s="2"/>
      <c r="AA38" s="2"/>
      <c r="AB38" s="2"/>
      <c r="AC38" s="2"/>
      <c r="AD38" s="2"/>
      <c r="AE38" s="2"/>
      <c r="AF38" s="2"/>
      <c r="AG38" s="2"/>
      <c r="AH38" s="2"/>
      <c r="AI38" s="2"/>
      <c r="AJ38" s="2"/>
      <c r="AK38" s="2"/>
      <c r="AL38" s="2"/>
      <c r="AM38" s="2"/>
      <c r="AN38" s="2"/>
      <c r="AO38" s="2"/>
    </row>
    <row r="39">
      <c r="A39" s="18"/>
      <c r="B39" s="2"/>
      <c r="C39" s="18"/>
      <c r="D39" s="18"/>
      <c r="E39" s="18"/>
      <c r="F39" s="2"/>
      <c r="G39" s="2"/>
      <c r="H39" s="2"/>
      <c r="I39" s="2"/>
      <c r="J39" s="2"/>
      <c r="K39" s="2"/>
      <c r="L39" s="18"/>
      <c r="M39" s="2"/>
      <c r="N39" s="18"/>
      <c r="O39" s="18"/>
      <c r="P39" s="2"/>
      <c r="Q39" s="2"/>
      <c r="R39" s="2"/>
      <c r="S39" s="2"/>
      <c r="T39" s="2"/>
      <c r="U39" s="2"/>
      <c r="V39" s="2"/>
      <c r="W39" s="2"/>
      <c r="X39" s="2"/>
      <c r="Y39" s="2"/>
      <c r="Z39" s="2"/>
      <c r="AA39" s="2"/>
      <c r="AB39" s="2"/>
      <c r="AC39" s="2"/>
      <c r="AD39" s="2"/>
      <c r="AE39" s="2"/>
      <c r="AF39" s="2"/>
      <c r="AG39" s="2"/>
      <c r="AH39" s="2"/>
      <c r="AI39" s="2"/>
      <c r="AJ39" s="2"/>
      <c r="AK39" s="2"/>
      <c r="AL39" s="2"/>
      <c r="AM39" s="2"/>
      <c r="AN39" s="2"/>
      <c r="AO39" s="2"/>
    </row>
    <row r="40">
      <c r="A40" s="18"/>
      <c r="B40" s="2"/>
      <c r="C40" s="18"/>
      <c r="D40" s="18"/>
      <c r="E40" s="18"/>
      <c r="F40" s="2"/>
      <c r="G40" s="2"/>
      <c r="H40" s="2"/>
      <c r="I40" s="2"/>
      <c r="J40" s="2"/>
      <c r="K40" s="2"/>
      <c r="L40" s="18"/>
      <c r="M40" s="2"/>
      <c r="N40" s="18"/>
      <c r="O40" s="18"/>
      <c r="P40" s="2"/>
      <c r="Q40" s="2"/>
      <c r="R40" s="2"/>
      <c r="S40" s="2"/>
      <c r="T40" s="2"/>
      <c r="U40" s="2"/>
      <c r="V40" s="2"/>
      <c r="W40" s="2"/>
      <c r="X40" s="2"/>
      <c r="Y40" s="2"/>
      <c r="Z40" s="2"/>
      <c r="AA40" s="2"/>
      <c r="AB40" s="2"/>
      <c r="AC40" s="2"/>
      <c r="AD40" s="2"/>
      <c r="AE40" s="2"/>
      <c r="AF40" s="2"/>
      <c r="AG40" s="2"/>
      <c r="AH40" s="2"/>
      <c r="AI40" s="2"/>
      <c r="AJ40" s="2"/>
      <c r="AK40" s="2"/>
      <c r="AL40" s="2"/>
      <c r="AM40" s="2"/>
      <c r="AN40" s="2"/>
      <c r="AO40" s="2"/>
    </row>
    <row r="41">
      <c r="A41" s="18"/>
      <c r="B41" s="2"/>
      <c r="C41" s="18"/>
      <c r="D41" s="18"/>
      <c r="E41" s="18"/>
      <c r="F41" s="2"/>
      <c r="G41" s="2"/>
      <c r="H41" s="2"/>
      <c r="I41" s="2"/>
      <c r="J41" s="2"/>
      <c r="K41" s="2"/>
      <c r="L41" s="18"/>
      <c r="M41" s="2"/>
      <c r="N41" s="18"/>
      <c r="O41" s="18"/>
      <c r="P41" s="2"/>
      <c r="Q41" s="2"/>
      <c r="R41" s="2"/>
      <c r="S41" s="2"/>
      <c r="T41" s="2"/>
      <c r="U41" s="2"/>
      <c r="V41" s="2"/>
      <c r="W41" s="2"/>
      <c r="X41" s="2"/>
      <c r="Y41" s="2"/>
      <c r="Z41" s="2"/>
      <c r="AA41" s="2"/>
      <c r="AB41" s="2"/>
      <c r="AC41" s="2"/>
      <c r="AD41" s="2"/>
      <c r="AE41" s="2"/>
      <c r="AF41" s="2"/>
      <c r="AG41" s="2"/>
      <c r="AH41" s="2"/>
      <c r="AI41" s="2"/>
      <c r="AJ41" s="2"/>
      <c r="AK41" s="2"/>
      <c r="AL41" s="2"/>
      <c r="AM41" s="2"/>
      <c r="AN41" s="2"/>
      <c r="AO41" s="2"/>
    </row>
    <row r="42">
      <c r="A42" s="18"/>
      <c r="B42" s="2"/>
      <c r="C42" s="18"/>
      <c r="D42" s="18"/>
      <c r="E42" s="18"/>
      <c r="F42" s="2"/>
      <c r="G42" s="2"/>
      <c r="H42" s="2"/>
      <c r="I42" s="2"/>
      <c r="J42" s="2"/>
      <c r="K42" s="2"/>
      <c r="L42" s="18"/>
      <c r="M42" s="2"/>
      <c r="N42" s="18"/>
      <c r="O42" s="18"/>
      <c r="P42" s="2"/>
      <c r="Q42" s="2"/>
      <c r="R42" s="2"/>
      <c r="S42" s="2"/>
      <c r="T42" s="2"/>
      <c r="U42" s="2"/>
      <c r="V42" s="2"/>
      <c r="W42" s="2"/>
      <c r="X42" s="2"/>
      <c r="Y42" s="2"/>
      <c r="Z42" s="2"/>
      <c r="AA42" s="2"/>
      <c r="AB42" s="2"/>
      <c r="AC42" s="2"/>
      <c r="AD42" s="2"/>
      <c r="AE42" s="2"/>
      <c r="AF42" s="2"/>
      <c r="AG42" s="2"/>
      <c r="AH42" s="2"/>
      <c r="AI42" s="2"/>
      <c r="AJ42" s="2"/>
      <c r="AK42" s="2"/>
      <c r="AL42" s="2"/>
      <c r="AM42" s="2"/>
      <c r="AN42" s="2"/>
      <c r="AO42" s="2"/>
    </row>
    <row r="43">
      <c r="A43" s="18"/>
      <c r="B43" s="2"/>
      <c r="C43" s="18"/>
      <c r="D43" s="18"/>
      <c r="E43" s="18"/>
      <c r="F43" s="2"/>
      <c r="G43" s="2"/>
      <c r="H43" s="2"/>
      <c r="I43" s="2"/>
      <c r="J43" s="2"/>
      <c r="K43" s="2"/>
      <c r="L43" s="18"/>
      <c r="M43" s="2"/>
      <c r="N43" s="18"/>
      <c r="O43" s="18"/>
      <c r="P43" s="2"/>
      <c r="Q43" s="2"/>
      <c r="R43" s="2"/>
      <c r="S43" s="2"/>
      <c r="T43" s="2"/>
      <c r="U43" s="2"/>
      <c r="V43" s="2"/>
      <c r="W43" s="2"/>
      <c r="X43" s="2"/>
      <c r="Y43" s="2"/>
      <c r="Z43" s="2"/>
      <c r="AA43" s="2"/>
      <c r="AB43" s="2"/>
      <c r="AC43" s="2"/>
      <c r="AD43" s="2"/>
      <c r="AE43" s="2"/>
      <c r="AF43" s="2"/>
      <c r="AG43" s="2"/>
      <c r="AH43" s="2"/>
      <c r="AI43" s="2"/>
      <c r="AJ43" s="2"/>
      <c r="AK43" s="2"/>
      <c r="AL43" s="2"/>
      <c r="AM43" s="2"/>
      <c r="AN43" s="2"/>
      <c r="AO43" s="2"/>
    </row>
    <row r="44">
      <c r="A44" s="18"/>
      <c r="B44" s="2"/>
      <c r="C44" s="18"/>
      <c r="D44" s="18"/>
      <c r="E44" s="18"/>
      <c r="F44" s="2"/>
      <c r="G44" s="2"/>
      <c r="H44" s="2"/>
      <c r="I44" s="2"/>
      <c r="J44" s="2"/>
      <c r="K44" s="2"/>
      <c r="L44" s="18"/>
      <c r="M44" s="2"/>
      <c r="N44" s="18"/>
      <c r="O44" s="18"/>
      <c r="P44" s="2"/>
      <c r="Q44" s="2"/>
      <c r="R44" s="2"/>
      <c r="S44" s="2"/>
      <c r="T44" s="2"/>
      <c r="U44" s="2"/>
      <c r="V44" s="2"/>
      <c r="W44" s="2"/>
      <c r="X44" s="2"/>
      <c r="Y44" s="2"/>
      <c r="Z44" s="2"/>
      <c r="AA44" s="2"/>
      <c r="AB44" s="2"/>
      <c r="AC44" s="2"/>
      <c r="AD44" s="2"/>
      <c r="AE44" s="2"/>
      <c r="AF44" s="2"/>
      <c r="AG44" s="2"/>
      <c r="AH44" s="2"/>
      <c r="AI44" s="2"/>
      <c r="AJ44" s="2"/>
      <c r="AK44" s="2"/>
      <c r="AL44" s="2"/>
      <c r="AM44" s="2"/>
      <c r="AN44" s="2"/>
      <c r="AO44" s="2"/>
    </row>
    <row r="45">
      <c r="A45" s="18"/>
      <c r="B45" s="2"/>
      <c r="C45" s="18"/>
      <c r="D45" s="18"/>
      <c r="E45" s="18"/>
      <c r="F45" s="2"/>
      <c r="G45" s="2"/>
      <c r="H45" s="2"/>
      <c r="I45" s="2"/>
      <c r="J45" s="2"/>
      <c r="K45" s="2"/>
      <c r="L45" s="18"/>
      <c r="M45" s="2"/>
      <c r="N45" s="18"/>
      <c r="O45" s="18"/>
      <c r="P45" s="2"/>
      <c r="Q45" s="2"/>
      <c r="R45" s="2"/>
      <c r="S45" s="2"/>
      <c r="T45" s="2"/>
      <c r="U45" s="2"/>
      <c r="V45" s="2"/>
      <c r="W45" s="2"/>
      <c r="X45" s="2"/>
      <c r="Y45" s="2"/>
      <c r="Z45" s="2"/>
      <c r="AA45" s="2"/>
      <c r="AB45" s="2"/>
      <c r="AC45" s="2"/>
      <c r="AD45" s="2"/>
      <c r="AE45" s="2"/>
      <c r="AF45" s="2"/>
      <c r="AG45" s="2"/>
      <c r="AH45" s="2"/>
      <c r="AI45" s="2"/>
      <c r="AJ45" s="2"/>
      <c r="AK45" s="2"/>
      <c r="AL45" s="2"/>
      <c r="AM45" s="2"/>
      <c r="AN45" s="2"/>
      <c r="AO45" s="2"/>
    </row>
    <row r="46">
      <c r="A46" s="18"/>
      <c r="B46" s="2"/>
      <c r="C46" s="18"/>
      <c r="D46" s="18"/>
      <c r="E46" s="18"/>
      <c r="F46" s="2"/>
      <c r="G46" s="2"/>
      <c r="H46" s="2"/>
      <c r="I46" s="2"/>
      <c r="J46" s="2"/>
      <c r="K46" s="2"/>
      <c r="L46" s="18"/>
      <c r="M46" s="2"/>
      <c r="N46" s="18"/>
      <c r="O46" s="18"/>
      <c r="P46" s="2"/>
      <c r="Q46" s="2"/>
      <c r="R46" s="2"/>
      <c r="S46" s="2"/>
      <c r="T46" s="2"/>
      <c r="U46" s="2"/>
      <c r="V46" s="2"/>
      <c r="W46" s="2"/>
      <c r="X46" s="2"/>
      <c r="Y46" s="2"/>
      <c r="Z46" s="2"/>
      <c r="AA46" s="2"/>
      <c r="AB46" s="2"/>
      <c r="AC46" s="2"/>
      <c r="AD46" s="2"/>
      <c r="AE46" s="2"/>
      <c r="AF46" s="2"/>
      <c r="AG46" s="2"/>
      <c r="AH46" s="2"/>
      <c r="AI46" s="2"/>
      <c r="AJ46" s="2"/>
      <c r="AK46" s="2"/>
      <c r="AL46" s="2"/>
      <c r="AM46" s="2"/>
      <c r="AN46" s="2"/>
      <c r="AO46" s="2"/>
    </row>
    <row r="47">
      <c r="A47" s="18"/>
      <c r="B47" s="2"/>
      <c r="C47" s="18"/>
      <c r="D47" s="18"/>
      <c r="E47" s="18"/>
      <c r="F47" s="2"/>
      <c r="G47" s="2"/>
      <c r="H47" s="2"/>
      <c r="I47" s="2"/>
      <c r="J47" s="2"/>
      <c r="K47" s="2"/>
      <c r="L47" s="18"/>
      <c r="M47" s="2"/>
      <c r="N47" s="18"/>
      <c r="O47" s="18"/>
      <c r="P47" s="2"/>
      <c r="Q47" s="2"/>
      <c r="R47" s="2"/>
      <c r="S47" s="2"/>
      <c r="T47" s="2"/>
      <c r="U47" s="2"/>
      <c r="V47" s="2"/>
      <c r="W47" s="2"/>
      <c r="X47" s="2"/>
      <c r="Y47" s="2"/>
      <c r="Z47" s="2"/>
      <c r="AA47" s="2"/>
      <c r="AB47" s="2"/>
      <c r="AC47" s="2"/>
      <c r="AD47" s="2"/>
      <c r="AE47" s="2"/>
      <c r="AF47" s="2"/>
      <c r="AG47" s="2"/>
      <c r="AH47" s="2"/>
      <c r="AI47" s="2"/>
      <c r="AJ47" s="2"/>
      <c r="AK47" s="2"/>
      <c r="AL47" s="2"/>
      <c r="AM47" s="2"/>
      <c r="AN47" s="2"/>
      <c r="AO47" s="2"/>
    </row>
    <row r="48">
      <c r="A48" s="18"/>
      <c r="B48" s="2"/>
      <c r="C48" s="18"/>
      <c r="D48" s="18"/>
      <c r="E48" s="18"/>
      <c r="F48" s="2"/>
      <c r="G48" s="2"/>
      <c r="H48" s="2"/>
      <c r="I48" s="2"/>
      <c r="J48" s="2"/>
      <c r="K48" s="2"/>
      <c r="L48" s="18"/>
      <c r="M48" s="2"/>
      <c r="N48" s="18"/>
      <c r="O48" s="18"/>
      <c r="P48" s="2"/>
      <c r="Q48" s="2"/>
      <c r="R48" s="2"/>
      <c r="S48" s="2"/>
      <c r="T48" s="2"/>
      <c r="U48" s="2"/>
      <c r="V48" s="2"/>
      <c r="W48" s="2"/>
      <c r="X48" s="2"/>
      <c r="Y48" s="2"/>
      <c r="Z48" s="2"/>
      <c r="AA48" s="2"/>
      <c r="AB48" s="2"/>
      <c r="AC48" s="2"/>
      <c r="AD48" s="2"/>
      <c r="AE48" s="2"/>
      <c r="AF48" s="2"/>
      <c r="AG48" s="2"/>
      <c r="AH48" s="2"/>
      <c r="AI48" s="2"/>
      <c r="AJ48" s="2"/>
      <c r="AK48" s="2"/>
      <c r="AL48" s="2"/>
      <c r="AM48" s="2"/>
      <c r="AN48" s="2"/>
      <c r="AO48" s="2"/>
    </row>
    <row r="49">
      <c r="A49" s="18"/>
      <c r="B49" s="2"/>
      <c r="C49" s="18"/>
      <c r="D49" s="18"/>
      <c r="E49" s="18"/>
      <c r="F49" s="2"/>
      <c r="G49" s="2"/>
      <c r="H49" s="2"/>
      <c r="I49" s="2"/>
      <c r="J49" s="2"/>
      <c r="K49" s="2"/>
      <c r="L49" s="18"/>
      <c r="M49" s="2"/>
      <c r="N49" s="18"/>
      <c r="O49" s="18"/>
      <c r="P49" s="2"/>
      <c r="Q49" s="2"/>
      <c r="R49" s="2"/>
      <c r="S49" s="2"/>
      <c r="T49" s="2"/>
      <c r="U49" s="2"/>
      <c r="V49" s="2"/>
      <c r="W49" s="2"/>
      <c r="X49" s="2"/>
      <c r="Y49" s="2"/>
      <c r="Z49" s="2"/>
      <c r="AA49" s="2"/>
      <c r="AB49" s="2"/>
      <c r="AC49" s="2"/>
      <c r="AD49" s="2"/>
      <c r="AE49" s="2"/>
      <c r="AF49" s="2"/>
      <c r="AG49" s="2"/>
      <c r="AH49" s="2"/>
      <c r="AI49" s="2"/>
      <c r="AJ49" s="2"/>
      <c r="AK49" s="2"/>
      <c r="AL49" s="2"/>
      <c r="AM49" s="2"/>
      <c r="AN49" s="2"/>
      <c r="AO49" s="2"/>
    </row>
    <row r="50">
      <c r="A50" s="18"/>
      <c r="B50" s="2"/>
      <c r="C50" s="18"/>
      <c r="D50" s="18"/>
      <c r="E50" s="18"/>
      <c r="F50" s="2"/>
      <c r="G50" s="2"/>
      <c r="H50" s="2"/>
      <c r="I50" s="2"/>
      <c r="J50" s="2"/>
      <c r="K50" s="2"/>
      <c r="L50" s="18"/>
      <c r="M50" s="2"/>
      <c r="N50" s="18"/>
      <c r="O50" s="18"/>
      <c r="P50" s="2"/>
      <c r="Q50" s="2"/>
      <c r="R50" s="2"/>
      <c r="S50" s="2"/>
      <c r="T50" s="2"/>
      <c r="U50" s="2"/>
      <c r="V50" s="2"/>
      <c r="W50" s="2"/>
      <c r="X50" s="2"/>
      <c r="Y50" s="2"/>
      <c r="Z50" s="2"/>
      <c r="AA50" s="2"/>
      <c r="AB50" s="2"/>
      <c r="AC50" s="2"/>
      <c r="AD50" s="2"/>
      <c r="AE50" s="2"/>
      <c r="AF50" s="2"/>
      <c r="AG50" s="2"/>
      <c r="AH50" s="2"/>
      <c r="AI50" s="2"/>
      <c r="AJ50" s="2"/>
      <c r="AK50" s="2"/>
      <c r="AL50" s="2"/>
      <c r="AM50" s="2"/>
      <c r="AN50" s="2"/>
      <c r="AO50" s="2"/>
    </row>
    <row r="51">
      <c r="A51" s="18"/>
      <c r="B51" s="2"/>
      <c r="C51" s="18"/>
      <c r="D51" s="18"/>
      <c r="E51" s="18"/>
      <c r="F51" s="2"/>
      <c r="G51" s="2"/>
      <c r="H51" s="2"/>
      <c r="I51" s="2"/>
      <c r="J51" s="2"/>
      <c r="K51" s="2"/>
      <c r="L51" s="18"/>
      <c r="M51" s="2"/>
      <c r="N51" s="18"/>
      <c r="O51" s="18"/>
      <c r="P51" s="2"/>
      <c r="Q51" s="2"/>
      <c r="R51" s="2"/>
      <c r="S51" s="2"/>
      <c r="T51" s="2"/>
      <c r="U51" s="2"/>
      <c r="V51" s="2"/>
      <c r="W51" s="2"/>
      <c r="X51" s="2"/>
      <c r="Y51" s="2"/>
      <c r="Z51" s="2"/>
      <c r="AA51" s="2"/>
      <c r="AB51" s="2"/>
      <c r="AC51" s="2"/>
      <c r="AD51" s="2"/>
      <c r="AE51" s="2"/>
      <c r="AF51" s="2"/>
      <c r="AG51" s="2"/>
      <c r="AH51" s="2"/>
      <c r="AI51" s="2"/>
      <c r="AJ51" s="2"/>
      <c r="AK51" s="2"/>
      <c r="AL51" s="2"/>
      <c r="AM51" s="2"/>
      <c r="AN51" s="2"/>
      <c r="AO51" s="2"/>
    </row>
    <row r="52">
      <c r="A52" s="18"/>
      <c r="B52" s="2"/>
      <c r="C52" s="18"/>
      <c r="D52" s="18"/>
      <c r="E52" s="18"/>
      <c r="F52" s="2"/>
      <c r="G52" s="2"/>
      <c r="H52" s="2"/>
      <c r="I52" s="2"/>
      <c r="J52" s="2"/>
      <c r="K52" s="2"/>
      <c r="L52" s="18"/>
      <c r="M52" s="2"/>
      <c r="N52" s="18"/>
      <c r="O52" s="18"/>
      <c r="P52" s="2"/>
      <c r="Q52" s="2"/>
      <c r="R52" s="2"/>
      <c r="S52" s="2"/>
      <c r="T52" s="2"/>
      <c r="U52" s="2"/>
      <c r="V52" s="2"/>
      <c r="W52" s="2"/>
      <c r="X52" s="2"/>
      <c r="Y52" s="2"/>
      <c r="Z52" s="2"/>
      <c r="AA52" s="2"/>
      <c r="AB52" s="2"/>
      <c r="AC52" s="2"/>
      <c r="AD52" s="2"/>
      <c r="AE52" s="2"/>
      <c r="AF52" s="2"/>
      <c r="AG52" s="2"/>
      <c r="AH52" s="2"/>
      <c r="AI52" s="2"/>
      <c r="AJ52" s="2"/>
      <c r="AK52" s="2"/>
      <c r="AL52" s="2"/>
      <c r="AM52" s="2"/>
      <c r="AN52" s="2"/>
      <c r="AO52" s="2"/>
    </row>
    <row r="53">
      <c r="A53" s="18"/>
      <c r="B53" s="2"/>
      <c r="C53" s="18"/>
      <c r="D53" s="18"/>
      <c r="E53" s="18"/>
      <c r="F53" s="2"/>
      <c r="G53" s="2"/>
      <c r="H53" s="2"/>
      <c r="I53" s="2"/>
      <c r="J53" s="2"/>
      <c r="K53" s="2"/>
      <c r="L53" s="18"/>
      <c r="M53" s="2"/>
      <c r="N53" s="18"/>
      <c r="O53" s="18"/>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c r="A54" s="18"/>
      <c r="B54" s="2"/>
      <c r="C54" s="18"/>
      <c r="D54" s="18"/>
      <c r="E54" s="18"/>
      <c r="F54" s="2"/>
      <c r="G54" s="2"/>
      <c r="H54" s="2"/>
      <c r="I54" s="2"/>
      <c r="J54" s="2"/>
      <c r="K54" s="2"/>
      <c r="L54" s="18"/>
      <c r="M54" s="2"/>
      <c r="N54" s="18"/>
      <c r="O54" s="18"/>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c r="A55" s="18"/>
      <c r="B55" s="2"/>
      <c r="C55" s="18"/>
      <c r="D55" s="18"/>
      <c r="E55" s="18"/>
      <c r="F55" s="2"/>
      <c r="G55" s="2"/>
      <c r="H55" s="2"/>
      <c r="I55" s="2"/>
      <c r="J55" s="2"/>
      <c r="K55" s="2"/>
      <c r="L55" s="18"/>
      <c r="M55" s="2"/>
      <c r="N55" s="18"/>
      <c r="O55" s="18"/>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c r="A56" s="18"/>
      <c r="B56" s="2"/>
      <c r="C56" s="18"/>
      <c r="D56" s="18"/>
      <c r="E56" s="18"/>
      <c r="F56" s="2"/>
      <c r="G56" s="2"/>
      <c r="H56" s="2"/>
      <c r="I56" s="2"/>
      <c r="J56" s="2"/>
      <c r="K56" s="2"/>
      <c r="L56" s="18"/>
      <c r="M56" s="2"/>
      <c r="N56" s="18"/>
      <c r="O56" s="18"/>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c r="A57" s="18"/>
      <c r="B57" s="2"/>
      <c r="C57" s="18"/>
      <c r="D57" s="18"/>
      <c r="E57" s="18"/>
      <c r="F57" s="2"/>
      <c r="G57" s="2"/>
      <c r="H57" s="2"/>
      <c r="I57" s="2"/>
      <c r="J57" s="2"/>
      <c r="K57" s="2"/>
      <c r="L57" s="18"/>
      <c r="M57" s="2"/>
      <c r="N57" s="18"/>
      <c r="O57" s="18"/>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c r="A58" s="18"/>
      <c r="B58" s="2"/>
      <c r="C58" s="18"/>
      <c r="D58" s="18"/>
      <c r="E58" s="18"/>
      <c r="F58" s="2"/>
      <c r="G58" s="2"/>
      <c r="H58" s="2"/>
      <c r="I58" s="2"/>
      <c r="J58" s="2"/>
      <c r="K58" s="2"/>
      <c r="L58" s="18"/>
      <c r="M58" s="2"/>
      <c r="N58" s="18"/>
      <c r="O58" s="18"/>
      <c r="P58" s="2"/>
      <c r="Q58" s="2"/>
      <c r="R58" s="2"/>
      <c r="S58" s="2"/>
      <c r="T58" s="2"/>
      <c r="U58" s="2"/>
      <c r="V58" s="2"/>
      <c r="W58" s="2"/>
      <c r="X58" s="2"/>
      <c r="Y58" s="2"/>
      <c r="Z58" s="2"/>
      <c r="AA58" s="2"/>
      <c r="AB58" s="2"/>
      <c r="AC58" s="2"/>
      <c r="AD58" s="2"/>
      <c r="AE58" s="2"/>
      <c r="AF58" s="2"/>
      <c r="AG58" s="2"/>
      <c r="AH58" s="2"/>
      <c r="AI58" s="2"/>
      <c r="AJ58" s="2"/>
      <c r="AK58" s="2"/>
      <c r="AL58" s="2"/>
      <c r="AM58" s="2"/>
      <c r="AN58" s="2"/>
      <c r="AO58" s="2"/>
    </row>
    <row r="59">
      <c r="A59" s="18"/>
      <c r="B59" s="2"/>
      <c r="C59" s="18"/>
      <c r="D59" s="18"/>
      <c r="E59" s="18"/>
      <c r="F59" s="2"/>
      <c r="G59" s="2"/>
      <c r="H59" s="2"/>
      <c r="I59" s="2"/>
      <c r="J59" s="2"/>
      <c r="K59" s="2"/>
      <c r="L59" s="18"/>
      <c r="M59" s="2"/>
      <c r="N59" s="18"/>
      <c r="O59" s="18"/>
      <c r="P59" s="2"/>
      <c r="Q59" s="2"/>
      <c r="R59" s="2"/>
      <c r="S59" s="2"/>
      <c r="T59" s="2"/>
      <c r="U59" s="2"/>
      <c r="V59" s="2"/>
      <c r="W59" s="2"/>
      <c r="X59" s="2"/>
      <c r="Y59" s="2"/>
      <c r="Z59" s="2"/>
      <c r="AA59" s="2"/>
      <c r="AB59" s="2"/>
      <c r="AC59" s="2"/>
      <c r="AD59" s="2"/>
      <c r="AE59" s="2"/>
      <c r="AF59" s="2"/>
      <c r="AG59" s="2"/>
      <c r="AH59" s="2"/>
      <c r="AI59" s="2"/>
      <c r="AJ59" s="2"/>
      <c r="AK59" s="2"/>
      <c r="AL59" s="2"/>
      <c r="AM59" s="2"/>
      <c r="AN59" s="2"/>
      <c r="AO59" s="2"/>
    </row>
    <row r="60">
      <c r="A60" s="18"/>
      <c r="B60" s="2"/>
      <c r="C60" s="18"/>
      <c r="D60" s="18"/>
      <c r="E60" s="18"/>
      <c r="F60" s="2"/>
      <c r="G60" s="2"/>
      <c r="H60" s="2"/>
      <c r="I60" s="2"/>
      <c r="J60" s="2"/>
      <c r="K60" s="2"/>
      <c r="L60" s="18"/>
      <c r="M60" s="2"/>
      <c r="N60" s="18"/>
      <c r="O60" s="18"/>
      <c r="P60" s="2"/>
      <c r="Q60" s="2"/>
      <c r="R60" s="2"/>
      <c r="S60" s="2"/>
      <c r="T60" s="2"/>
      <c r="U60" s="2"/>
      <c r="V60" s="2"/>
      <c r="W60" s="2"/>
      <c r="X60" s="2"/>
      <c r="Y60" s="2"/>
      <c r="Z60" s="2"/>
      <c r="AA60" s="2"/>
      <c r="AB60" s="2"/>
      <c r="AC60" s="2"/>
      <c r="AD60" s="2"/>
      <c r="AE60" s="2"/>
      <c r="AF60" s="2"/>
      <c r="AG60" s="2"/>
      <c r="AH60" s="2"/>
      <c r="AI60" s="2"/>
      <c r="AJ60" s="2"/>
      <c r="AK60" s="2"/>
      <c r="AL60" s="2"/>
      <c r="AM60" s="2"/>
      <c r="AN60" s="2"/>
      <c r="AO60" s="2"/>
    </row>
    <row r="61">
      <c r="A61" s="18"/>
      <c r="B61" s="2"/>
      <c r="C61" s="18"/>
      <c r="D61" s="18"/>
      <c r="E61" s="18"/>
      <c r="F61" s="2"/>
      <c r="G61" s="2"/>
      <c r="H61" s="2"/>
      <c r="I61" s="2"/>
      <c r="J61" s="2"/>
      <c r="K61" s="2"/>
      <c r="L61" s="18"/>
      <c r="M61" s="2"/>
      <c r="N61" s="18"/>
      <c r="O61" s="18"/>
      <c r="P61" s="2"/>
      <c r="Q61" s="2"/>
      <c r="R61" s="2"/>
      <c r="S61" s="2"/>
      <c r="T61" s="2"/>
      <c r="U61" s="2"/>
      <c r="V61" s="2"/>
      <c r="W61" s="2"/>
      <c r="X61" s="2"/>
      <c r="Y61" s="2"/>
      <c r="Z61" s="2"/>
      <c r="AA61" s="2"/>
      <c r="AB61" s="2"/>
      <c r="AC61" s="2"/>
      <c r="AD61" s="2"/>
      <c r="AE61" s="2"/>
      <c r="AF61" s="2"/>
      <c r="AG61" s="2"/>
      <c r="AH61" s="2"/>
      <c r="AI61" s="2"/>
      <c r="AJ61" s="2"/>
      <c r="AK61" s="2"/>
      <c r="AL61" s="2"/>
      <c r="AM61" s="2"/>
      <c r="AN61" s="2"/>
      <c r="AO61" s="2"/>
    </row>
    <row r="62">
      <c r="A62" s="18"/>
      <c r="B62" s="2"/>
      <c r="C62" s="18"/>
      <c r="D62" s="18"/>
      <c r="E62" s="18"/>
      <c r="F62" s="2"/>
      <c r="G62" s="2"/>
      <c r="H62" s="2"/>
      <c r="I62" s="2"/>
      <c r="J62" s="2"/>
      <c r="K62" s="2"/>
      <c r="L62" s="18"/>
      <c r="M62" s="2"/>
      <c r="N62" s="18"/>
      <c r="O62" s="18"/>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c r="A63" s="18"/>
      <c r="B63" s="2"/>
      <c r="C63" s="18"/>
      <c r="D63" s="18"/>
      <c r="E63" s="18"/>
      <c r="F63" s="2"/>
      <c r="G63" s="2"/>
      <c r="H63" s="2"/>
      <c r="I63" s="2"/>
      <c r="J63" s="2"/>
      <c r="K63" s="2"/>
      <c r="L63" s="18"/>
      <c r="M63" s="2"/>
      <c r="N63" s="18"/>
      <c r="O63" s="18"/>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c r="A64" s="18"/>
      <c r="B64" s="2"/>
      <c r="C64" s="18"/>
      <c r="D64" s="18"/>
      <c r="E64" s="18"/>
      <c r="F64" s="2"/>
      <c r="G64" s="2"/>
      <c r="H64" s="2"/>
      <c r="I64" s="2"/>
      <c r="J64" s="2"/>
      <c r="K64" s="2"/>
      <c r="L64" s="18"/>
      <c r="M64" s="2"/>
      <c r="N64" s="18"/>
      <c r="O64" s="18"/>
      <c r="P64" s="2"/>
      <c r="Q64" s="2"/>
      <c r="R64" s="2"/>
      <c r="S64" s="2"/>
      <c r="T64" s="2"/>
      <c r="U64" s="2"/>
      <c r="V64" s="2"/>
      <c r="W64" s="2"/>
      <c r="X64" s="2"/>
      <c r="Y64" s="2"/>
      <c r="Z64" s="2"/>
      <c r="AA64" s="2"/>
      <c r="AB64" s="2"/>
      <c r="AC64" s="2"/>
      <c r="AD64" s="2"/>
      <c r="AE64" s="2"/>
      <c r="AF64" s="2"/>
      <c r="AG64" s="2"/>
      <c r="AH64" s="2"/>
      <c r="AI64" s="2"/>
      <c r="AJ64" s="2"/>
      <c r="AK64" s="2"/>
      <c r="AL64" s="2"/>
      <c r="AM64" s="2"/>
      <c r="AN64" s="2"/>
      <c r="AO64" s="2"/>
    </row>
    <row r="65">
      <c r="A65" s="18"/>
      <c r="B65" s="2"/>
      <c r="C65" s="18"/>
      <c r="D65" s="18"/>
      <c r="E65" s="18"/>
      <c r="F65" s="2"/>
      <c r="G65" s="2"/>
      <c r="H65" s="2"/>
      <c r="I65" s="2"/>
      <c r="J65" s="2"/>
      <c r="K65" s="2"/>
      <c r="L65" s="18"/>
      <c r="M65" s="2"/>
      <c r="N65" s="18"/>
      <c r="O65" s="18"/>
      <c r="P65" s="2"/>
      <c r="Q65" s="2"/>
      <c r="R65" s="2"/>
      <c r="S65" s="2"/>
      <c r="T65" s="2"/>
      <c r="U65" s="2"/>
      <c r="V65" s="2"/>
      <c r="W65" s="2"/>
      <c r="X65" s="2"/>
      <c r="Y65" s="2"/>
      <c r="Z65" s="2"/>
      <c r="AA65" s="2"/>
      <c r="AB65" s="2"/>
      <c r="AC65" s="2"/>
      <c r="AD65" s="2"/>
      <c r="AE65" s="2"/>
      <c r="AF65" s="2"/>
      <c r="AG65" s="2"/>
      <c r="AH65" s="2"/>
      <c r="AI65" s="2"/>
      <c r="AJ65" s="2"/>
      <c r="AK65" s="2"/>
      <c r="AL65" s="2"/>
      <c r="AM65" s="2"/>
      <c r="AN65" s="2"/>
      <c r="AO65" s="2"/>
    </row>
    <row r="66">
      <c r="A66" s="18"/>
      <c r="B66" s="2"/>
      <c r="C66" s="18"/>
      <c r="D66" s="18"/>
      <c r="E66" s="18"/>
      <c r="F66" s="2"/>
      <c r="G66" s="2"/>
      <c r="H66" s="2"/>
      <c r="I66" s="2"/>
      <c r="J66" s="2"/>
      <c r="K66" s="2"/>
      <c r="L66" s="18"/>
      <c r="M66" s="2"/>
      <c r="N66" s="18"/>
      <c r="O66" s="18"/>
      <c r="P66" s="2"/>
      <c r="Q66" s="2"/>
      <c r="R66" s="2"/>
      <c r="S66" s="2"/>
      <c r="T66" s="2"/>
      <c r="U66" s="2"/>
      <c r="V66" s="2"/>
      <c r="W66" s="2"/>
      <c r="X66" s="2"/>
      <c r="Y66" s="2"/>
      <c r="Z66" s="2"/>
      <c r="AA66" s="2"/>
      <c r="AB66" s="2"/>
      <c r="AC66" s="2"/>
      <c r="AD66" s="2"/>
      <c r="AE66" s="2"/>
      <c r="AF66" s="2"/>
      <c r="AG66" s="2"/>
      <c r="AH66" s="2"/>
      <c r="AI66" s="2"/>
      <c r="AJ66" s="2"/>
      <c r="AK66" s="2"/>
      <c r="AL66" s="2"/>
      <c r="AM66" s="2"/>
      <c r="AN66" s="2"/>
      <c r="AO66" s="2"/>
    </row>
    <row r="67">
      <c r="A67" s="18"/>
      <c r="B67" s="2"/>
      <c r="C67" s="18"/>
      <c r="D67" s="18"/>
      <c r="E67" s="18"/>
      <c r="F67" s="2"/>
      <c r="G67" s="2"/>
      <c r="H67" s="2"/>
      <c r="I67" s="2"/>
      <c r="J67" s="2"/>
      <c r="K67" s="2"/>
      <c r="L67" s="18"/>
      <c r="M67" s="2"/>
      <c r="N67" s="18"/>
      <c r="O67" s="18"/>
      <c r="P67" s="2"/>
      <c r="Q67" s="2"/>
      <c r="R67" s="2"/>
      <c r="S67" s="2"/>
      <c r="T67" s="2"/>
      <c r="U67" s="2"/>
      <c r="V67" s="2"/>
      <c r="W67" s="2"/>
      <c r="X67" s="2"/>
      <c r="Y67" s="2"/>
      <c r="Z67" s="2"/>
      <c r="AA67" s="2"/>
      <c r="AB67" s="2"/>
      <c r="AC67" s="2"/>
      <c r="AD67" s="2"/>
      <c r="AE67" s="2"/>
      <c r="AF67" s="2"/>
      <c r="AG67" s="2"/>
      <c r="AH67" s="2"/>
      <c r="AI67" s="2"/>
      <c r="AJ67" s="2"/>
      <c r="AK67" s="2"/>
      <c r="AL67" s="2"/>
      <c r="AM67" s="2"/>
      <c r="AN67" s="2"/>
      <c r="AO67" s="2"/>
    </row>
    <row r="68">
      <c r="A68" s="18"/>
      <c r="B68" s="2"/>
      <c r="C68" s="18"/>
      <c r="D68" s="18"/>
      <c r="E68" s="18"/>
      <c r="F68" s="2"/>
      <c r="G68" s="2"/>
      <c r="H68" s="2"/>
      <c r="I68" s="2"/>
      <c r="J68" s="2"/>
      <c r="K68" s="2"/>
      <c r="L68" s="18"/>
      <c r="M68" s="2"/>
      <c r="N68" s="18"/>
      <c r="O68" s="18"/>
      <c r="P68" s="2"/>
      <c r="Q68" s="2"/>
      <c r="R68" s="2"/>
      <c r="S68" s="2"/>
      <c r="T68" s="2"/>
      <c r="U68" s="2"/>
      <c r="V68" s="2"/>
      <c r="W68" s="2"/>
      <c r="X68" s="2"/>
      <c r="Y68" s="2"/>
      <c r="Z68" s="2"/>
      <c r="AA68" s="2"/>
      <c r="AB68" s="2"/>
      <c r="AC68" s="2"/>
      <c r="AD68" s="2"/>
      <c r="AE68" s="2"/>
      <c r="AF68" s="2"/>
      <c r="AG68" s="2"/>
      <c r="AH68" s="2"/>
      <c r="AI68" s="2"/>
      <c r="AJ68" s="2"/>
      <c r="AK68" s="2"/>
      <c r="AL68" s="2"/>
      <c r="AM68" s="2"/>
      <c r="AN68" s="2"/>
      <c r="AO68" s="2"/>
    </row>
    <row r="69">
      <c r="A69" s="18"/>
      <c r="B69" s="2"/>
      <c r="C69" s="18"/>
      <c r="D69" s="18"/>
      <c r="E69" s="18"/>
      <c r="F69" s="2"/>
      <c r="G69" s="2"/>
      <c r="H69" s="2"/>
      <c r="I69" s="2"/>
      <c r="J69" s="2"/>
      <c r="K69" s="2"/>
      <c r="L69" s="18"/>
      <c r="M69" s="2"/>
      <c r="N69" s="18"/>
      <c r="O69" s="18"/>
      <c r="P69" s="2"/>
      <c r="Q69" s="2"/>
      <c r="R69" s="2"/>
      <c r="S69" s="2"/>
      <c r="T69" s="2"/>
      <c r="U69" s="2"/>
      <c r="V69" s="2"/>
      <c r="W69" s="2"/>
      <c r="X69" s="2"/>
      <c r="Y69" s="2"/>
      <c r="Z69" s="2"/>
      <c r="AA69" s="2"/>
      <c r="AB69" s="2"/>
      <c r="AC69" s="2"/>
      <c r="AD69" s="2"/>
      <c r="AE69" s="2"/>
      <c r="AF69" s="2"/>
      <c r="AG69" s="2"/>
      <c r="AH69" s="2"/>
      <c r="AI69" s="2"/>
      <c r="AJ69" s="2"/>
      <c r="AK69" s="2"/>
      <c r="AL69" s="2"/>
      <c r="AM69" s="2"/>
      <c r="AN69" s="2"/>
      <c r="AO69" s="2"/>
    </row>
    <row r="70">
      <c r="A70" s="18"/>
      <c r="B70" s="2"/>
      <c r="C70" s="18"/>
      <c r="D70" s="18"/>
      <c r="E70" s="18"/>
      <c r="F70" s="2"/>
      <c r="G70" s="2"/>
      <c r="H70" s="2"/>
      <c r="I70" s="2"/>
      <c r="J70" s="2"/>
      <c r="K70" s="2"/>
      <c r="L70" s="18"/>
      <c r="M70" s="2"/>
      <c r="N70" s="18"/>
      <c r="O70" s="18"/>
      <c r="P70" s="2"/>
      <c r="Q70" s="2"/>
      <c r="R70" s="2"/>
      <c r="S70" s="2"/>
      <c r="T70" s="2"/>
      <c r="U70" s="2"/>
      <c r="V70" s="2"/>
      <c r="W70" s="2"/>
      <c r="X70" s="2"/>
      <c r="Y70" s="2"/>
      <c r="Z70" s="2"/>
      <c r="AA70" s="2"/>
      <c r="AB70" s="2"/>
      <c r="AC70" s="2"/>
      <c r="AD70" s="2"/>
      <c r="AE70" s="2"/>
      <c r="AF70" s="2"/>
      <c r="AG70" s="2"/>
      <c r="AH70" s="2"/>
      <c r="AI70" s="2"/>
      <c r="AJ70" s="2"/>
      <c r="AK70" s="2"/>
      <c r="AL70" s="2"/>
      <c r="AM70" s="2"/>
      <c r="AN70" s="2"/>
      <c r="AO70" s="2"/>
    </row>
    <row r="71">
      <c r="A71" s="18"/>
      <c r="B71" s="2"/>
      <c r="C71" s="18"/>
      <c r="D71" s="18"/>
      <c r="E71" s="18"/>
      <c r="F71" s="2"/>
      <c r="G71" s="2"/>
      <c r="H71" s="2"/>
      <c r="I71" s="2"/>
      <c r="J71" s="2"/>
      <c r="K71" s="2"/>
      <c r="L71" s="18"/>
      <c r="M71" s="2"/>
      <c r="N71" s="18"/>
      <c r="O71" s="18"/>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c r="A72" s="18"/>
      <c r="B72" s="2"/>
      <c r="C72" s="18"/>
      <c r="D72" s="18"/>
      <c r="E72" s="18"/>
      <c r="F72" s="2"/>
      <c r="G72" s="2"/>
      <c r="H72" s="2"/>
      <c r="I72" s="2"/>
      <c r="J72" s="2"/>
      <c r="K72" s="2"/>
      <c r="L72" s="18"/>
      <c r="M72" s="2"/>
      <c r="N72" s="18"/>
      <c r="O72" s="18"/>
      <c r="P72" s="2"/>
      <c r="Q72" s="2"/>
      <c r="R72" s="2"/>
      <c r="S72" s="2"/>
      <c r="T72" s="2"/>
      <c r="U72" s="2"/>
      <c r="V72" s="2"/>
      <c r="W72" s="2"/>
      <c r="X72" s="2"/>
      <c r="Y72" s="2"/>
      <c r="Z72" s="2"/>
      <c r="AA72" s="2"/>
      <c r="AB72" s="2"/>
      <c r="AC72" s="2"/>
      <c r="AD72" s="2"/>
      <c r="AE72" s="2"/>
      <c r="AF72" s="2"/>
      <c r="AG72" s="2"/>
      <c r="AH72" s="2"/>
      <c r="AI72" s="2"/>
      <c r="AJ72" s="2"/>
      <c r="AK72" s="2"/>
      <c r="AL72" s="2"/>
      <c r="AM72" s="2"/>
      <c r="AN72" s="2"/>
      <c r="AO72" s="2"/>
    </row>
    <row r="73">
      <c r="A73" s="18"/>
      <c r="B73" s="2"/>
      <c r="C73" s="18"/>
      <c r="D73" s="18"/>
      <c r="E73" s="18"/>
      <c r="F73" s="2"/>
      <c r="G73" s="2"/>
      <c r="H73" s="2"/>
      <c r="I73" s="2"/>
      <c r="J73" s="2"/>
      <c r="K73" s="2"/>
      <c r="L73" s="18"/>
      <c r="M73" s="2"/>
      <c r="N73" s="18"/>
      <c r="O73" s="18"/>
      <c r="P73" s="2"/>
      <c r="Q73" s="2"/>
      <c r="R73" s="2"/>
      <c r="S73" s="2"/>
      <c r="T73" s="2"/>
      <c r="U73" s="2"/>
      <c r="V73" s="2"/>
      <c r="W73" s="2"/>
      <c r="X73" s="2"/>
      <c r="Y73" s="2"/>
      <c r="Z73" s="2"/>
      <c r="AA73" s="2"/>
      <c r="AB73" s="2"/>
      <c r="AC73" s="2"/>
      <c r="AD73" s="2"/>
      <c r="AE73" s="2"/>
      <c r="AF73" s="2"/>
      <c r="AG73" s="2"/>
      <c r="AH73" s="2"/>
      <c r="AI73" s="2"/>
      <c r="AJ73" s="2"/>
      <c r="AK73" s="2"/>
      <c r="AL73" s="2"/>
      <c r="AM73" s="2"/>
      <c r="AN73" s="2"/>
      <c r="AO73" s="2"/>
    </row>
    <row r="74">
      <c r="A74" s="18"/>
      <c r="B74" s="2"/>
      <c r="C74" s="18"/>
      <c r="D74" s="18"/>
      <c r="E74" s="18"/>
      <c r="F74" s="2"/>
      <c r="G74" s="2"/>
      <c r="H74" s="2"/>
      <c r="I74" s="2"/>
      <c r="J74" s="2"/>
      <c r="K74" s="2"/>
      <c r="L74" s="18"/>
      <c r="M74" s="2"/>
      <c r="N74" s="18"/>
      <c r="O74" s="18"/>
      <c r="P74" s="2"/>
      <c r="Q74" s="2"/>
      <c r="R74" s="2"/>
      <c r="S74" s="2"/>
      <c r="T74" s="2"/>
      <c r="U74" s="2"/>
      <c r="V74" s="2"/>
      <c r="W74" s="2"/>
      <c r="X74" s="2"/>
      <c r="Y74" s="2"/>
      <c r="Z74" s="2"/>
      <c r="AA74" s="2"/>
      <c r="AB74" s="2"/>
      <c r="AC74" s="2"/>
      <c r="AD74" s="2"/>
      <c r="AE74" s="2"/>
      <c r="AF74" s="2"/>
      <c r="AG74" s="2"/>
      <c r="AH74" s="2"/>
      <c r="AI74" s="2"/>
      <c r="AJ74" s="2"/>
      <c r="AK74" s="2"/>
      <c r="AL74" s="2"/>
      <c r="AM74" s="2"/>
      <c r="AN74" s="2"/>
      <c r="AO74" s="2"/>
    </row>
    <row r="75">
      <c r="A75" s="18"/>
      <c r="B75" s="2"/>
      <c r="C75" s="18"/>
      <c r="D75" s="18"/>
      <c r="E75" s="18"/>
      <c r="F75" s="2"/>
      <c r="G75" s="2"/>
      <c r="H75" s="2"/>
      <c r="I75" s="2"/>
      <c r="J75" s="2"/>
      <c r="K75" s="2"/>
      <c r="L75" s="18"/>
      <c r="M75" s="2"/>
      <c r="N75" s="18"/>
      <c r="O75" s="18"/>
      <c r="P75" s="2"/>
      <c r="Q75" s="2"/>
      <c r="R75" s="2"/>
      <c r="S75" s="2"/>
      <c r="T75" s="2"/>
      <c r="U75" s="2"/>
      <c r="V75" s="2"/>
      <c r="W75" s="2"/>
      <c r="X75" s="2"/>
      <c r="Y75" s="2"/>
      <c r="Z75" s="2"/>
      <c r="AA75" s="2"/>
      <c r="AB75" s="2"/>
      <c r="AC75" s="2"/>
      <c r="AD75" s="2"/>
      <c r="AE75" s="2"/>
      <c r="AF75" s="2"/>
      <c r="AG75" s="2"/>
      <c r="AH75" s="2"/>
      <c r="AI75" s="2"/>
      <c r="AJ75" s="2"/>
      <c r="AK75" s="2"/>
      <c r="AL75" s="2"/>
      <c r="AM75" s="2"/>
      <c r="AN75" s="2"/>
      <c r="AO75" s="2"/>
    </row>
    <row r="76">
      <c r="A76" s="18"/>
      <c r="B76" s="2"/>
      <c r="C76" s="18"/>
      <c r="D76" s="18"/>
      <c r="E76" s="18"/>
      <c r="F76" s="2"/>
      <c r="G76" s="2"/>
      <c r="H76" s="2"/>
      <c r="I76" s="2"/>
      <c r="J76" s="2"/>
      <c r="K76" s="2"/>
      <c r="L76" s="18"/>
      <c r="M76" s="2"/>
      <c r="N76" s="18"/>
      <c r="O76" s="18"/>
      <c r="P76" s="2"/>
      <c r="Q76" s="2"/>
      <c r="R76" s="2"/>
      <c r="S76" s="2"/>
      <c r="T76" s="2"/>
      <c r="U76" s="2"/>
      <c r="V76" s="2"/>
      <c r="W76" s="2"/>
      <c r="X76" s="2"/>
      <c r="Y76" s="2"/>
      <c r="Z76" s="2"/>
      <c r="AA76" s="2"/>
      <c r="AB76" s="2"/>
      <c r="AC76" s="2"/>
      <c r="AD76" s="2"/>
      <c r="AE76" s="2"/>
      <c r="AF76" s="2"/>
      <c r="AG76" s="2"/>
      <c r="AH76" s="2"/>
      <c r="AI76" s="2"/>
      <c r="AJ76" s="2"/>
      <c r="AK76" s="2"/>
      <c r="AL76" s="2"/>
      <c r="AM76" s="2"/>
      <c r="AN76" s="2"/>
      <c r="AO76" s="2"/>
    </row>
    <row r="77">
      <c r="A77" s="18"/>
      <c r="B77" s="2"/>
      <c r="C77" s="18"/>
      <c r="D77" s="18"/>
      <c r="E77" s="18"/>
      <c r="F77" s="2"/>
      <c r="G77" s="2"/>
      <c r="H77" s="2"/>
      <c r="I77" s="2"/>
      <c r="J77" s="2"/>
      <c r="K77" s="2"/>
      <c r="L77" s="18"/>
      <c r="M77" s="2"/>
      <c r="N77" s="18"/>
      <c r="O77" s="18"/>
      <c r="P77" s="2"/>
      <c r="Q77" s="2"/>
      <c r="R77" s="2"/>
      <c r="S77" s="2"/>
      <c r="T77" s="2"/>
      <c r="U77" s="2"/>
      <c r="V77" s="2"/>
      <c r="W77" s="2"/>
      <c r="X77" s="2"/>
      <c r="Y77" s="2"/>
      <c r="Z77" s="2"/>
      <c r="AA77" s="2"/>
      <c r="AB77" s="2"/>
      <c r="AC77" s="2"/>
      <c r="AD77" s="2"/>
      <c r="AE77" s="2"/>
      <c r="AF77" s="2"/>
      <c r="AG77" s="2"/>
      <c r="AH77" s="2"/>
      <c r="AI77" s="2"/>
      <c r="AJ77" s="2"/>
      <c r="AK77" s="2"/>
      <c r="AL77" s="2"/>
      <c r="AM77" s="2"/>
      <c r="AN77" s="2"/>
      <c r="AO77" s="2"/>
    </row>
    <row r="78">
      <c r="A78" s="18"/>
      <c r="B78" s="2"/>
      <c r="C78" s="18"/>
      <c r="D78" s="18"/>
      <c r="E78" s="18"/>
      <c r="F78" s="2"/>
      <c r="G78" s="2"/>
      <c r="H78" s="2"/>
      <c r="I78" s="2"/>
      <c r="J78" s="2"/>
      <c r="K78" s="2"/>
      <c r="L78" s="18"/>
      <c r="M78" s="2"/>
      <c r="N78" s="18"/>
      <c r="O78" s="18"/>
      <c r="P78" s="2"/>
      <c r="Q78" s="2"/>
      <c r="R78" s="2"/>
      <c r="S78" s="2"/>
      <c r="T78" s="2"/>
      <c r="U78" s="2"/>
      <c r="V78" s="2"/>
      <c r="W78" s="2"/>
      <c r="X78" s="2"/>
      <c r="Y78" s="2"/>
      <c r="Z78" s="2"/>
      <c r="AA78" s="2"/>
      <c r="AB78" s="2"/>
      <c r="AC78" s="2"/>
      <c r="AD78" s="2"/>
      <c r="AE78" s="2"/>
      <c r="AF78" s="2"/>
      <c r="AG78" s="2"/>
      <c r="AH78" s="2"/>
      <c r="AI78" s="2"/>
      <c r="AJ78" s="2"/>
      <c r="AK78" s="2"/>
      <c r="AL78" s="2"/>
      <c r="AM78" s="2"/>
      <c r="AN78" s="2"/>
      <c r="AO78" s="2"/>
    </row>
    <row r="79">
      <c r="A79" s="18"/>
      <c r="B79" s="2"/>
      <c r="C79" s="18"/>
      <c r="D79" s="18"/>
      <c r="E79" s="18"/>
      <c r="F79" s="2"/>
      <c r="G79" s="2"/>
      <c r="H79" s="2"/>
      <c r="I79" s="2"/>
      <c r="J79" s="2"/>
      <c r="K79" s="2"/>
      <c r="L79" s="18"/>
      <c r="M79" s="2"/>
      <c r="N79" s="18"/>
      <c r="O79" s="18"/>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c r="A80" s="18"/>
      <c r="B80" s="2"/>
      <c r="C80" s="18"/>
      <c r="D80" s="18"/>
      <c r="E80" s="18"/>
      <c r="F80" s="2"/>
      <c r="G80" s="2"/>
      <c r="H80" s="2"/>
      <c r="I80" s="2"/>
      <c r="J80" s="2"/>
      <c r="K80" s="2"/>
      <c r="L80" s="18"/>
      <c r="M80" s="2"/>
      <c r="N80" s="18"/>
      <c r="O80" s="18"/>
      <c r="P80" s="2"/>
      <c r="Q80" s="2"/>
      <c r="R80" s="2"/>
      <c r="S80" s="2"/>
      <c r="T80" s="2"/>
      <c r="U80" s="2"/>
      <c r="V80" s="2"/>
      <c r="W80" s="2"/>
      <c r="X80" s="2"/>
      <c r="Y80" s="2"/>
      <c r="Z80" s="2"/>
      <c r="AA80" s="2"/>
      <c r="AB80" s="2"/>
      <c r="AC80" s="2"/>
      <c r="AD80" s="2"/>
      <c r="AE80" s="2"/>
      <c r="AF80" s="2"/>
      <c r="AG80" s="2"/>
      <c r="AH80" s="2"/>
      <c r="AI80" s="2"/>
      <c r="AJ80" s="2"/>
      <c r="AK80" s="2"/>
      <c r="AL80" s="2"/>
      <c r="AM80" s="2"/>
      <c r="AN80" s="2"/>
      <c r="AO80" s="2"/>
    </row>
    <row r="81">
      <c r="A81" s="18"/>
      <c r="B81" s="2"/>
      <c r="C81" s="18"/>
      <c r="D81" s="18"/>
      <c r="E81" s="18"/>
      <c r="F81" s="2"/>
      <c r="G81" s="2"/>
      <c r="H81" s="2"/>
      <c r="I81" s="2"/>
      <c r="J81" s="2"/>
      <c r="K81" s="2"/>
      <c r="L81" s="18"/>
      <c r="M81" s="2"/>
      <c r="N81" s="18"/>
      <c r="O81" s="18"/>
      <c r="P81" s="2"/>
      <c r="Q81" s="2"/>
      <c r="R81" s="2"/>
      <c r="S81" s="2"/>
      <c r="T81" s="2"/>
      <c r="U81" s="2"/>
      <c r="V81" s="2"/>
      <c r="W81" s="2"/>
      <c r="X81" s="2"/>
      <c r="Y81" s="2"/>
      <c r="Z81" s="2"/>
      <c r="AA81" s="2"/>
      <c r="AB81" s="2"/>
      <c r="AC81" s="2"/>
      <c r="AD81" s="2"/>
      <c r="AE81" s="2"/>
      <c r="AF81" s="2"/>
      <c r="AG81" s="2"/>
      <c r="AH81" s="2"/>
      <c r="AI81" s="2"/>
      <c r="AJ81" s="2"/>
      <c r="AK81" s="2"/>
      <c r="AL81" s="2"/>
      <c r="AM81" s="2"/>
      <c r="AN81" s="2"/>
      <c r="AO81" s="2"/>
    </row>
    <row r="82">
      <c r="A82" s="18"/>
      <c r="B82" s="2"/>
      <c r="C82" s="18"/>
      <c r="D82" s="18"/>
      <c r="E82" s="18"/>
      <c r="F82" s="2"/>
      <c r="G82" s="2"/>
      <c r="H82" s="2"/>
      <c r="I82" s="2"/>
      <c r="J82" s="2"/>
      <c r="K82" s="2"/>
      <c r="L82" s="18"/>
      <c r="M82" s="2"/>
      <c r="N82" s="18"/>
      <c r="O82" s="18"/>
      <c r="P82" s="2"/>
      <c r="Q82" s="2"/>
      <c r="R82" s="2"/>
      <c r="S82" s="2"/>
      <c r="T82" s="2"/>
      <c r="U82" s="2"/>
      <c r="V82" s="2"/>
      <c r="W82" s="2"/>
      <c r="X82" s="2"/>
      <c r="Y82" s="2"/>
      <c r="Z82" s="2"/>
      <c r="AA82" s="2"/>
      <c r="AB82" s="2"/>
      <c r="AC82" s="2"/>
      <c r="AD82" s="2"/>
      <c r="AE82" s="2"/>
      <c r="AF82" s="2"/>
      <c r="AG82" s="2"/>
      <c r="AH82" s="2"/>
      <c r="AI82" s="2"/>
      <c r="AJ82" s="2"/>
      <c r="AK82" s="2"/>
      <c r="AL82" s="2"/>
      <c r="AM82" s="2"/>
      <c r="AN82" s="2"/>
      <c r="AO82" s="2"/>
    </row>
    <row r="83">
      <c r="A83" s="18"/>
      <c r="B83" s="2"/>
      <c r="C83" s="18"/>
      <c r="D83" s="18"/>
      <c r="E83" s="18"/>
      <c r="F83" s="2"/>
      <c r="G83" s="2"/>
      <c r="H83" s="2"/>
      <c r="I83" s="2"/>
      <c r="J83" s="2"/>
      <c r="K83" s="2"/>
      <c r="L83" s="18"/>
      <c r="M83" s="2"/>
      <c r="N83" s="18"/>
      <c r="O83" s="18"/>
      <c r="P83" s="2"/>
      <c r="Q83" s="2"/>
      <c r="R83" s="2"/>
      <c r="S83" s="2"/>
      <c r="T83" s="2"/>
      <c r="U83" s="2"/>
      <c r="V83" s="2"/>
      <c r="W83" s="2"/>
      <c r="X83" s="2"/>
      <c r="Y83" s="2"/>
      <c r="Z83" s="2"/>
      <c r="AA83" s="2"/>
      <c r="AB83" s="2"/>
      <c r="AC83" s="2"/>
      <c r="AD83" s="2"/>
      <c r="AE83" s="2"/>
      <c r="AF83" s="2"/>
      <c r="AG83" s="2"/>
      <c r="AH83" s="2"/>
      <c r="AI83" s="2"/>
      <c r="AJ83" s="2"/>
      <c r="AK83" s="2"/>
      <c r="AL83" s="2"/>
      <c r="AM83" s="2"/>
      <c r="AN83" s="2"/>
      <c r="AO83" s="2"/>
    </row>
    <row r="84">
      <c r="A84" s="18"/>
      <c r="B84" s="2"/>
      <c r="C84" s="18"/>
      <c r="D84" s="18"/>
      <c r="E84" s="18"/>
      <c r="F84" s="2"/>
      <c r="G84" s="2"/>
      <c r="H84" s="2"/>
      <c r="I84" s="2"/>
      <c r="J84" s="2"/>
      <c r="K84" s="2"/>
      <c r="L84" s="18"/>
      <c r="M84" s="2"/>
      <c r="N84" s="18"/>
      <c r="O84" s="18"/>
      <c r="P84" s="2"/>
      <c r="Q84" s="2"/>
      <c r="R84" s="2"/>
      <c r="S84" s="2"/>
      <c r="T84" s="2"/>
      <c r="U84" s="2"/>
      <c r="V84" s="2"/>
      <c r="W84" s="2"/>
      <c r="X84" s="2"/>
      <c r="Y84" s="2"/>
      <c r="Z84" s="2"/>
      <c r="AA84" s="2"/>
      <c r="AB84" s="2"/>
      <c r="AC84" s="2"/>
      <c r="AD84" s="2"/>
      <c r="AE84" s="2"/>
      <c r="AF84" s="2"/>
      <c r="AG84" s="2"/>
      <c r="AH84" s="2"/>
      <c r="AI84" s="2"/>
      <c r="AJ84" s="2"/>
      <c r="AK84" s="2"/>
      <c r="AL84" s="2"/>
      <c r="AM84" s="2"/>
      <c r="AN84" s="2"/>
      <c r="AO84" s="2"/>
    </row>
    <row r="85">
      <c r="A85" s="18"/>
      <c r="B85" s="2"/>
      <c r="C85" s="18"/>
      <c r="D85" s="18"/>
      <c r="E85" s="18"/>
      <c r="F85" s="2"/>
      <c r="G85" s="2"/>
      <c r="H85" s="2"/>
      <c r="I85" s="2"/>
      <c r="J85" s="2"/>
      <c r="K85" s="2"/>
      <c r="L85" s="18"/>
      <c r="M85" s="2"/>
      <c r="N85" s="18"/>
      <c r="O85" s="18"/>
      <c r="P85" s="2"/>
      <c r="Q85" s="2"/>
      <c r="R85" s="2"/>
      <c r="S85" s="2"/>
      <c r="T85" s="2"/>
      <c r="U85" s="2"/>
      <c r="V85" s="2"/>
      <c r="W85" s="2"/>
      <c r="X85" s="2"/>
      <c r="Y85" s="2"/>
      <c r="Z85" s="2"/>
      <c r="AA85" s="2"/>
      <c r="AB85" s="2"/>
      <c r="AC85" s="2"/>
      <c r="AD85" s="2"/>
      <c r="AE85" s="2"/>
      <c r="AF85" s="2"/>
      <c r="AG85" s="2"/>
      <c r="AH85" s="2"/>
      <c r="AI85" s="2"/>
      <c r="AJ85" s="2"/>
      <c r="AK85" s="2"/>
      <c r="AL85" s="2"/>
      <c r="AM85" s="2"/>
      <c r="AN85" s="2"/>
      <c r="AO85" s="2"/>
    </row>
    <row r="86">
      <c r="A86" s="18"/>
      <c r="B86" s="2"/>
      <c r="C86" s="18"/>
      <c r="D86" s="18"/>
      <c r="E86" s="18"/>
      <c r="F86" s="2"/>
      <c r="G86" s="2"/>
      <c r="H86" s="2"/>
      <c r="I86" s="2"/>
      <c r="J86" s="2"/>
      <c r="K86" s="2"/>
      <c r="L86" s="18"/>
      <c r="M86" s="2"/>
      <c r="N86" s="18"/>
      <c r="O86" s="18"/>
      <c r="P86" s="2"/>
      <c r="Q86" s="2"/>
      <c r="R86" s="2"/>
      <c r="S86" s="2"/>
      <c r="T86" s="2"/>
      <c r="U86" s="2"/>
      <c r="V86" s="2"/>
      <c r="W86" s="2"/>
      <c r="X86" s="2"/>
      <c r="Y86" s="2"/>
      <c r="Z86" s="2"/>
      <c r="AA86" s="2"/>
      <c r="AB86" s="2"/>
      <c r="AC86" s="2"/>
      <c r="AD86" s="2"/>
      <c r="AE86" s="2"/>
      <c r="AF86" s="2"/>
      <c r="AG86" s="2"/>
      <c r="AH86" s="2"/>
      <c r="AI86" s="2"/>
      <c r="AJ86" s="2"/>
      <c r="AK86" s="2"/>
      <c r="AL86" s="2"/>
      <c r="AM86" s="2"/>
      <c r="AN86" s="2"/>
      <c r="AO86" s="2"/>
    </row>
    <row r="87">
      <c r="A87" s="18"/>
      <c r="B87" s="2"/>
      <c r="C87" s="18"/>
      <c r="D87" s="18"/>
      <c r="E87" s="18"/>
      <c r="F87" s="2"/>
      <c r="G87" s="2"/>
      <c r="H87" s="2"/>
      <c r="I87" s="2"/>
      <c r="J87" s="2"/>
      <c r="K87" s="2"/>
      <c r="L87" s="18"/>
      <c r="M87" s="2"/>
      <c r="N87" s="18"/>
      <c r="O87" s="18"/>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c r="A88" s="18"/>
      <c r="B88" s="2"/>
      <c r="C88" s="18"/>
      <c r="D88" s="18"/>
      <c r="E88" s="18"/>
      <c r="F88" s="2"/>
      <c r="G88" s="2"/>
      <c r="H88" s="2"/>
      <c r="I88" s="2"/>
      <c r="J88" s="2"/>
      <c r="K88" s="2"/>
      <c r="L88" s="18"/>
      <c r="M88" s="2"/>
      <c r="N88" s="18"/>
      <c r="O88" s="18"/>
      <c r="P88" s="2"/>
      <c r="Q88" s="2"/>
      <c r="R88" s="2"/>
      <c r="S88" s="2"/>
      <c r="T88" s="2"/>
      <c r="U88" s="2"/>
      <c r="V88" s="2"/>
      <c r="W88" s="2"/>
      <c r="X88" s="2"/>
      <c r="Y88" s="2"/>
      <c r="Z88" s="2"/>
      <c r="AA88" s="2"/>
      <c r="AB88" s="2"/>
      <c r="AC88" s="2"/>
      <c r="AD88" s="2"/>
      <c r="AE88" s="2"/>
      <c r="AF88" s="2"/>
      <c r="AG88" s="2"/>
      <c r="AH88" s="2"/>
      <c r="AI88" s="2"/>
      <c r="AJ88" s="2"/>
      <c r="AK88" s="2"/>
      <c r="AL88" s="2"/>
      <c r="AM88" s="2"/>
      <c r="AN88" s="2"/>
      <c r="AO88" s="2"/>
    </row>
    <row r="89">
      <c r="A89" s="18"/>
      <c r="B89" s="2"/>
      <c r="C89" s="18"/>
      <c r="D89" s="18"/>
      <c r="E89" s="18"/>
      <c r="F89" s="2"/>
      <c r="G89" s="2"/>
      <c r="H89" s="2"/>
      <c r="I89" s="2"/>
      <c r="J89" s="2"/>
      <c r="K89" s="2"/>
      <c r="L89" s="18"/>
      <c r="M89" s="2"/>
      <c r="N89" s="18"/>
      <c r="O89" s="18"/>
      <c r="P89" s="2"/>
      <c r="Q89" s="2"/>
      <c r="R89" s="2"/>
      <c r="S89" s="2"/>
      <c r="T89" s="2"/>
      <c r="U89" s="2"/>
      <c r="V89" s="2"/>
      <c r="W89" s="2"/>
      <c r="X89" s="2"/>
      <c r="Y89" s="2"/>
      <c r="Z89" s="2"/>
      <c r="AA89" s="2"/>
      <c r="AB89" s="2"/>
      <c r="AC89" s="2"/>
      <c r="AD89" s="2"/>
      <c r="AE89" s="2"/>
      <c r="AF89" s="2"/>
      <c r="AG89" s="2"/>
      <c r="AH89" s="2"/>
      <c r="AI89" s="2"/>
      <c r="AJ89" s="2"/>
      <c r="AK89" s="2"/>
      <c r="AL89" s="2"/>
      <c r="AM89" s="2"/>
      <c r="AN89" s="2"/>
      <c r="AO89" s="2"/>
    </row>
    <row r="90">
      <c r="A90" s="18"/>
      <c r="B90" s="2"/>
      <c r="C90" s="18"/>
      <c r="D90" s="18"/>
      <c r="E90" s="18"/>
      <c r="F90" s="2"/>
      <c r="G90" s="2"/>
      <c r="H90" s="2"/>
      <c r="I90" s="2"/>
      <c r="J90" s="2"/>
      <c r="K90" s="2"/>
      <c r="L90" s="18"/>
      <c r="M90" s="2"/>
      <c r="N90" s="18"/>
      <c r="O90" s="18"/>
      <c r="P90" s="2"/>
      <c r="Q90" s="2"/>
      <c r="R90" s="2"/>
      <c r="S90" s="2"/>
      <c r="T90" s="2"/>
      <c r="U90" s="2"/>
      <c r="V90" s="2"/>
      <c r="W90" s="2"/>
      <c r="X90" s="2"/>
      <c r="Y90" s="2"/>
      <c r="Z90" s="2"/>
      <c r="AA90" s="2"/>
      <c r="AB90" s="2"/>
      <c r="AC90" s="2"/>
      <c r="AD90" s="2"/>
      <c r="AE90" s="2"/>
      <c r="AF90" s="2"/>
      <c r="AG90" s="2"/>
      <c r="AH90" s="2"/>
      <c r="AI90" s="2"/>
      <c r="AJ90" s="2"/>
      <c r="AK90" s="2"/>
      <c r="AL90" s="2"/>
      <c r="AM90" s="2"/>
      <c r="AN90" s="2"/>
      <c r="AO90" s="2"/>
    </row>
    <row r="91">
      <c r="A91" s="18"/>
      <c r="B91" s="2"/>
      <c r="C91" s="18"/>
      <c r="D91" s="18"/>
      <c r="E91" s="18"/>
      <c r="F91" s="2"/>
      <c r="G91" s="2"/>
      <c r="H91" s="2"/>
      <c r="I91" s="2"/>
      <c r="J91" s="2"/>
      <c r="K91" s="2"/>
      <c r="L91" s="18"/>
      <c r="M91" s="2"/>
      <c r="N91" s="18"/>
      <c r="O91" s="18"/>
      <c r="P91" s="2"/>
      <c r="Q91" s="2"/>
      <c r="R91" s="2"/>
      <c r="S91" s="2"/>
      <c r="T91" s="2"/>
      <c r="U91" s="2"/>
      <c r="V91" s="2"/>
      <c r="W91" s="2"/>
      <c r="X91" s="2"/>
      <c r="Y91" s="2"/>
      <c r="Z91" s="2"/>
      <c r="AA91" s="2"/>
      <c r="AB91" s="2"/>
      <c r="AC91" s="2"/>
      <c r="AD91" s="2"/>
      <c r="AE91" s="2"/>
      <c r="AF91" s="2"/>
      <c r="AG91" s="2"/>
      <c r="AH91" s="2"/>
      <c r="AI91" s="2"/>
      <c r="AJ91" s="2"/>
      <c r="AK91" s="2"/>
      <c r="AL91" s="2"/>
      <c r="AM91" s="2"/>
      <c r="AN91" s="2"/>
      <c r="AO91" s="2"/>
    </row>
    <row r="92">
      <c r="A92" s="18"/>
      <c r="B92" s="2"/>
      <c r="C92" s="18"/>
      <c r="D92" s="18"/>
      <c r="E92" s="18"/>
      <c r="F92" s="2"/>
      <c r="G92" s="2"/>
      <c r="H92" s="2"/>
      <c r="I92" s="2"/>
      <c r="J92" s="2"/>
      <c r="K92" s="2"/>
      <c r="L92" s="18"/>
      <c r="M92" s="2"/>
      <c r="N92" s="18"/>
      <c r="O92" s="18"/>
      <c r="P92" s="2"/>
      <c r="Q92" s="2"/>
      <c r="R92" s="2"/>
      <c r="S92" s="2"/>
      <c r="T92" s="2"/>
      <c r="U92" s="2"/>
      <c r="V92" s="2"/>
      <c r="W92" s="2"/>
      <c r="X92" s="2"/>
      <c r="Y92" s="2"/>
      <c r="Z92" s="2"/>
      <c r="AA92" s="2"/>
      <c r="AB92" s="2"/>
      <c r="AC92" s="2"/>
      <c r="AD92" s="2"/>
      <c r="AE92" s="2"/>
      <c r="AF92" s="2"/>
      <c r="AG92" s="2"/>
      <c r="AH92" s="2"/>
      <c r="AI92" s="2"/>
      <c r="AJ92" s="2"/>
      <c r="AK92" s="2"/>
      <c r="AL92" s="2"/>
      <c r="AM92" s="2"/>
      <c r="AN92" s="2"/>
      <c r="AO92" s="2"/>
    </row>
    <row r="93">
      <c r="A93" s="18"/>
      <c r="B93" s="2"/>
      <c r="C93" s="18"/>
      <c r="D93" s="18"/>
      <c r="E93" s="18"/>
      <c r="F93" s="2"/>
      <c r="G93" s="2"/>
      <c r="H93" s="2"/>
      <c r="I93" s="2"/>
      <c r="J93" s="2"/>
      <c r="K93" s="2"/>
      <c r="L93" s="18"/>
      <c r="M93" s="2"/>
      <c r="N93" s="18"/>
      <c r="O93" s="18"/>
      <c r="P93" s="2"/>
      <c r="Q93" s="2"/>
      <c r="R93" s="2"/>
      <c r="S93" s="2"/>
      <c r="T93" s="2"/>
      <c r="U93" s="2"/>
      <c r="V93" s="2"/>
      <c r="W93" s="2"/>
      <c r="X93" s="2"/>
      <c r="Y93" s="2"/>
      <c r="Z93" s="2"/>
      <c r="AA93" s="2"/>
      <c r="AB93" s="2"/>
      <c r="AC93" s="2"/>
      <c r="AD93" s="2"/>
      <c r="AE93" s="2"/>
      <c r="AF93" s="2"/>
      <c r="AG93" s="2"/>
      <c r="AH93" s="2"/>
      <c r="AI93" s="2"/>
      <c r="AJ93" s="2"/>
      <c r="AK93" s="2"/>
      <c r="AL93" s="2"/>
      <c r="AM93" s="2"/>
      <c r="AN93" s="2"/>
      <c r="AO93" s="2"/>
    </row>
    <row r="94">
      <c r="A94" s="18"/>
      <c r="B94" s="2"/>
      <c r="C94" s="18"/>
      <c r="D94" s="18"/>
      <c r="E94" s="18"/>
      <c r="F94" s="2"/>
      <c r="G94" s="2"/>
      <c r="H94" s="2"/>
      <c r="I94" s="2"/>
      <c r="J94" s="2"/>
      <c r="K94" s="2"/>
      <c r="L94" s="18"/>
      <c r="M94" s="2"/>
      <c r="N94" s="18"/>
      <c r="O94" s="18"/>
      <c r="P94" s="2"/>
      <c r="Q94" s="2"/>
      <c r="R94" s="2"/>
      <c r="S94" s="2"/>
      <c r="T94" s="2"/>
      <c r="U94" s="2"/>
      <c r="V94" s="2"/>
      <c r="W94" s="2"/>
      <c r="X94" s="2"/>
      <c r="Y94" s="2"/>
      <c r="Z94" s="2"/>
      <c r="AA94" s="2"/>
      <c r="AB94" s="2"/>
      <c r="AC94" s="2"/>
      <c r="AD94" s="2"/>
      <c r="AE94" s="2"/>
      <c r="AF94" s="2"/>
      <c r="AG94" s="2"/>
      <c r="AH94" s="2"/>
      <c r="AI94" s="2"/>
      <c r="AJ94" s="2"/>
      <c r="AK94" s="2"/>
      <c r="AL94" s="2"/>
      <c r="AM94" s="2"/>
      <c r="AN94" s="2"/>
      <c r="AO94" s="2"/>
    </row>
    <row r="95">
      <c r="A95" s="18"/>
      <c r="B95" s="2"/>
      <c r="C95" s="18"/>
      <c r="D95" s="18"/>
      <c r="E95" s="18"/>
      <c r="F95" s="2"/>
      <c r="G95" s="2"/>
      <c r="H95" s="2"/>
      <c r="I95" s="2"/>
      <c r="J95" s="2"/>
      <c r="K95" s="2"/>
      <c r="L95" s="18"/>
      <c r="M95" s="2"/>
      <c r="N95" s="18"/>
      <c r="O95" s="18"/>
      <c r="P95" s="2"/>
      <c r="Q95" s="2"/>
      <c r="R95" s="2"/>
      <c r="S95" s="2"/>
      <c r="T95" s="2"/>
      <c r="U95" s="2"/>
      <c r="V95" s="2"/>
      <c r="W95" s="2"/>
      <c r="X95" s="2"/>
      <c r="Y95" s="2"/>
      <c r="Z95" s="2"/>
      <c r="AA95" s="2"/>
      <c r="AB95" s="2"/>
      <c r="AC95" s="2"/>
      <c r="AD95" s="2"/>
      <c r="AE95" s="2"/>
      <c r="AF95" s="2"/>
      <c r="AG95" s="2"/>
      <c r="AH95" s="2"/>
      <c r="AI95" s="2"/>
      <c r="AJ95" s="2"/>
      <c r="AK95" s="2"/>
      <c r="AL95" s="2"/>
      <c r="AM95" s="2"/>
      <c r="AN95" s="2"/>
      <c r="AO95" s="2"/>
    </row>
    <row r="96">
      <c r="A96" s="18"/>
      <c r="B96" s="2"/>
      <c r="C96" s="18"/>
      <c r="D96" s="18"/>
      <c r="E96" s="18"/>
      <c r="F96" s="2"/>
      <c r="G96" s="2"/>
      <c r="H96" s="2"/>
      <c r="I96" s="2"/>
      <c r="J96" s="2"/>
      <c r="K96" s="2"/>
      <c r="L96" s="18"/>
      <c r="M96" s="2"/>
      <c r="N96" s="18"/>
      <c r="O96" s="18"/>
      <c r="P96" s="2"/>
      <c r="Q96" s="2"/>
      <c r="R96" s="2"/>
      <c r="S96" s="2"/>
      <c r="T96" s="2"/>
      <c r="U96" s="2"/>
      <c r="V96" s="2"/>
      <c r="W96" s="2"/>
      <c r="X96" s="2"/>
      <c r="Y96" s="2"/>
      <c r="Z96" s="2"/>
      <c r="AA96" s="2"/>
      <c r="AB96" s="2"/>
      <c r="AC96" s="2"/>
      <c r="AD96" s="2"/>
      <c r="AE96" s="2"/>
      <c r="AF96" s="2"/>
      <c r="AG96" s="2"/>
      <c r="AH96" s="2"/>
      <c r="AI96" s="2"/>
      <c r="AJ96" s="2"/>
      <c r="AK96" s="2"/>
      <c r="AL96" s="2"/>
      <c r="AM96" s="2"/>
      <c r="AN96" s="2"/>
      <c r="AO96" s="2"/>
    </row>
    <row r="97">
      <c r="A97" s="18"/>
      <c r="B97" s="2"/>
      <c r="C97" s="18"/>
      <c r="D97" s="18"/>
      <c r="E97" s="18"/>
      <c r="F97" s="2"/>
      <c r="G97" s="2"/>
      <c r="H97" s="2"/>
      <c r="I97" s="2"/>
      <c r="J97" s="2"/>
      <c r="K97" s="2"/>
      <c r="L97" s="18"/>
      <c r="M97" s="2"/>
      <c r="N97" s="18"/>
      <c r="O97" s="18"/>
      <c r="P97" s="2"/>
      <c r="Q97" s="2"/>
      <c r="R97" s="2"/>
      <c r="S97" s="2"/>
      <c r="T97" s="2"/>
      <c r="U97" s="2"/>
      <c r="V97" s="2"/>
      <c r="W97" s="2"/>
      <c r="X97" s="2"/>
      <c r="Y97" s="2"/>
      <c r="Z97" s="2"/>
      <c r="AA97" s="2"/>
      <c r="AB97" s="2"/>
      <c r="AC97" s="2"/>
      <c r="AD97" s="2"/>
      <c r="AE97" s="2"/>
      <c r="AF97" s="2"/>
      <c r="AG97" s="2"/>
      <c r="AH97" s="2"/>
      <c r="AI97" s="2"/>
      <c r="AJ97" s="2"/>
      <c r="AK97" s="2"/>
      <c r="AL97" s="2"/>
      <c r="AM97" s="2"/>
      <c r="AN97" s="2"/>
      <c r="AO97" s="2"/>
    </row>
    <row r="98">
      <c r="A98" s="18"/>
      <c r="B98" s="2"/>
      <c r="C98" s="18"/>
      <c r="D98" s="18"/>
      <c r="E98" s="18"/>
      <c r="F98" s="2"/>
      <c r="G98" s="2"/>
      <c r="H98" s="2"/>
      <c r="I98" s="2"/>
      <c r="J98" s="2"/>
      <c r="K98" s="2"/>
      <c r="L98" s="18"/>
      <c r="M98" s="2"/>
      <c r="N98" s="18"/>
      <c r="O98" s="18"/>
      <c r="P98" s="2"/>
      <c r="Q98" s="2"/>
      <c r="R98" s="2"/>
      <c r="S98" s="2"/>
      <c r="T98" s="2"/>
      <c r="U98" s="2"/>
      <c r="V98" s="2"/>
      <c r="W98" s="2"/>
      <c r="X98" s="2"/>
      <c r="Y98" s="2"/>
      <c r="Z98" s="2"/>
      <c r="AA98" s="2"/>
      <c r="AB98" s="2"/>
      <c r="AC98" s="2"/>
      <c r="AD98" s="2"/>
      <c r="AE98" s="2"/>
      <c r="AF98" s="2"/>
      <c r="AG98" s="2"/>
      <c r="AH98" s="2"/>
      <c r="AI98" s="2"/>
      <c r="AJ98" s="2"/>
      <c r="AK98" s="2"/>
      <c r="AL98" s="2"/>
      <c r="AM98" s="2"/>
      <c r="AN98" s="2"/>
      <c r="AO98" s="2"/>
    </row>
    <row r="99">
      <c r="A99" s="18"/>
      <c r="B99" s="2"/>
      <c r="C99" s="18"/>
      <c r="D99" s="18"/>
      <c r="E99" s="18"/>
      <c r="F99" s="2"/>
      <c r="G99" s="2"/>
      <c r="H99" s="2"/>
      <c r="I99" s="2"/>
      <c r="J99" s="2"/>
      <c r="K99" s="2"/>
      <c r="L99" s="18"/>
      <c r="M99" s="2"/>
      <c r="N99" s="18"/>
      <c r="O99" s="18"/>
      <c r="P99" s="2"/>
      <c r="Q99" s="2"/>
      <c r="R99" s="2"/>
      <c r="S99" s="2"/>
      <c r="T99" s="2"/>
      <c r="U99" s="2"/>
      <c r="V99" s="2"/>
      <c r="W99" s="2"/>
      <c r="X99" s="2"/>
      <c r="Y99" s="2"/>
      <c r="Z99" s="2"/>
      <c r="AA99" s="2"/>
      <c r="AB99" s="2"/>
      <c r="AC99" s="2"/>
      <c r="AD99" s="2"/>
      <c r="AE99" s="2"/>
      <c r="AF99" s="2"/>
      <c r="AG99" s="2"/>
      <c r="AH99" s="2"/>
      <c r="AI99" s="2"/>
      <c r="AJ99" s="2"/>
      <c r="AK99" s="2"/>
      <c r="AL99" s="2"/>
      <c r="AM99" s="2"/>
      <c r="AN99" s="2"/>
      <c r="AO99" s="2"/>
    </row>
    <row r="100">
      <c r="A100" s="18"/>
      <c r="B100" s="2"/>
      <c r="C100" s="18"/>
      <c r="D100" s="18"/>
      <c r="E100" s="18"/>
      <c r="F100" s="2"/>
      <c r="G100" s="2"/>
      <c r="H100" s="2"/>
      <c r="I100" s="2"/>
      <c r="J100" s="2"/>
      <c r="K100" s="2"/>
      <c r="L100" s="18"/>
      <c r="M100" s="2"/>
      <c r="N100" s="18"/>
      <c r="O100" s="18"/>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row>
    <row r="101">
      <c r="A101" s="18"/>
      <c r="B101" s="2"/>
      <c r="C101" s="18"/>
      <c r="D101" s="18"/>
      <c r="E101" s="18"/>
      <c r="F101" s="2"/>
      <c r="G101" s="2"/>
      <c r="H101" s="2"/>
      <c r="I101" s="2"/>
      <c r="J101" s="2"/>
      <c r="K101" s="2"/>
      <c r="L101" s="18"/>
      <c r="M101" s="2"/>
      <c r="N101" s="18"/>
      <c r="O101" s="18"/>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row>
    <row r="102">
      <c r="A102" s="18"/>
      <c r="B102" s="2"/>
      <c r="C102" s="18"/>
      <c r="D102" s="18"/>
      <c r="E102" s="18"/>
      <c r="F102" s="2"/>
      <c r="G102" s="2"/>
      <c r="H102" s="2"/>
      <c r="I102" s="2"/>
      <c r="J102" s="2"/>
      <c r="K102" s="2"/>
      <c r="L102" s="18"/>
      <c r="M102" s="2"/>
      <c r="N102" s="18"/>
      <c r="O102" s="18"/>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row>
    <row r="103">
      <c r="A103" s="18"/>
      <c r="B103" s="2"/>
      <c r="C103" s="18"/>
      <c r="D103" s="18"/>
      <c r="E103" s="18"/>
      <c r="F103" s="2"/>
      <c r="G103" s="2"/>
      <c r="H103" s="2"/>
      <c r="I103" s="2"/>
      <c r="J103" s="2"/>
      <c r="K103" s="2"/>
      <c r="L103" s="18"/>
      <c r="M103" s="2"/>
      <c r="N103" s="18"/>
      <c r="O103" s="18"/>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row>
    <row r="104">
      <c r="A104" s="18"/>
      <c r="B104" s="2"/>
      <c r="C104" s="18"/>
      <c r="D104" s="18"/>
      <c r="E104" s="18"/>
      <c r="F104" s="2"/>
      <c r="G104" s="2"/>
      <c r="H104" s="2"/>
      <c r="I104" s="2"/>
      <c r="J104" s="2"/>
      <c r="K104" s="2"/>
      <c r="L104" s="18"/>
      <c r="M104" s="2"/>
      <c r="N104" s="18"/>
      <c r="O104" s="18"/>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row>
    <row r="105">
      <c r="A105" s="18"/>
      <c r="B105" s="2"/>
      <c r="C105" s="18"/>
      <c r="D105" s="18"/>
      <c r="E105" s="18"/>
      <c r="F105" s="2"/>
      <c r="G105" s="2"/>
      <c r="H105" s="2"/>
      <c r="I105" s="2"/>
      <c r="J105" s="2"/>
      <c r="K105" s="2"/>
      <c r="L105" s="18"/>
      <c r="M105" s="2"/>
      <c r="N105" s="18"/>
      <c r="O105" s="18"/>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row>
    <row r="106">
      <c r="A106" s="18"/>
      <c r="B106" s="2"/>
      <c r="C106" s="18"/>
      <c r="D106" s="18"/>
      <c r="E106" s="18"/>
      <c r="F106" s="2"/>
      <c r="G106" s="2"/>
      <c r="H106" s="2"/>
      <c r="I106" s="2"/>
      <c r="J106" s="2"/>
      <c r="K106" s="2"/>
      <c r="L106" s="18"/>
      <c r="M106" s="2"/>
      <c r="N106" s="18"/>
      <c r="O106" s="18"/>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row>
    <row r="107">
      <c r="A107" s="18"/>
      <c r="B107" s="2"/>
      <c r="C107" s="18"/>
      <c r="D107" s="18"/>
      <c r="E107" s="18"/>
      <c r="F107" s="2"/>
      <c r="G107" s="2"/>
      <c r="H107" s="2"/>
      <c r="I107" s="2"/>
      <c r="J107" s="2"/>
      <c r="K107" s="2"/>
      <c r="L107" s="18"/>
      <c r="M107" s="2"/>
      <c r="N107" s="18"/>
      <c r="O107" s="18"/>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row>
    <row r="108">
      <c r="A108" s="18"/>
      <c r="B108" s="2"/>
      <c r="C108" s="18"/>
      <c r="D108" s="18"/>
      <c r="E108" s="18"/>
      <c r="F108" s="2"/>
      <c r="G108" s="2"/>
      <c r="H108" s="2"/>
      <c r="I108" s="2"/>
      <c r="J108" s="2"/>
      <c r="K108" s="2"/>
      <c r="L108" s="18"/>
      <c r="M108" s="2"/>
      <c r="N108" s="18"/>
      <c r="O108" s="18"/>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row>
    <row r="109">
      <c r="A109" s="18"/>
      <c r="B109" s="2"/>
      <c r="C109" s="18"/>
      <c r="D109" s="18"/>
      <c r="E109" s="18"/>
      <c r="F109" s="2"/>
      <c r="G109" s="2"/>
      <c r="H109" s="2"/>
      <c r="I109" s="2"/>
      <c r="J109" s="2"/>
      <c r="K109" s="2"/>
      <c r="L109" s="18"/>
      <c r="M109" s="2"/>
      <c r="N109" s="18"/>
      <c r="O109" s="18"/>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row>
    <row r="110">
      <c r="A110" s="18"/>
      <c r="B110" s="2"/>
      <c r="C110" s="18"/>
      <c r="D110" s="18"/>
      <c r="E110" s="18"/>
      <c r="F110" s="2"/>
      <c r="G110" s="2"/>
      <c r="H110" s="2"/>
      <c r="I110" s="2"/>
      <c r="J110" s="2"/>
      <c r="K110" s="2"/>
      <c r="L110" s="18"/>
      <c r="M110" s="2"/>
      <c r="N110" s="18"/>
      <c r="O110" s="18"/>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row>
    <row r="111">
      <c r="A111" s="18"/>
      <c r="B111" s="2"/>
      <c r="C111" s="18"/>
      <c r="D111" s="18"/>
      <c r="E111" s="18"/>
      <c r="F111" s="2"/>
      <c r="G111" s="2"/>
      <c r="H111" s="2"/>
      <c r="I111" s="2"/>
      <c r="J111" s="2"/>
      <c r="K111" s="2"/>
      <c r="L111" s="18"/>
      <c r="M111" s="2"/>
      <c r="N111" s="18"/>
      <c r="O111" s="18"/>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row>
    <row r="112">
      <c r="A112" s="18"/>
      <c r="B112" s="2"/>
      <c r="C112" s="18"/>
      <c r="D112" s="18"/>
      <c r="E112" s="18"/>
      <c r="F112" s="2"/>
      <c r="G112" s="2"/>
      <c r="H112" s="2"/>
      <c r="I112" s="2"/>
      <c r="J112" s="2"/>
      <c r="K112" s="2"/>
      <c r="L112" s="18"/>
      <c r="M112" s="2"/>
      <c r="N112" s="18"/>
      <c r="O112" s="18"/>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row>
    <row r="113">
      <c r="A113" s="18"/>
      <c r="B113" s="2"/>
      <c r="C113" s="18"/>
      <c r="D113" s="18"/>
      <c r="E113" s="18"/>
      <c r="F113" s="2"/>
      <c r="G113" s="2"/>
      <c r="H113" s="2"/>
      <c r="I113" s="2"/>
      <c r="J113" s="2"/>
      <c r="K113" s="2"/>
      <c r="L113" s="18"/>
      <c r="M113" s="2"/>
      <c r="N113" s="18"/>
      <c r="O113" s="18"/>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row>
    <row r="114">
      <c r="A114" s="18"/>
      <c r="B114" s="2"/>
      <c r="C114" s="18"/>
      <c r="D114" s="18"/>
      <c r="E114" s="18"/>
      <c r="F114" s="2"/>
      <c r="G114" s="2"/>
      <c r="H114" s="2"/>
      <c r="I114" s="2"/>
      <c r="J114" s="2"/>
      <c r="K114" s="2"/>
      <c r="L114" s="18"/>
      <c r="M114" s="2"/>
      <c r="N114" s="18"/>
      <c r="O114" s="18"/>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row>
    <row r="115">
      <c r="A115" s="18"/>
      <c r="B115" s="2"/>
      <c r="C115" s="18"/>
      <c r="D115" s="18"/>
      <c r="E115" s="18"/>
      <c r="F115" s="2"/>
      <c r="G115" s="2"/>
      <c r="H115" s="2"/>
      <c r="I115" s="2"/>
      <c r="J115" s="2"/>
      <c r="K115" s="2"/>
      <c r="L115" s="18"/>
      <c r="M115" s="2"/>
      <c r="N115" s="18"/>
      <c r="O115" s="18"/>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row>
    <row r="116">
      <c r="A116" s="18"/>
      <c r="B116" s="2"/>
      <c r="C116" s="18"/>
      <c r="D116" s="18"/>
      <c r="E116" s="18"/>
      <c r="F116" s="2"/>
      <c r="G116" s="2"/>
      <c r="H116" s="2"/>
      <c r="I116" s="2"/>
      <c r="J116" s="2"/>
      <c r="K116" s="2"/>
      <c r="L116" s="18"/>
      <c r="M116" s="2"/>
      <c r="N116" s="18"/>
      <c r="O116" s="18"/>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row>
    <row r="117">
      <c r="A117" s="18"/>
      <c r="B117" s="2"/>
      <c r="C117" s="18"/>
      <c r="D117" s="18"/>
      <c r="E117" s="18"/>
      <c r="F117" s="2"/>
      <c r="G117" s="2"/>
      <c r="H117" s="2"/>
      <c r="I117" s="2"/>
      <c r="J117" s="2"/>
      <c r="K117" s="2"/>
      <c r="L117" s="18"/>
      <c r="M117" s="2"/>
      <c r="N117" s="18"/>
      <c r="O117" s="18"/>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row>
    <row r="118">
      <c r="A118" s="18"/>
      <c r="B118" s="2"/>
      <c r="C118" s="18"/>
      <c r="D118" s="18"/>
      <c r="E118" s="18"/>
      <c r="F118" s="2"/>
      <c r="G118" s="2"/>
      <c r="H118" s="2"/>
      <c r="I118" s="2"/>
      <c r="J118" s="2"/>
      <c r="K118" s="2"/>
      <c r="L118" s="18"/>
      <c r="M118" s="2"/>
      <c r="N118" s="18"/>
      <c r="O118" s="18"/>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row>
    <row r="119">
      <c r="A119" s="18"/>
      <c r="B119" s="2"/>
      <c r="C119" s="18"/>
      <c r="D119" s="18"/>
      <c r="E119" s="18"/>
      <c r="F119" s="2"/>
      <c r="G119" s="2"/>
      <c r="H119" s="2"/>
      <c r="I119" s="2"/>
      <c r="J119" s="2"/>
      <c r="K119" s="2"/>
      <c r="L119" s="18"/>
      <c r="M119" s="2"/>
      <c r="N119" s="18"/>
      <c r="O119" s="18"/>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row>
    <row r="120">
      <c r="A120" s="18"/>
      <c r="B120" s="2"/>
      <c r="C120" s="18"/>
      <c r="D120" s="18"/>
      <c r="E120" s="18"/>
      <c r="F120" s="2"/>
      <c r="G120" s="2"/>
      <c r="H120" s="2"/>
      <c r="I120" s="2"/>
      <c r="J120" s="2"/>
      <c r="K120" s="2"/>
      <c r="L120" s="18"/>
      <c r="M120" s="2"/>
      <c r="N120" s="18"/>
      <c r="O120" s="18"/>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row>
    <row r="121">
      <c r="A121" s="18"/>
      <c r="B121" s="2"/>
      <c r="C121" s="18"/>
      <c r="D121" s="18"/>
      <c r="E121" s="18"/>
      <c r="F121" s="2"/>
      <c r="G121" s="2"/>
      <c r="H121" s="2"/>
      <c r="I121" s="2"/>
      <c r="J121" s="2"/>
      <c r="K121" s="2"/>
      <c r="L121" s="18"/>
      <c r="M121" s="2"/>
      <c r="N121" s="18"/>
      <c r="O121" s="18"/>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row>
    <row r="122">
      <c r="A122" s="18"/>
      <c r="B122" s="2"/>
      <c r="C122" s="18"/>
      <c r="D122" s="18"/>
      <c r="E122" s="18"/>
      <c r="F122" s="2"/>
      <c r="G122" s="2"/>
      <c r="H122" s="2"/>
      <c r="I122" s="2"/>
      <c r="J122" s="2"/>
      <c r="K122" s="2"/>
      <c r="L122" s="18"/>
      <c r="M122" s="2"/>
      <c r="N122" s="18"/>
      <c r="O122" s="18"/>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row>
    <row r="123">
      <c r="A123" s="18"/>
      <c r="B123" s="2"/>
      <c r="C123" s="18"/>
      <c r="D123" s="18"/>
      <c r="E123" s="18"/>
      <c r="F123" s="2"/>
      <c r="G123" s="2"/>
      <c r="H123" s="2"/>
      <c r="I123" s="2"/>
      <c r="J123" s="2"/>
      <c r="K123" s="2"/>
      <c r="L123" s="18"/>
      <c r="M123" s="2"/>
      <c r="N123" s="18"/>
      <c r="O123" s="18"/>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row>
    <row r="124">
      <c r="A124" s="18"/>
      <c r="B124" s="2"/>
      <c r="C124" s="18"/>
      <c r="D124" s="18"/>
      <c r="E124" s="18"/>
      <c r="F124" s="2"/>
      <c r="G124" s="2"/>
      <c r="H124" s="2"/>
      <c r="I124" s="2"/>
      <c r="J124" s="2"/>
      <c r="K124" s="2"/>
      <c r="L124" s="18"/>
      <c r="M124" s="2"/>
      <c r="N124" s="18"/>
      <c r="O124" s="18"/>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row>
    <row r="125">
      <c r="A125" s="18"/>
      <c r="B125" s="2"/>
      <c r="C125" s="18"/>
      <c r="D125" s="18"/>
      <c r="E125" s="18"/>
      <c r="F125" s="2"/>
      <c r="G125" s="2"/>
      <c r="H125" s="2"/>
      <c r="I125" s="2"/>
      <c r="J125" s="2"/>
      <c r="K125" s="2"/>
      <c r="L125" s="18"/>
      <c r="M125" s="2"/>
      <c r="N125" s="18"/>
      <c r="O125" s="18"/>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row>
    <row r="126">
      <c r="A126" s="18"/>
      <c r="B126" s="2"/>
      <c r="C126" s="18"/>
      <c r="D126" s="18"/>
      <c r="E126" s="18"/>
      <c r="F126" s="2"/>
      <c r="G126" s="2"/>
      <c r="H126" s="2"/>
      <c r="I126" s="2"/>
      <c r="J126" s="2"/>
      <c r="K126" s="2"/>
      <c r="L126" s="18"/>
      <c r="M126" s="2"/>
      <c r="N126" s="18"/>
      <c r="O126" s="18"/>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row>
    <row r="127">
      <c r="A127" s="18"/>
      <c r="B127" s="2"/>
      <c r="C127" s="18"/>
      <c r="D127" s="18"/>
      <c r="E127" s="18"/>
      <c r="F127" s="2"/>
      <c r="G127" s="2"/>
      <c r="H127" s="2"/>
      <c r="I127" s="2"/>
      <c r="J127" s="2"/>
      <c r="K127" s="2"/>
      <c r="L127" s="18"/>
      <c r="M127" s="2"/>
      <c r="N127" s="18"/>
      <c r="O127" s="18"/>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row>
    <row r="128">
      <c r="A128" s="18"/>
      <c r="B128" s="2"/>
      <c r="C128" s="18"/>
      <c r="D128" s="18"/>
      <c r="E128" s="18"/>
      <c r="F128" s="2"/>
      <c r="G128" s="2"/>
      <c r="H128" s="2"/>
      <c r="I128" s="2"/>
      <c r="J128" s="2"/>
      <c r="K128" s="2"/>
      <c r="L128" s="18"/>
      <c r="M128" s="2"/>
      <c r="N128" s="18"/>
      <c r="O128" s="18"/>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row>
    <row r="129">
      <c r="A129" s="18"/>
      <c r="B129" s="2"/>
      <c r="C129" s="18"/>
      <c r="D129" s="18"/>
      <c r="E129" s="18"/>
      <c r="F129" s="2"/>
      <c r="G129" s="2"/>
      <c r="H129" s="2"/>
      <c r="I129" s="2"/>
      <c r="J129" s="2"/>
      <c r="K129" s="2"/>
      <c r="L129" s="18"/>
      <c r="M129" s="2"/>
      <c r="N129" s="18"/>
      <c r="O129" s="18"/>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row>
    <row r="130">
      <c r="A130" s="18"/>
      <c r="B130" s="2"/>
      <c r="C130" s="18"/>
      <c r="D130" s="18"/>
      <c r="E130" s="18"/>
      <c r="F130" s="2"/>
      <c r="G130" s="2"/>
      <c r="H130" s="2"/>
      <c r="I130" s="2"/>
      <c r="J130" s="2"/>
      <c r="K130" s="2"/>
      <c r="L130" s="18"/>
      <c r="M130" s="2"/>
      <c r="N130" s="18"/>
      <c r="O130" s="18"/>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row>
    <row r="131">
      <c r="A131" s="18"/>
      <c r="B131" s="2"/>
      <c r="C131" s="18"/>
      <c r="D131" s="18"/>
      <c r="E131" s="18"/>
      <c r="F131" s="2"/>
      <c r="G131" s="2"/>
      <c r="H131" s="2"/>
      <c r="I131" s="2"/>
      <c r="J131" s="2"/>
      <c r="K131" s="2"/>
      <c r="L131" s="18"/>
      <c r="M131" s="2"/>
      <c r="N131" s="18"/>
      <c r="O131" s="18"/>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row>
    <row r="132">
      <c r="A132" s="18"/>
      <c r="B132" s="2"/>
      <c r="C132" s="18"/>
      <c r="D132" s="18"/>
      <c r="E132" s="18"/>
      <c r="F132" s="2"/>
      <c r="G132" s="2"/>
      <c r="H132" s="2"/>
      <c r="I132" s="2"/>
      <c r="J132" s="2"/>
      <c r="K132" s="2"/>
      <c r="L132" s="18"/>
      <c r="M132" s="2"/>
      <c r="N132" s="18"/>
      <c r="O132" s="18"/>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row>
    <row r="133">
      <c r="A133" s="18"/>
      <c r="B133" s="2"/>
      <c r="C133" s="18"/>
      <c r="D133" s="18"/>
      <c r="E133" s="18"/>
      <c r="F133" s="2"/>
      <c r="G133" s="2"/>
      <c r="H133" s="2"/>
      <c r="I133" s="2"/>
      <c r="J133" s="2"/>
      <c r="K133" s="2"/>
      <c r="L133" s="18"/>
      <c r="M133" s="2"/>
      <c r="N133" s="18"/>
      <c r="O133" s="18"/>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row>
    <row r="134">
      <c r="A134" s="18"/>
      <c r="B134" s="2"/>
      <c r="C134" s="18"/>
      <c r="D134" s="18"/>
      <c r="E134" s="18"/>
      <c r="F134" s="2"/>
      <c r="G134" s="2"/>
      <c r="H134" s="2"/>
      <c r="I134" s="2"/>
      <c r="J134" s="2"/>
      <c r="K134" s="2"/>
      <c r="L134" s="18"/>
      <c r="M134" s="2"/>
      <c r="N134" s="18"/>
      <c r="O134" s="18"/>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row>
    <row r="135">
      <c r="A135" s="18"/>
      <c r="B135" s="2"/>
      <c r="C135" s="18"/>
      <c r="D135" s="18"/>
      <c r="E135" s="18"/>
      <c r="F135" s="2"/>
      <c r="G135" s="2"/>
      <c r="H135" s="2"/>
      <c r="I135" s="2"/>
      <c r="J135" s="2"/>
      <c r="K135" s="2"/>
      <c r="L135" s="18"/>
      <c r="M135" s="2"/>
      <c r="N135" s="18"/>
      <c r="O135" s="18"/>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row>
    <row r="136">
      <c r="A136" s="18"/>
      <c r="B136" s="2"/>
      <c r="C136" s="18"/>
      <c r="D136" s="18"/>
      <c r="E136" s="18"/>
      <c r="F136" s="2"/>
      <c r="G136" s="2"/>
      <c r="H136" s="2"/>
      <c r="I136" s="2"/>
      <c r="J136" s="2"/>
      <c r="K136" s="2"/>
      <c r="L136" s="18"/>
      <c r="M136" s="2"/>
      <c r="N136" s="18"/>
      <c r="O136" s="18"/>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row>
    <row r="137">
      <c r="A137" s="18"/>
      <c r="B137" s="2"/>
      <c r="C137" s="18"/>
      <c r="D137" s="18"/>
      <c r="E137" s="18"/>
      <c r="F137" s="2"/>
      <c r="G137" s="2"/>
      <c r="H137" s="2"/>
      <c r="I137" s="2"/>
      <c r="J137" s="2"/>
      <c r="K137" s="2"/>
      <c r="L137" s="18"/>
      <c r="M137" s="2"/>
      <c r="N137" s="18"/>
      <c r="O137" s="18"/>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row>
    <row r="138">
      <c r="A138" s="18"/>
      <c r="B138" s="2"/>
      <c r="C138" s="18"/>
      <c r="D138" s="18"/>
      <c r="E138" s="18"/>
      <c r="F138" s="2"/>
      <c r="G138" s="2"/>
      <c r="H138" s="2"/>
      <c r="I138" s="2"/>
      <c r="J138" s="2"/>
      <c r="K138" s="2"/>
      <c r="L138" s="18"/>
      <c r="M138" s="2"/>
      <c r="N138" s="18"/>
      <c r="O138" s="18"/>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row>
    <row r="139">
      <c r="A139" s="18"/>
      <c r="B139" s="2"/>
      <c r="C139" s="18"/>
      <c r="D139" s="18"/>
      <c r="E139" s="18"/>
      <c r="F139" s="2"/>
      <c r="G139" s="2"/>
      <c r="H139" s="2"/>
      <c r="I139" s="2"/>
      <c r="J139" s="2"/>
      <c r="K139" s="2"/>
      <c r="L139" s="18"/>
      <c r="M139" s="2"/>
      <c r="N139" s="18"/>
      <c r="O139" s="18"/>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row>
    <row r="140">
      <c r="A140" s="18"/>
      <c r="B140" s="2"/>
      <c r="C140" s="18"/>
      <c r="D140" s="18"/>
      <c r="E140" s="18"/>
      <c r="F140" s="2"/>
      <c r="G140" s="2"/>
      <c r="H140" s="2"/>
      <c r="I140" s="2"/>
      <c r="J140" s="2"/>
      <c r="K140" s="2"/>
      <c r="L140" s="18"/>
      <c r="M140" s="2"/>
      <c r="N140" s="18"/>
      <c r="O140" s="18"/>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row>
    <row r="141">
      <c r="A141" s="18"/>
      <c r="B141" s="2"/>
      <c r="C141" s="18"/>
      <c r="D141" s="18"/>
      <c r="E141" s="18"/>
      <c r="F141" s="2"/>
      <c r="G141" s="2"/>
      <c r="H141" s="2"/>
      <c r="I141" s="2"/>
      <c r="J141" s="2"/>
      <c r="K141" s="2"/>
      <c r="L141" s="18"/>
      <c r="M141" s="2"/>
      <c r="N141" s="18"/>
      <c r="O141" s="18"/>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row>
    <row r="142">
      <c r="A142" s="18"/>
      <c r="B142" s="2"/>
      <c r="C142" s="18"/>
      <c r="D142" s="18"/>
      <c r="E142" s="18"/>
      <c r="F142" s="2"/>
      <c r="G142" s="2"/>
      <c r="H142" s="2"/>
      <c r="I142" s="2"/>
      <c r="J142" s="2"/>
      <c r="K142" s="2"/>
      <c r="L142" s="18"/>
      <c r="M142" s="2"/>
      <c r="N142" s="18"/>
      <c r="O142" s="18"/>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row>
    <row r="143">
      <c r="A143" s="18"/>
      <c r="B143" s="2"/>
      <c r="C143" s="18"/>
      <c r="D143" s="18"/>
      <c r="E143" s="18"/>
      <c r="F143" s="2"/>
      <c r="G143" s="2"/>
      <c r="H143" s="2"/>
      <c r="I143" s="2"/>
      <c r="J143" s="2"/>
      <c r="K143" s="2"/>
      <c r="L143" s="18"/>
      <c r="M143" s="2"/>
      <c r="N143" s="18"/>
      <c r="O143" s="18"/>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row>
    <row r="144">
      <c r="A144" s="18"/>
      <c r="B144" s="2"/>
      <c r="C144" s="18"/>
      <c r="D144" s="18"/>
      <c r="E144" s="18"/>
      <c r="F144" s="2"/>
      <c r="G144" s="2"/>
      <c r="H144" s="2"/>
      <c r="I144" s="2"/>
      <c r="J144" s="2"/>
      <c r="K144" s="2"/>
      <c r="L144" s="18"/>
      <c r="M144" s="2"/>
      <c r="N144" s="18"/>
      <c r="O144" s="18"/>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row>
    <row r="145">
      <c r="A145" s="18"/>
      <c r="B145" s="2"/>
      <c r="C145" s="18"/>
      <c r="D145" s="18"/>
      <c r="E145" s="18"/>
      <c r="F145" s="2"/>
      <c r="G145" s="2"/>
      <c r="H145" s="2"/>
      <c r="I145" s="2"/>
      <c r="J145" s="2"/>
      <c r="K145" s="2"/>
      <c r="L145" s="18"/>
      <c r="M145" s="2"/>
      <c r="N145" s="18"/>
      <c r="O145" s="18"/>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row>
    <row r="146">
      <c r="A146" s="18"/>
      <c r="B146" s="2"/>
      <c r="C146" s="18"/>
      <c r="D146" s="18"/>
      <c r="E146" s="18"/>
      <c r="F146" s="2"/>
      <c r="G146" s="2"/>
      <c r="H146" s="2"/>
      <c r="I146" s="2"/>
      <c r="J146" s="2"/>
      <c r="K146" s="2"/>
      <c r="L146" s="18"/>
      <c r="M146" s="2"/>
      <c r="N146" s="18"/>
      <c r="O146" s="18"/>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row>
    <row r="147">
      <c r="A147" s="18"/>
      <c r="B147" s="2"/>
      <c r="C147" s="18"/>
      <c r="D147" s="18"/>
      <c r="E147" s="18"/>
      <c r="F147" s="2"/>
      <c r="G147" s="2"/>
      <c r="H147" s="2"/>
      <c r="I147" s="2"/>
      <c r="J147" s="2"/>
      <c r="K147" s="2"/>
      <c r="L147" s="18"/>
      <c r="M147" s="2"/>
      <c r="N147" s="18"/>
      <c r="O147" s="18"/>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row>
    <row r="148">
      <c r="A148" s="18"/>
      <c r="B148" s="2"/>
      <c r="C148" s="18"/>
      <c r="D148" s="18"/>
      <c r="E148" s="18"/>
      <c r="F148" s="2"/>
      <c r="G148" s="2"/>
      <c r="H148" s="2"/>
      <c r="I148" s="2"/>
      <c r="J148" s="2"/>
      <c r="K148" s="2"/>
      <c r="L148" s="18"/>
      <c r="M148" s="2"/>
      <c r="N148" s="18"/>
      <c r="O148" s="18"/>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row>
    <row r="149">
      <c r="A149" s="18"/>
      <c r="B149" s="2"/>
      <c r="C149" s="18"/>
      <c r="D149" s="18"/>
      <c r="E149" s="18"/>
      <c r="F149" s="2"/>
      <c r="G149" s="2"/>
      <c r="H149" s="2"/>
      <c r="I149" s="2"/>
      <c r="J149" s="2"/>
      <c r="K149" s="2"/>
      <c r="L149" s="18"/>
      <c r="M149" s="2"/>
      <c r="N149" s="18"/>
      <c r="O149" s="18"/>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row>
    <row r="150">
      <c r="A150" s="18"/>
      <c r="B150" s="2"/>
      <c r="C150" s="18"/>
      <c r="D150" s="18"/>
      <c r="E150" s="18"/>
      <c r="F150" s="2"/>
      <c r="G150" s="2"/>
      <c r="H150" s="2"/>
      <c r="I150" s="2"/>
      <c r="J150" s="2"/>
      <c r="K150" s="2"/>
      <c r="L150" s="18"/>
      <c r="M150" s="2"/>
      <c r="N150" s="18"/>
      <c r="O150" s="18"/>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row>
    <row r="151">
      <c r="A151" s="18"/>
      <c r="B151" s="2"/>
      <c r="C151" s="18"/>
      <c r="D151" s="18"/>
      <c r="E151" s="18"/>
      <c r="F151" s="2"/>
      <c r="G151" s="2"/>
      <c r="H151" s="2"/>
      <c r="I151" s="2"/>
      <c r="J151" s="2"/>
      <c r="K151" s="2"/>
      <c r="L151" s="18"/>
      <c r="M151" s="2"/>
      <c r="N151" s="18"/>
      <c r="O151" s="18"/>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row>
    <row r="152">
      <c r="A152" s="18"/>
      <c r="B152" s="2"/>
      <c r="C152" s="18"/>
      <c r="D152" s="18"/>
      <c r="E152" s="18"/>
      <c r="F152" s="2"/>
      <c r="G152" s="2"/>
      <c r="H152" s="2"/>
      <c r="I152" s="2"/>
      <c r="J152" s="2"/>
      <c r="K152" s="2"/>
      <c r="L152" s="18"/>
      <c r="M152" s="2"/>
      <c r="N152" s="18"/>
      <c r="O152" s="18"/>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row>
    <row r="153">
      <c r="A153" s="18"/>
      <c r="B153" s="2"/>
      <c r="C153" s="18"/>
      <c r="D153" s="18"/>
      <c r="E153" s="18"/>
      <c r="F153" s="2"/>
      <c r="G153" s="2"/>
      <c r="H153" s="2"/>
      <c r="I153" s="2"/>
      <c r="J153" s="2"/>
      <c r="K153" s="2"/>
      <c r="L153" s="18"/>
      <c r="M153" s="2"/>
      <c r="N153" s="18"/>
      <c r="O153" s="18"/>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row>
    <row r="154">
      <c r="A154" s="18"/>
      <c r="B154" s="2"/>
      <c r="C154" s="18"/>
      <c r="D154" s="18"/>
      <c r="E154" s="18"/>
      <c r="F154" s="2"/>
      <c r="G154" s="2"/>
      <c r="H154" s="2"/>
      <c r="I154" s="2"/>
      <c r="J154" s="2"/>
      <c r="K154" s="2"/>
      <c r="L154" s="18"/>
      <c r="M154" s="2"/>
      <c r="N154" s="18"/>
      <c r="O154" s="18"/>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row>
    <row r="155">
      <c r="A155" s="18"/>
      <c r="B155" s="2"/>
      <c r="C155" s="18"/>
      <c r="D155" s="18"/>
      <c r="E155" s="18"/>
      <c r="F155" s="2"/>
      <c r="G155" s="2"/>
      <c r="H155" s="2"/>
      <c r="I155" s="2"/>
      <c r="J155" s="2"/>
      <c r="K155" s="2"/>
      <c r="L155" s="18"/>
      <c r="M155" s="2"/>
      <c r="N155" s="18"/>
      <c r="O155" s="18"/>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row>
    <row r="156">
      <c r="A156" s="18"/>
      <c r="B156" s="2"/>
      <c r="C156" s="18"/>
      <c r="D156" s="18"/>
      <c r="E156" s="18"/>
      <c r="F156" s="2"/>
      <c r="G156" s="2"/>
      <c r="H156" s="2"/>
      <c r="I156" s="2"/>
      <c r="J156" s="2"/>
      <c r="K156" s="2"/>
      <c r="L156" s="18"/>
      <c r="M156" s="2"/>
      <c r="N156" s="18"/>
      <c r="O156" s="18"/>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row>
    <row r="157">
      <c r="A157" s="18"/>
      <c r="B157" s="2"/>
      <c r="C157" s="18"/>
      <c r="D157" s="18"/>
      <c r="E157" s="18"/>
      <c r="F157" s="2"/>
      <c r="G157" s="2"/>
      <c r="H157" s="2"/>
      <c r="I157" s="2"/>
      <c r="J157" s="2"/>
      <c r="K157" s="2"/>
      <c r="L157" s="18"/>
      <c r="M157" s="2"/>
      <c r="N157" s="18"/>
      <c r="O157" s="18"/>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row>
    <row r="158">
      <c r="A158" s="18"/>
      <c r="B158" s="2"/>
      <c r="C158" s="18"/>
      <c r="D158" s="18"/>
      <c r="E158" s="18"/>
      <c r="F158" s="2"/>
      <c r="G158" s="2"/>
      <c r="H158" s="2"/>
      <c r="I158" s="2"/>
      <c r="J158" s="2"/>
      <c r="K158" s="2"/>
      <c r="L158" s="18"/>
      <c r="M158" s="2"/>
      <c r="N158" s="18"/>
      <c r="O158" s="18"/>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row>
    <row r="159">
      <c r="A159" s="18"/>
      <c r="B159" s="2"/>
      <c r="C159" s="18"/>
      <c r="D159" s="18"/>
      <c r="E159" s="18"/>
      <c r="F159" s="2"/>
      <c r="G159" s="2"/>
      <c r="H159" s="2"/>
      <c r="I159" s="2"/>
      <c r="J159" s="2"/>
      <c r="K159" s="2"/>
      <c r="L159" s="18"/>
      <c r="M159" s="2"/>
      <c r="N159" s="18"/>
      <c r="O159" s="18"/>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row>
    <row r="160">
      <c r="A160" s="18"/>
      <c r="B160" s="2"/>
      <c r="C160" s="18"/>
      <c r="D160" s="18"/>
      <c r="E160" s="18"/>
      <c r="F160" s="2"/>
      <c r="G160" s="2"/>
      <c r="H160" s="2"/>
      <c r="I160" s="2"/>
      <c r="J160" s="2"/>
      <c r="K160" s="2"/>
      <c r="L160" s="18"/>
      <c r="M160" s="2"/>
      <c r="N160" s="18"/>
      <c r="O160" s="18"/>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row>
    <row r="161">
      <c r="A161" s="18"/>
      <c r="B161" s="2"/>
      <c r="C161" s="18"/>
      <c r="D161" s="18"/>
      <c r="E161" s="18"/>
      <c r="F161" s="2"/>
      <c r="G161" s="2"/>
      <c r="H161" s="2"/>
      <c r="I161" s="2"/>
      <c r="J161" s="2"/>
      <c r="K161" s="2"/>
      <c r="L161" s="18"/>
      <c r="M161" s="2"/>
      <c r="N161" s="18"/>
      <c r="O161" s="18"/>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row>
    <row r="162">
      <c r="A162" s="18"/>
      <c r="B162" s="2"/>
      <c r="C162" s="18"/>
      <c r="D162" s="18"/>
      <c r="E162" s="18"/>
      <c r="F162" s="2"/>
      <c r="G162" s="2"/>
      <c r="H162" s="2"/>
      <c r="I162" s="2"/>
      <c r="J162" s="2"/>
      <c r="K162" s="2"/>
      <c r="L162" s="18"/>
      <c r="M162" s="2"/>
      <c r="N162" s="18"/>
      <c r="O162" s="18"/>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row>
    <row r="163">
      <c r="A163" s="18"/>
      <c r="B163" s="2"/>
      <c r="C163" s="18"/>
      <c r="D163" s="18"/>
      <c r="E163" s="18"/>
      <c r="F163" s="2"/>
      <c r="G163" s="2"/>
      <c r="H163" s="2"/>
      <c r="I163" s="2"/>
      <c r="J163" s="2"/>
      <c r="K163" s="2"/>
      <c r="L163" s="18"/>
      <c r="M163" s="2"/>
      <c r="N163" s="18"/>
      <c r="O163" s="18"/>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row>
    <row r="164">
      <c r="A164" s="18"/>
      <c r="B164" s="2"/>
      <c r="C164" s="18"/>
      <c r="D164" s="18"/>
      <c r="E164" s="18"/>
      <c r="F164" s="2"/>
      <c r="G164" s="2"/>
      <c r="H164" s="2"/>
      <c r="I164" s="2"/>
      <c r="J164" s="2"/>
      <c r="K164" s="2"/>
      <c r="L164" s="18"/>
      <c r="M164" s="2"/>
      <c r="N164" s="18"/>
      <c r="O164" s="18"/>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row>
    <row r="165">
      <c r="A165" s="18"/>
      <c r="B165" s="2"/>
      <c r="C165" s="18"/>
      <c r="D165" s="18"/>
      <c r="E165" s="18"/>
      <c r="F165" s="2"/>
      <c r="G165" s="2"/>
      <c r="H165" s="2"/>
      <c r="I165" s="2"/>
      <c r="J165" s="2"/>
      <c r="K165" s="2"/>
      <c r="L165" s="18"/>
      <c r="M165" s="2"/>
      <c r="N165" s="18"/>
      <c r="O165" s="18"/>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row>
    <row r="166">
      <c r="A166" s="18"/>
      <c r="B166" s="2"/>
      <c r="C166" s="18"/>
      <c r="D166" s="18"/>
      <c r="E166" s="18"/>
      <c r="F166" s="2"/>
      <c r="G166" s="2"/>
      <c r="H166" s="2"/>
      <c r="I166" s="2"/>
      <c r="J166" s="2"/>
      <c r="K166" s="2"/>
      <c r="L166" s="18"/>
      <c r="M166" s="2"/>
      <c r="N166" s="18"/>
      <c r="O166" s="18"/>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row>
    <row r="167">
      <c r="A167" s="18"/>
      <c r="B167" s="2"/>
      <c r="C167" s="18"/>
      <c r="D167" s="18"/>
      <c r="E167" s="18"/>
      <c r="F167" s="2"/>
      <c r="G167" s="2"/>
      <c r="H167" s="2"/>
      <c r="I167" s="2"/>
      <c r="J167" s="2"/>
      <c r="K167" s="2"/>
      <c r="L167" s="18"/>
      <c r="M167" s="2"/>
      <c r="N167" s="18"/>
      <c r="O167" s="18"/>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row>
    <row r="168">
      <c r="A168" s="18"/>
      <c r="B168" s="2"/>
      <c r="C168" s="18"/>
      <c r="D168" s="18"/>
      <c r="E168" s="18"/>
      <c r="F168" s="2"/>
      <c r="G168" s="2"/>
      <c r="H168" s="2"/>
      <c r="I168" s="2"/>
      <c r="J168" s="2"/>
      <c r="K168" s="2"/>
      <c r="L168" s="18"/>
      <c r="M168" s="2"/>
      <c r="N168" s="18"/>
      <c r="O168" s="18"/>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row>
    <row r="169">
      <c r="A169" s="18"/>
      <c r="B169" s="2"/>
      <c r="C169" s="18"/>
      <c r="D169" s="18"/>
      <c r="E169" s="18"/>
      <c r="F169" s="2"/>
      <c r="G169" s="2"/>
      <c r="H169" s="2"/>
      <c r="I169" s="2"/>
      <c r="J169" s="2"/>
      <c r="K169" s="2"/>
      <c r="L169" s="18"/>
      <c r="M169" s="2"/>
      <c r="N169" s="18"/>
      <c r="O169" s="18"/>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row>
    <row r="170">
      <c r="A170" s="18"/>
      <c r="B170" s="2"/>
      <c r="C170" s="18"/>
      <c r="D170" s="18"/>
      <c r="E170" s="18"/>
      <c r="F170" s="2"/>
      <c r="G170" s="2"/>
      <c r="H170" s="2"/>
      <c r="I170" s="2"/>
      <c r="J170" s="2"/>
      <c r="K170" s="2"/>
      <c r="L170" s="18"/>
      <c r="M170" s="2"/>
      <c r="N170" s="18"/>
      <c r="O170" s="18"/>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row>
    <row r="171">
      <c r="A171" s="18"/>
      <c r="B171" s="2"/>
      <c r="C171" s="18"/>
      <c r="D171" s="18"/>
      <c r="E171" s="18"/>
      <c r="F171" s="2"/>
      <c r="G171" s="2"/>
      <c r="H171" s="2"/>
      <c r="I171" s="2"/>
      <c r="J171" s="2"/>
      <c r="K171" s="2"/>
      <c r="L171" s="18"/>
      <c r="M171" s="2"/>
      <c r="N171" s="18"/>
      <c r="O171" s="18"/>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row>
    <row r="172">
      <c r="A172" s="18"/>
      <c r="B172" s="2"/>
      <c r="C172" s="18"/>
      <c r="D172" s="18"/>
      <c r="E172" s="18"/>
      <c r="F172" s="2"/>
      <c r="G172" s="2"/>
      <c r="H172" s="2"/>
      <c r="I172" s="2"/>
      <c r="J172" s="2"/>
      <c r="K172" s="2"/>
      <c r="L172" s="18"/>
      <c r="M172" s="2"/>
      <c r="N172" s="18"/>
      <c r="O172" s="18"/>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row>
    <row r="173">
      <c r="A173" s="18"/>
      <c r="B173" s="2"/>
      <c r="C173" s="18"/>
      <c r="D173" s="18"/>
      <c r="E173" s="18"/>
      <c r="F173" s="2"/>
      <c r="G173" s="2"/>
      <c r="H173" s="2"/>
      <c r="I173" s="2"/>
      <c r="J173" s="2"/>
      <c r="K173" s="2"/>
      <c r="L173" s="18"/>
      <c r="M173" s="2"/>
      <c r="N173" s="18"/>
      <c r="O173" s="18"/>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row>
    <row r="174">
      <c r="A174" s="18"/>
      <c r="B174" s="2"/>
      <c r="C174" s="18"/>
      <c r="D174" s="18"/>
      <c r="E174" s="18"/>
      <c r="F174" s="2"/>
      <c r="G174" s="2"/>
      <c r="H174" s="2"/>
      <c r="I174" s="2"/>
      <c r="J174" s="2"/>
      <c r="K174" s="2"/>
      <c r="L174" s="18"/>
      <c r="M174" s="2"/>
      <c r="N174" s="18"/>
      <c r="O174" s="18"/>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row>
    <row r="175">
      <c r="A175" s="18"/>
      <c r="B175" s="2"/>
      <c r="C175" s="18"/>
      <c r="D175" s="18"/>
      <c r="E175" s="18"/>
      <c r="F175" s="2"/>
      <c r="G175" s="2"/>
      <c r="H175" s="2"/>
      <c r="I175" s="2"/>
      <c r="J175" s="2"/>
      <c r="K175" s="2"/>
      <c r="L175" s="18"/>
      <c r="M175" s="2"/>
      <c r="N175" s="18"/>
      <c r="O175" s="18"/>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row>
    <row r="176">
      <c r="A176" s="18"/>
      <c r="B176" s="2"/>
      <c r="C176" s="18"/>
      <c r="D176" s="18"/>
      <c r="E176" s="18"/>
      <c r="F176" s="2"/>
      <c r="G176" s="2"/>
      <c r="H176" s="2"/>
      <c r="I176" s="2"/>
      <c r="J176" s="2"/>
      <c r="K176" s="2"/>
      <c r="L176" s="18"/>
      <c r="M176" s="2"/>
      <c r="N176" s="18"/>
      <c r="O176" s="18"/>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row>
    <row r="177">
      <c r="A177" s="18"/>
      <c r="B177" s="2"/>
      <c r="C177" s="18"/>
      <c r="D177" s="18"/>
      <c r="E177" s="18"/>
      <c r="F177" s="2"/>
      <c r="G177" s="2"/>
      <c r="H177" s="2"/>
      <c r="I177" s="2"/>
      <c r="J177" s="2"/>
      <c r="K177" s="2"/>
      <c r="L177" s="18"/>
      <c r="M177" s="2"/>
      <c r="N177" s="18"/>
      <c r="O177" s="18"/>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row>
    <row r="178">
      <c r="A178" s="18"/>
      <c r="B178" s="2"/>
      <c r="C178" s="18"/>
      <c r="D178" s="18"/>
      <c r="E178" s="18"/>
      <c r="F178" s="2"/>
      <c r="G178" s="2"/>
      <c r="H178" s="2"/>
      <c r="I178" s="2"/>
      <c r="J178" s="2"/>
      <c r="K178" s="2"/>
      <c r="L178" s="18"/>
      <c r="M178" s="2"/>
      <c r="N178" s="18"/>
      <c r="O178" s="18"/>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row>
    <row r="179">
      <c r="A179" s="18"/>
      <c r="B179" s="2"/>
      <c r="C179" s="18"/>
      <c r="D179" s="18"/>
      <c r="E179" s="18"/>
      <c r="F179" s="2"/>
      <c r="G179" s="2"/>
      <c r="H179" s="2"/>
      <c r="I179" s="2"/>
      <c r="J179" s="2"/>
      <c r="K179" s="2"/>
      <c r="L179" s="18"/>
      <c r="M179" s="2"/>
      <c r="N179" s="18"/>
      <c r="O179" s="18"/>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row>
    <row r="180">
      <c r="A180" s="18"/>
      <c r="B180" s="2"/>
      <c r="C180" s="18"/>
      <c r="D180" s="18"/>
      <c r="E180" s="18"/>
      <c r="F180" s="2"/>
      <c r="G180" s="2"/>
      <c r="H180" s="2"/>
      <c r="I180" s="2"/>
      <c r="J180" s="2"/>
      <c r="K180" s="2"/>
      <c r="L180" s="18"/>
      <c r="M180" s="2"/>
      <c r="N180" s="18"/>
      <c r="O180" s="18"/>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row>
    <row r="181">
      <c r="A181" s="18"/>
      <c r="B181" s="2"/>
      <c r="C181" s="18"/>
      <c r="D181" s="18"/>
      <c r="E181" s="18"/>
      <c r="F181" s="2"/>
      <c r="G181" s="2"/>
      <c r="H181" s="2"/>
      <c r="I181" s="2"/>
      <c r="J181" s="2"/>
      <c r="K181" s="2"/>
      <c r="L181" s="18"/>
      <c r="M181" s="2"/>
      <c r="N181" s="18"/>
      <c r="O181" s="18"/>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row>
    <row r="182">
      <c r="A182" s="18"/>
      <c r="B182" s="2"/>
      <c r="C182" s="18"/>
      <c r="D182" s="18"/>
      <c r="E182" s="18"/>
      <c r="F182" s="2"/>
      <c r="G182" s="2"/>
      <c r="H182" s="2"/>
      <c r="I182" s="2"/>
      <c r="J182" s="2"/>
      <c r="K182" s="2"/>
      <c r="L182" s="18"/>
      <c r="M182" s="2"/>
      <c r="N182" s="18"/>
      <c r="O182" s="18"/>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row>
    <row r="183">
      <c r="A183" s="18"/>
      <c r="B183" s="2"/>
      <c r="C183" s="18"/>
      <c r="D183" s="18"/>
      <c r="E183" s="18"/>
      <c r="F183" s="2"/>
      <c r="G183" s="2"/>
      <c r="H183" s="2"/>
      <c r="I183" s="2"/>
      <c r="J183" s="2"/>
      <c r="K183" s="2"/>
      <c r="L183" s="18"/>
      <c r="M183" s="2"/>
      <c r="N183" s="18"/>
      <c r="O183" s="18"/>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row>
    <row r="184">
      <c r="A184" s="18"/>
      <c r="B184" s="2"/>
      <c r="C184" s="18"/>
      <c r="D184" s="18"/>
      <c r="E184" s="18"/>
      <c r="F184" s="2"/>
      <c r="G184" s="2"/>
      <c r="H184" s="2"/>
      <c r="I184" s="2"/>
      <c r="J184" s="2"/>
      <c r="K184" s="2"/>
      <c r="L184" s="18"/>
      <c r="M184" s="2"/>
      <c r="N184" s="18"/>
      <c r="O184" s="18"/>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row>
    <row r="185">
      <c r="A185" s="18"/>
      <c r="B185" s="2"/>
      <c r="C185" s="18"/>
      <c r="D185" s="18"/>
      <c r="E185" s="18"/>
      <c r="F185" s="2"/>
      <c r="G185" s="2"/>
      <c r="H185" s="2"/>
      <c r="I185" s="2"/>
      <c r="J185" s="2"/>
      <c r="K185" s="2"/>
      <c r="L185" s="18"/>
      <c r="M185" s="2"/>
      <c r="N185" s="18"/>
      <c r="O185" s="18"/>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row>
    <row r="186">
      <c r="A186" s="18"/>
      <c r="B186" s="2"/>
      <c r="C186" s="18"/>
      <c r="D186" s="18"/>
      <c r="E186" s="18"/>
      <c r="F186" s="2"/>
      <c r="G186" s="2"/>
      <c r="H186" s="2"/>
      <c r="I186" s="2"/>
      <c r="J186" s="2"/>
      <c r="K186" s="2"/>
      <c r="L186" s="18"/>
      <c r="M186" s="2"/>
      <c r="N186" s="18"/>
      <c r="O186" s="18"/>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row>
    <row r="187">
      <c r="A187" s="18"/>
      <c r="B187" s="2"/>
      <c r="C187" s="18"/>
      <c r="D187" s="18"/>
      <c r="E187" s="18"/>
      <c r="F187" s="2"/>
      <c r="G187" s="2"/>
      <c r="H187" s="2"/>
      <c r="I187" s="2"/>
      <c r="J187" s="2"/>
      <c r="K187" s="2"/>
      <c r="L187" s="18"/>
      <c r="M187" s="2"/>
      <c r="N187" s="18"/>
      <c r="O187" s="18"/>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row>
    <row r="188">
      <c r="A188" s="18"/>
      <c r="B188" s="2"/>
      <c r="C188" s="18"/>
      <c r="D188" s="18"/>
      <c r="E188" s="18"/>
      <c r="F188" s="2"/>
      <c r="G188" s="2"/>
      <c r="H188" s="2"/>
      <c r="I188" s="2"/>
      <c r="J188" s="2"/>
      <c r="K188" s="2"/>
      <c r="L188" s="18"/>
      <c r="M188" s="2"/>
      <c r="N188" s="18"/>
      <c r="O188" s="18"/>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row>
    <row r="189">
      <c r="A189" s="18"/>
      <c r="B189" s="2"/>
      <c r="C189" s="18"/>
      <c r="D189" s="18"/>
      <c r="E189" s="18"/>
      <c r="F189" s="2"/>
      <c r="G189" s="2"/>
      <c r="H189" s="2"/>
      <c r="I189" s="2"/>
      <c r="J189" s="2"/>
      <c r="K189" s="2"/>
      <c r="L189" s="18"/>
      <c r="M189" s="2"/>
      <c r="N189" s="18"/>
      <c r="O189" s="18"/>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row>
    <row r="190">
      <c r="A190" s="18"/>
      <c r="B190" s="2"/>
      <c r="C190" s="18"/>
      <c r="D190" s="18"/>
      <c r="E190" s="18"/>
      <c r="F190" s="2"/>
      <c r="G190" s="2"/>
      <c r="H190" s="2"/>
      <c r="I190" s="2"/>
      <c r="J190" s="2"/>
      <c r="K190" s="2"/>
      <c r="L190" s="18"/>
      <c r="M190" s="2"/>
      <c r="N190" s="18"/>
      <c r="O190" s="18"/>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row>
    <row r="191">
      <c r="A191" s="18"/>
      <c r="B191" s="2"/>
      <c r="C191" s="18"/>
      <c r="D191" s="18"/>
      <c r="E191" s="18"/>
      <c r="F191" s="2"/>
      <c r="G191" s="2"/>
      <c r="H191" s="2"/>
      <c r="I191" s="2"/>
      <c r="J191" s="2"/>
      <c r="K191" s="2"/>
      <c r="L191" s="18"/>
      <c r="M191" s="2"/>
      <c r="N191" s="18"/>
      <c r="O191" s="18"/>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row>
    <row r="192">
      <c r="A192" s="18"/>
      <c r="B192" s="2"/>
      <c r="C192" s="18"/>
      <c r="D192" s="18"/>
      <c r="E192" s="18"/>
      <c r="F192" s="2"/>
      <c r="G192" s="2"/>
      <c r="H192" s="2"/>
      <c r="I192" s="2"/>
      <c r="J192" s="2"/>
      <c r="K192" s="2"/>
      <c r="L192" s="18"/>
      <c r="M192" s="2"/>
      <c r="N192" s="18"/>
      <c r="O192" s="18"/>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row>
    <row r="193">
      <c r="A193" s="18"/>
      <c r="B193" s="2"/>
      <c r="C193" s="18"/>
      <c r="D193" s="18"/>
      <c r="E193" s="18"/>
      <c r="F193" s="2"/>
      <c r="G193" s="2"/>
      <c r="H193" s="2"/>
      <c r="I193" s="2"/>
      <c r="J193" s="2"/>
      <c r="K193" s="2"/>
      <c r="L193" s="18"/>
      <c r="M193" s="2"/>
      <c r="N193" s="18"/>
      <c r="O193" s="18"/>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row>
    <row r="194">
      <c r="A194" s="18"/>
      <c r="B194" s="2"/>
      <c r="C194" s="18"/>
      <c r="D194" s="18"/>
      <c r="E194" s="18"/>
      <c r="F194" s="2"/>
      <c r="G194" s="2"/>
      <c r="H194" s="2"/>
      <c r="I194" s="2"/>
      <c r="J194" s="2"/>
      <c r="K194" s="2"/>
      <c r="L194" s="18"/>
      <c r="M194" s="2"/>
      <c r="N194" s="18"/>
      <c r="O194" s="18"/>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row>
    <row r="195">
      <c r="A195" s="18"/>
      <c r="B195" s="2"/>
      <c r="C195" s="18"/>
      <c r="D195" s="18"/>
      <c r="E195" s="18"/>
      <c r="F195" s="2"/>
      <c r="G195" s="2"/>
      <c r="H195" s="2"/>
      <c r="I195" s="2"/>
      <c r="J195" s="2"/>
      <c r="K195" s="2"/>
      <c r="L195" s="18"/>
      <c r="M195" s="2"/>
      <c r="N195" s="18"/>
      <c r="O195" s="18"/>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row>
    <row r="196">
      <c r="A196" s="18"/>
      <c r="B196" s="2"/>
      <c r="C196" s="18"/>
      <c r="D196" s="18"/>
      <c r="E196" s="18"/>
      <c r="F196" s="2"/>
      <c r="G196" s="2"/>
      <c r="H196" s="2"/>
      <c r="I196" s="2"/>
      <c r="J196" s="2"/>
      <c r="K196" s="2"/>
      <c r="L196" s="18"/>
      <c r="M196" s="2"/>
      <c r="N196" s="18"/>
      <c r="O196" s="18"/>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row>
    <row r="197">
      <c r="A197" s="18"/>
      <c r="B197" s="2"/>
      <c r="C197" s="18"/>
      <c r="D197" s="18"/>
      <c r="E197" s="18"/>
      <c r="F197" s="2"/>
      <c r="G197" s="2"/>
      <c r="H197" s="2"/>
      <c r="I197" s="2"/>
      <c r="J197" s="2"/>
      <c r="K197" s="2"/>
      <c r="L197" s="18"/>
      <c r="M197" s="2"/>
      <c r="N197" s="18"/>
      <c r="O197" s="18"/>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row>
    <row r="198">
      <c r="A198" s="18"/>
      <c r="B198" s="2"/>
      <c r="C198" s="18"/>
      <c r="D198" s="18"/>
      <c r="E198" s="18"/>
      <c r="F198" s="2"/>
      <c r="G198" s="2"/>
      <c r="H198" s="2"/>
      <c r="I198" s="2"/>
      <c r="J198" s="2"/>
      <c r="K198" s="2"/>
      <c r="L198" s="18"/>
      <c r="M198" s="2"/>
      <c r="N198" s="18"/>
      <c r="O198" s="18"/>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row>
    <row r="199">
      <c r="A199" s="18"/>
      <c r="B199" s="2"/>
      <c r="C199" s="18"/>
      <c r="D199" s="18"/>
      <c r="E199" s="18"/>
      <c r="F199" s="2"/>
      <c r="G199" s="2"/>
      <c r="H199" s="2"/>
      <c r="I199" s="2"/>
      <c r="J199" s="2"/>
      <c r="K199" s="2"/>
      <c r="L199" s="18"/>
      <c r="M199" s="2"/>
      <c r="N199" s="18"/>
      <c r="O199" s="18"/>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row>
    <row r="200">
      <c r="A200" s="18"/>
      <c r="B200" s="2"/>
      <c r="C200" s="18"/>
      <c r="D200" s="18"/>
      <c r="E200" s="18"/>
      <c r="F200" s="2"/>
      <c r="G200" s="2"/>
      <c r="H200" s="2"/>
      <c r="I200" s="2"/>
      <c r="J200" s="2"/>
      <c r="K200" s="2"/>
      <c r="L200" s="18"/>
      <c r="M200" s="2"/>
      <c r="N200" s="18"/>
      <c r="O200" s="18"/>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row>
    <row r="201">
      <c r="A201" s="18"/>
      <c r="B201" s="2"/>
      <c r="C201" s="18"/>
      <c r="D201" s="18"/>
      <c r="E201" s="18"/>
      <c r="F201" s="2"/>
      <c r="G201" s="2"/>
      <c r="H201" s="2"/>
      <c r="I201" s="2"/>
      <c r="J201" s="2"/>
      <c r="K201" s="2"/>
      <c r="L201" s="18"/>
      <c r="M201" s="2"/>
      <c r="N201" s="18"/>
      <c r="O201" s="18"/>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row>
    <row r="202">
      <c r="A202" s="18"/>
      <c r="B202" s="2"/>
      <c r="C202" s="18"/>
      <c r="D202" s="18"/>
      <c r="E202" s="18"/>
      <c r="F202" s="2"/>
      <c r="G202" s="2"/>
      <c r="H202" s="2"/>
      <c r="I202" s="2"/>
      <c r="J202" s="2"/>
      <c r="K202" s="2"/>
      <c r="L202" s="18"/>
      <c r="M202" s="2"/>
      <c r="N202" s="18"/>
      <c r="O202" s="18"/>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row>
    <row r="203">
      <c r="A203" s="18"/>
      <c r="B203" s="2"/>
      <c r="C203" s="18"/>
      <c r="D203" s="18"/>
      <c r="E203" s="18"/>
      <c r="F203" s="2"/>
      <c r="G203" s="2"/>
      <c r="H203" s="2"/>
      <c r="I203" s="2"/>
      <c r="J203" s="2"/>
      <c r="K203" s="2"/>
      <c r="L203" s="18"/>
      <c r="M203" s="2"/>
      <c r="N203" s="18"/>
      <c r="O203" s="18"/>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row>
    <row r="204">
      <c r="A204" s="18"/>
      <c r="B204" s="2"/>
      <c r="C204" s="18"/>
      <c r="D204" s="18"/>
      <c r="E204" s="18"/>
      <c r="F204" s="2"/>
      <c r="G204" s="2"/>
      <c r="H204" s="2"/>
      <c r="I204" s="2"/>
      <c r="J204" s="2"/>
      <c r="K204" s="2"/>
      <c r="L204" s="18"/>
      <c r="M204" s="2"/>
      <c r="N204" s="18"/>
      <c r="O204" s="18"/>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row>
    <row r="205">
      <c r="A205" s="18"/>
      <c r="B205" s="2"/>
      <c r="C205" s="18"/>
      <c r="D205" s="18"/>
      <c r="E205" s="18"/>
      <c r="F205" s="2"/>
      <c r="G205" s="2"/>
      <c r="H205" s="2"/>
      <c r="I205" s="2"/>
      <c r="J205" s="2"/>
      <c r="K205" s="2"/>
      <c r="L205" s="18"/>
      <c r="M205" s="2"/>
      <c r="N205" s="18"/>
      <c r="O205" s="18"/>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row>
    <row r="206">
      <c r="A206" s="18"/>
      <c r="B206" s="2"/>
      <c r="C206" s="18"/>
      <c r="D206" s="18"/>
      <c r="E206" s="18"/>
      <c r="F206" s="2"/>
      <c r="G206" s="2"/>
      <c r="H206" s="2"/>
      <c r="I206" s="2"/>
      <c r="J206" s="2"/>
      <c r="K206" s="2"/>
      <c r="L206" s="18"/>
      <c r="M206" s="2"/>
      <c r="N206" s="18"/>
      <c r="O206" s="18"/>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row>
    <row r="207">
      <c r="A207" s="18"/>
      <c r="B207" s="2"/>
      <c r="C207" s="18"/>
      <c r="D207" s="18"/>
      <c r="E207" s="18"/>
      <c r="F207" s="2"/>
      <c r="G207" s="2"/>
      <c r="H207" s="2"/>
      <c r="I207" s="2"/>
      <c r="J207" s="2"/>
      <c r="K207" s="2"/>
      <c r="L207" s="18"/>
      <c r="M207" s="2"/>
      <c r="N207" s="18"/>
      <c r="O207" s="18"/>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row>
    <row r="208">
      <c r="A208" s="18"/>
      <c r="B208" s="2"/>
      <c r="C208" s="18"/>
      <c r="D208" s="18"/>
      <c r="E208" s="18"/>
      <c r="F208" s="2"/>
      <c r="G208" s="2"/>
      <c r="H208" s="2"/>
      <c r="I208" s="2"/>
      <c r="J208" s="2"/>
      <c r="K208" s="2"/>
      <c r="L208" s="18"/>
      <c r="M208" s="2"/>
      <c r="N208" s="18"/>
      <c r="O208" s="18"/>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row>
    <row r="209">
      <c r="A209" s="18"/>
      <c r="B209" s="2"/>
      <c r="C209" s="18"/>
      <c r="D209" s="18"/>
      <c r="E209" s="18"/>
      <c r="F209" s="2"/>
      <c r="G209" s="2"/>
      <c r="H209" s="2"/>
      <c r="I209" s="2"/>
      <c r="J209" s="2"/>
      <c r="K209" s="2"/>
      <c r="L209" s="18"/>
      <c r="M209" s="2"/>
      <c r="N209" s="18"/>
      <c r="O209" s="18"/>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row>
    <row r="210">
      <c r="A210" s="18"/>
      <c r="B210" s="2"/>
      <c r="C210" s="18"/>
      <c r="D210" s="18"/>
      <c r="E210" s="18"/>
      <c r="F210" s="2"/>
      <c r="G210" s="2"/>
      <c r="H210" s="2"/>
      <c r="I210" s="2"/>
      <c r="J210" s="2"/>
      <c r="K210" s="2"/>
      <c r="L210" s="18"/>
      <c r="M210" s="2"/>
      <c r="N210" s="18"/>
      <c r="O210" s="18"/>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row>
    <row r="211">
      <c r="A211" s="18"/>
      <c r="B211" s="2"/>
      <c r="C211" s="18"/>
      <c r="D211" s="18"/>
      <c r="E211" s="18"/>
      <c r="F211" s="2"/>
      <c r="G211" s="2"/>
      <c r="H211" s="2"/>
      <c r="I211" s="2"/>
      <c r="J211" s="2"/>
      <c r="K211" s="2"/>
      <c r="L211" s="18"/>
      <c r="M211" s="2"/>
      <c r="N211" s="18"/>
      <c r="O211" s="18"/>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row>
    <row r="212">
      <c r="A212" s="18"/>
      <c r="B212" s="2"/>
      <c r="C212" s="18"/>
      <c r="D212" s="18"/>
      <c r="E212" s="18"/>
      <c r="F212" s="2"/>
      <c r="G212" s="2"/>
      <c r="H212" s="2"/>
      <c r="I212" s="2"/>
      <c r="J212" s="2"/>
      <c r="K212" s="2"/>
      <c r="L212" s="18"/>
      <c r="M212" s="2"/>
      <c r="N212" s="18"/>
      <c r="O212" s="18"/>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row>
    <row r="213">
      <c r="A213" s="18"/>
      <c r="B213" s="2"/>
      <c r="C213" s="18"/>
      <c r="D213" s="18"/>
      <c r="E213" s="18"/>
      <c r="F213" s="2"/>
      <c r="G213" s="2"/>
      <c r="H213" s="2"/>
      <c r="I213" s="2"/>
      <c r="J213" s="2"/>
      <c r="K213" s="2"/>
      <c r="L213" s="18"/>
      <c r="M213" s="2"/>
      <c r="N213" s="18"/>
      <c r="O213" s="18"/>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row>
    <row r="214">
      <c r="A214" s="18"/>
      <c r="B214" s="2"/>
      <c r="C214" s="18"/>
      <c r="D214" s="18"/>
      <c r="E214" s="18"/>
      <c r="F214" s="2"/>
      <c r="G214" s="2"/>
      <c r="H214" s="2"/>
      <c r="I214" s="2"/>
      <c r="J214" s="2"/>
      <c r="K214" s="2"/>
      <c r="L214" s="18"/>
      <c r="M214" s="2"/>
      <c r="N214" s="18"/>
      <c r="O214" s="18"/>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row>
    <row r="215">
      <c r="A215" s="18"/>
      <c r="B215" s="2"/>
      <c r="C215" s="18"/>
      <c r="D215" s="18"/>
      <c r="E215" s="18"/>
      <c r="F215" s="2"/>
      <c r="G215" s="2"/>
      <c r="H215" s="2"/>
      <c r="I215" s="2"/>
      <c r="J215" s="2"/>
      <c r="K215" s="2"/>
      <c r="L215" s="18"/>
      <c r="M215" s="2"/>
      <c r="N215" s="18"/>
      <c r="O215" s="18"/>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row>
    <row r="216">
      <c r="A216" s="18"/>
      <c r="B216" s="2"/>
      <c r="C216" s="18"/>
      <c r="D216" s="18"/>
      <c r="E216" s="18"/>
      <c r="F216" s="2"/>
      <c r="G216" s="2"/>
      <c r="H216" s="2"/>
      <c r="I216" s="2"/>
      <c r="J216" s="2"/>
      <c r="K216" s="2"/>
      <c r="L216" s="18"/>
      <c r="M216" s="2"/>
      <c r="N216" s="18"/>
      <c r="O216" s="18"/>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row>
    <row r="217">
      <c r="A217" s="18"/>
      <c r="B217" s="2"/>
      <c r="C217" s="18"/>
      <c r="D217" s="18"/>
      <c r="E217" s="18"/>
      <c r="F217" s="2"/>
      <c r="G217" s="2"/>
      <c r="H217" s="2"/>
      <c r="I217" s="2"/>
      <c r="J217" s="2"/>
      <c r="K217" s="2"/>
      <c r="L217" s="18"/>
      <c r="M217" s="2"/>
      <c r="N217" s="18"/>
      <c r="O217" s="18"/>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row>
    <row r="218">
      <c r="A218" s="18"/>
      <c r="B218" s="2"/>
      <c r="C218" s="18"/>
      <c r="D218" s="18"/>
      <c r="E218" s="18"/>
      <c r="F218" s="2"/>
      <c r="G218" s="2"/>
      <c r="H218" s="2"/>
      <c r="I218" s="2"/>
      <c r="J218" s="2"/>
      <c r="K218" s="2"/>
      <c r="L218" s="18"/>
      <c r="M218" s="2"/>
      <c r="N218" s="18"/>
      <c r="O218" s="18"/>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row>
    <row r="219">
      <c r="A219" s="18"/>
      <c r="B219" s="2"/>
      <c r="C219" s="18"/>
      <c r="D219" s="18"/>
      <c r="E219" s="18"/>
      <c r="F219" s="2"/>
      <c r="G219" s="2"/>
      <c r="H219" s="2"/>
      <c r="I219" s="2"/>
      <c r="J219" s="2"/>
      <c r="K219" s="2"/>
      <c r="L219" s="18"/>
      <c r="M219" s="2"/>
      <c r="N219" s="18"/>
      <c r="O219" s="18"/>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row>
    <row r="220">
      <c r="A220" s="18"/>
      <c r="B220" s="2"/>
      <c r="C220" s="18"/>
      <c r="D220" s="18"/>
      <c r="E220" s="18"/>
      <c r="F220" s="2"/>
      <c r="G220" s="2"/>
      <c r="H220" s="2"/>
      <c r="I220" s="2"/>
      <c r="J220" s="2"/>
      <c r="K220" s="2"/>
      <c r="L220" s="18"/>
      <c r="M220" s="2"/>
      <c r="N220" s="18"/>
      <c r="O220" s="18"/>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row>
    <row r="221">
      <c r="A221" s="18"/>
      <c r="B221" s="2"/>
      <c r="C221" s="18"/>
      <c r="D221" s="18"/>
      <c r="E221" s="18"/>
      <c r="F221" s="2"/>
      <c r="G221" s="2"/>
      <c r="H221" s="2"/>
      <c r="I221" s="2"/>
      <c r="J221" s="2"/>
      <c r="K221" s="2"/>
      <c r="L221" s="18"/>
      <c r="M221" s="2"/>
      <c r="N221" s="18"/>
      <c r="O221" s="18"/>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row>
    <row r="222">
      <c r="A222" s="18"/>
      <c r="B222" s="2"/>
      <c r="C222" s="18"/>
      <c r="D222" s="18"/>
      <c r="E222" s="18"/>
      <c r="F222" s="2"/>
      <c r="G222" s="2"/>
      <c r="H222" s="2"/>
      <c r="I222" s="2"/>
      <c r="J222" s="2"/>
      <c r="K222" s="2"/>
      <c r="L222" s="18"/>
      <c r="M222" s="2"/>
      <c r="N222" s="18"/>
      <c r="O222" s="18"/>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row>
    <row r="223">
      <c r="A223" s="18"/>
      <c r="B223" s="2"/>
      <c r="C223" s="18"/>
      <c r="D223" s="18"/>
      <c r="E223" s="18"/>
      <c r="F223" s="2"/>
      <c r="G223" s="2"/>
      <c r="H223" s="2"/>
      <c r="I223" s="2"/>
      <c r="J223" s="2"/>
      <c r="K223" s="2"/>
      <c r="L223" s="18"/>
      <c r="M223" s="2"/>
      <c r="N223" s="18"/>
      <c r="O223" s="18"/>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row>
    <row r="224">
      <c r="A224" s="18"/>
      <c r="B224" s="2"/>
      <c r="C224" s="18"/>
      <c r="D224" s="18"/>
      <c r="E224" s="18"/>
      <c r="F224" s="2"/>
      <c r="G224" s="2"/>
      <c r="H224" s="2"/>
      <c r="I224" s="2"/>
      <c r="J224" s="2"/>
      <c r="K224" s="2"/>
      <c r="L224" s="18"/>
      <c r="M224" s="2"/>
      <c r="N224" s="18"/>
      <c r="O224" s="18"/>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row>
    <row r="225">
      <c r="A225" s="18"/>
      <c r="B225" s="2"/>
      <c r="C225" s="18"/>
      <c r="D225" s="18"/>
      <c r="E225" s="18"/>
      <c r="F225" s="2"/>
      <c r="G225" s="2"/>
      <c r="H225" s="2"/>
      <c r="I225" s="2"/>
      <c r="J225" s="2"/>
      <c r="K225" s="2"/>
      <c r="L225" s="18"/>
      <c r="M225" s="2"/>
      <c r="N225" s="18"/>
      <c r="O225" s="18"/>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row>
    <row r="226">
      <c r="A226" s="18"/>
      <c r="B226" s="2"/>
      <c r="C226" s="18"/>
      <c r="D226" s="18"/>
      <c r="E226" s="18"/>
      <c r="F226" s="2"/>
      <c r="G226" s="2"/>
      <c r="H226" s="2"/>
      <c r="I226" s="2"/>
      <c r="J226" s="2"/>
      <c r="K226" s="2"/>
      <c r="L226" s="18"/>
      <c r="M226" s="2"/>
      <c r="N226" s="18"/>
      <c r="O226" s="18"/>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row>
    <row r="227">
      <c r="A227" s="18"/>
      <c r="B227" s="2"/>
      <c r="C227" s="18"/>
      <c r="D227" s="18"/>
      <c r="E227" s="18"/>
      <c r="F227" s="2"/>
      <c r="G227" s="2"/>
      <c r="H227" s="2"/>
      <c r="I227" s="2"/>
      <c r="J227" s="2"/>
      <c r="K227" s="2"/>
      <c r="L227" s="18"/>
      <c r="M227" s="2"/>
      <c r="N227" s="18"/>
      <c r="O227" s="18"/>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row>
    <row r="228">
      <c r="A228" s="18"/>
      <c r="B228" s="2"/>
      <c r="C228" s="18"/>
      <c r="D228" s="18"/>
      <c r="E228" s="18"/>
      <c r="F228" s="2"/>
      <c r="G228" s="2"/>
      <c r="H228" s="2"/>
      <c r="I228" s="2"/>
      <c r="J228" s="2"/>
      <c r="K228" s="2"/>
      <c r="L228" s="18"/>
      <c r="M228" s="2"/>
      <c r="N228" s="18"/>
      <c r="O228" s="18"/>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row>
    <row r="229">
      <c r="A229" s="18"/>
      <c r="B229" s="2"/>
      <c r="C229" s="18"/>
      <c r="D229" s="18"/>
      <c r="E229" s="18"/>
      <c r="F229" s="2"/>
      <c r="G229" s="2"/>
      <c r="H229" s="2"/>
      <c r="I229" s="2"/>
      <c r="J229" s="2"/>
      <c r="K229" s="2"/>
      <c r="L229" s="18"/>
      <c r="M229" s="2"/>
      <c r="N229" s="18"/>
      <c r="O229" s="18"/>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row>
    <row r="230">
      <c r="A230" s="18"/>
      <c r="B230" s="2"/>
      <c r="C230" s="18"/>
      <c r="D230" s="18"/>
      <c r="E230" s="18"/>
      <c r="F230" s="2"/>
      <c r="G230" s="2"/>
      <c r="H230" s="2"/>
      <c r="I230" s="2"/>
      <c r="J230" s="2"/>
      <c r="K230" s="2"/>
      <c r="L230" s="18"/>
      <c r="M230" s="2"/>
      <c r="N230" s="18"/>
      <c r="O230" s="18"/>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row>
    <row r="231">
      <c r="A231" s="18"/>
      <c r="B231" s="2"/>
      <c r="C231" s="18"/>
      <c r="D231" s="18"/>
      <c r="E231" s="18"/>
      <c r="F231" s="2"/>
      <c r="G231" s="2"/>
      <c r="H231" s="2"/>
      <c r="I231" s="2"/>
      <c r="J231" s="2"/>
      <c r="K231" s="2"/>
      <c r="L231" s="18"/>
      <c r="M231" s="2"/>
      <c r="N231" s="18"/>
      <c r="O231" s="18"/>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row>
    <row r="232">
      <c r="A232" s="18"/>
      <c r="B232" s="2"/>
      <c r="C232" s="18"/>
      <c r="D232" s="18"/>
      <c r="E232" s="18"/>
      <c r="F232" s="2"/>
      <c r="G232" s="2"/>
      <c r="H232" s="2"/>
      <c r="I232" s="2"/>
      <c r="J232" s="2"/>
      <c r="K232" s="2"/>
      <c r="L232" s="18"/>
      <c r="M232" s="2"/>
      <c r="N232" s="18"/>
      <c r="O232" s="18"/>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row>
    <row r="233">
      <c r="A233" s="18"/>
      <c r="B233" s="2"/>
      <c r="C233" s="18"/>
      <c r="D233" s="18"/>
      <c r="E233" s="18"/>
      <c r="F233" s="2"/>
      <c r="G233" s="2"/>
      <c r="H233" s="2"/>
      <c r="I233" s="2"/>
      <c r="J233" s="2"/>
      <c r="K233" s="2"/>
      <c r="L233" s="18"/>
      <c r="M233" s="2"/>
      <c r="N233" s="18"/>
      <c r="O233" s="18"/>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row>
    <row r="234">
      <c r="A234" s="18"/>
      <c r="B234" s="2"/>
      <c r="C234" s="18"/>
      <c r="D234" s="18"/>
      <c r="E234" s="18"/>
      <c r="F234" s="2"/>
      <c r="G234" s="2"/>
      <c r="H234" s="2"/>
      <c r="I234" s="2"/>
      <c r="J234" s="2"/>
      <c r="K234" s="2"/>
      <c r="L234" s="18"/>
      <c r="M234" s="2"/>
      <c r="N234" s="18"/>
      <c r="O234" s="18"/>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row>
    <row r="235">
      <c r="A235" s="18"/>
      <c r="B235" s="2"/>
      <c r="C235" s="18"/>
      <c r="D235" s="18"/>
      <c r="E235" s="18"/>
      <c r="F235" s="2"/>
      <c r="G235" s="2"/>
      <c r="H235" s="2"/>
      <c r="I235" s="2"/>
      <c r="J235" s="2"/>
      <c r="K235" s="2"/>
      <c r="L235" s="18"/>
      <c r="M235" s="2"/>
      <c r="N235" s="18"/>
      <c r="O235" s="18"/>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row>
    <row r="236">
      <c r="A236" s="18"/>
      <c r="B236" s="2"/>
      <c r="C236" s="18"/>
      <c r="D236" s="18"/>
      <c r="E236" s="18"/>
      <c r="F236" s="2"/>
      <c r="G236" s="2"/>
      <c r="H236" s="2"/>
      <c r="I236" s="2"/>
      <c r="J236" s="2"/>
      <c r="K236" s="2"/>
      <c r="L236" s="18"/>
      <c r="M236" s="2"/>
      <c r="N236" s="18"/>
      <c r="O236" s="18"/>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row>
    <row r="237">
      <c r="A237" s="18"/>
      <c r="B237" s="2"/>
      <c r="C237" s="18"/>
      <c r="D237" s="18"/>
      <c r="E237" s="18"/>
      <c r="F237" s="2"/>
      <c r="G237" s="2"/>
      <c r="H237" s="2"/>
      <c r="I237" s="2"/>
      <c r="J237" s="2"/>
      <c r="K237" s="2"/>
      <c r="L237" s="18"/>
      <c r="M237" s="2"/>
      <c r="N237" s="18"/>
      <c r="O237" s="18"/>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row>
    <row r="238">
      <c r="A238" s="18"/>
      <c r="B238" s="2"/>
      <c r="C238" s="18"/>
      <c r="D238" s="18"/>
      <c r="E238" s="18"/>
      <c r="F238" s="2"/>
      <c r="G238" s="2"/>
      <c r="H238" s="2"/>
      <c r="I238" s="2"/>
      <c r="J238" s="2"/>
      <c r="K238" s="2"/>
      <c r="L238" s="18"/>
      <c r="M238" s="2"/>
      <c r="N238" s="18"/>
      <c r="O238" s="18"/>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row>
    <row r="239">
      <c r="A239" s="18"/>
      <c r="B239" s="2"/>
      <c r="C239" s="18"/>
      <c r="D239" s="18"/>
      <c r="E239" s="18"/>
      <c r="F239" s="2"/>
      <c r="G239" s="2"/>
      <c r="H239" s="2"/>
      <c r="I239" s="2"/>
      <c r="J239" s="2"/>
      <c r="K239" s="2"/>
      <c r="L239" s="18"/>
      <c r="M239" s="2"/>
      <c r="N239" s="18"/>
      <c r="O239" s="18"/>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row>
    <row r="240">
      <c r="A240" s="18"/>
      <c r="B240" s="2"/>
      <c r="C240" s="18"/>
      <c r="D240" s="18"/>
      <c r="E240" s="18"/>
      <c r="F240" s="2"/>
      <c r="G240" s="2"/>
      <c r="H240" s="2"/>
      <c r="I240" s="2"/>
      <c r="J240" s="2"/>
      <c r="K240" s="2"/>
      <c r="L240" s="18"/>
      <c r="M240" s="2"/>
      <c r="N240" s="18"/>
      <c r="O240" s="18"/>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row>
    <row r="241">
      <c r="A241" s="18"/>
      <c r="B241" s="2"/>
      <c r="C241" s="18"/>
      <c r="D241" s="18"/>
      <c r="E241" s="18"/>
      <c r="F241" s="2"/>
      <c r="G241" s="2"/>
      <c r="H241" s="2"/>
      <c r="I241" s="2"/>
      <c r="J241" s="2"/>
      <c r="K241" s="2"/>
      <c r="L241" s="18"/>
      <c r="M241" s="2"/>
      <c r="N241" s="18"/>
      <c r="O241" s="18"/>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row>
    <row r="242">
      <c r="A242" s="18"/>
      <c r="B242" s="2"/>
      <c r="C242" s="18"/>
      <c r="D242" s="18"/>
      <c r="E242" s="18"/>
      <c r="F242" s="2"/>
      <c r="G242" s="2"/>
      <c r="H242" s="2"/>
      <c r="I242" s="2"/>
      <c r="J242" s="2"/>
      <c r="K242" s="2"/>
      <c r="L242" s="18"/>
      <c r="M242" s="2"/>
      <c r="N242" s="18"/>
      <c r="O242" s="18"/>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row>
    <row r="243">
      <c r="A243" s="18"/>
      <c r="B243" s="2"/>
      <c r="C243" s="18"/>
      <c r="D243" s="18"/>
      <c r="E243" s="18"/>
      <c r="F243" s="2"/>
      <c r="G243" s="2"/>
      <c r="H243" s="2"/>
      <c r="I243" s="2"/>
      <c r="J243" s="2"/>
      <c r="K243" s="2"/>
      <c r="L243" s="18"/>
      <c r="M243" s="2"/>
      <c r="N243" s="18"/>
      <c r="O243" s="18"/>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row>
    <row r="244">
      <c r="A244" s="18"/>
      <c r="B244" s="2"/>
      <c r="C244" s="18"/>
      <c r="D244" s="18"/>
      <c r="E244" s="18"/>
      <c r="F244" s="2"/>
      <c r="G244" s="2"/>
      <c r="H244" s="2"/>
      <c r="I244" s="2"/>
      <c r="J244" s="2"/>
      <c r="K244" s="2"/>
      <c r="L244" s="18"/>
      <c r="M244" s="2"/>
      <c r="N244" s="18"/>
      <c r="O244" s="18"/>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row>
    <row r="245">
      <c r="A245" s="18"/>
      <c r="B245" s="2"/>
      <c r="C245" s="18"/>
      <c r="D245" s="18"/>
      <c r="E245" s="18"/>
      <c r="F245" s="2"/>
      <c r="G245" s="2"/>
      <c r="H245" s="2"/>
      <c r="I245" s="2"/>
      <c r="J245" s="2"/>
      <c r="K245" s="2"/>
      <c r="L245" s="18"/>
      <c r="M245" s="2"/>
      <c r="N245" s="18"/>
      <c r="O245" s="18"/>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row>
    <row r="246">
      <c r="A246" s="18"/>
      <c r="B246" s="2"/>
      <c r="C246" s="18"/>
      <c r="D246" s="18"/>
      <c r="E246" s="18"/>
      <c r="F246" s="2"/>
      <c r="G246" s="2"/>
      <c r="H246" s="2"/>
      <c r="I246" s="2"/>
      <c r="J246" s="2"/>
      <c r="K246" s="2"/>
      <c r="L246" s="18"/>
      <c r="M246" s="2"/>
      <c r="N246" s="18"/>
      <c r="O246" s="18"/>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row>
    <row r="247">
      <c r="A247" s="18"/>
      <c r="B247" s="2"/>
      <c r="C247" s="18"/>
      <c r="D247" s="18"/>
      <c r="E247" s="18"/>
      <c r="F247" s="2"/>
      <c r="G247" s="2"/>
      <c r="H247" s="2"/>
      <c r="I247" s="2"/>
      <c r="J247" s="2"/>
      <c r="K247" s="2"/>
      <c r="L247" s="18"/>
      <c r="M247" s="2"/>
      <c r="N247" s="18"/>
      <c r="O247" s="18"/>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row>
    <row r="248">
      <c r="A248" s="18"/>
      <c r="B248" s="2"/>
      <c r="C248" s="18"/>
      <c r="D248" s="18"/>
      <c r="E248" s="18"/>
      <c r="F248" s="2"/>
      <c r="G248" s="2"/>
      <c r="H248" s="2"/>
      <c r="I248" s="2"/>
      <c r="J248" s="2"/>
      <c r="K248" s="2"/>
      <c r="L248" s="18"/>
      <c r="M248" s="2"/>
      <c r="N248" s="18"/>
      <c r="O248" s="18"/>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row>
    <row r="249">
      <c r="A249" s="18"/>
      <c r="B249" s="2"/>
      <c r="C249" s="18"/>
      <c r="D249" s="18"/>
      <c r="E249" s="18"/>
      <c r="F249" s="2"/>
      <c r="G249" s="2"/>
      <c r="H249" s="2"/>
      <c r="I249" s="2"/>
      <c r="J249" s="2"/>
      <c r="K249" s="2"/>
      <c r="L249" s="18"/>
      <c r="M249" s="2"/>
      <c r="N249" s="18"/>
      <c r="O249" s="18"/>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row>
    <row r="250">
      <c r="A250" s="18"/>
      <c r="B250" s="2"/>
      <c r="C250" s="18"/>
      <c r="D250" s="18"/>
      <c r="E250" s="18"/>
      <c r="F250" s="2"/>
      <c r="G250" s="2"/>
      <c r="H250" s="2"/>
      <c r="I250" s="2"/>
      <c r="J250" s="2"/>
      <c r="K250" s="2"/>
      <c r="L250" s="18"/>
      <c r="M250" s="2"/>
      <c r="N250" s="18"/>
      <c r="O250" s="18"/>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row>
    <row r="251">
      <c r="A251" s="18"/>
      <c r="B251" s="2"/>
      <c r="C251" s="18"/>
      <c r="D251" s="18"/>
      <c r="E251" s="18"/>
      <c r="F251" s="2"/>
      <c r="G251" s="2"/>
      <c r="H251" s="2"/>
      <c r="I251" s="2"/>
      <c r="J251" s="2"/>
      <c r="K251" s="2"/>
      <c r="L251" s="18"/>
      <c r="M251" s="2"/>
      <c r="N251" s="18"/>
      <c r="O251" s="18"/>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row>
    <row r="252">
      <c r="A252" s="18"/>
      <c r="B252" s="2"/>
      <c r="C252" s="18"/>
      <c r="D252" s="18"/>
      <c r="E252" s="18"/>
      <c r="F252" s="2"/>
      <c r="G252" s="2"/>
      <c r="H252" s="2"/>
      <c r="I252" s="2"/>
      <c r="J252" s="2"/>
      <c r="K252" s="2"/>
      <c r="L252" s="18"/>
      <c r="M252" s="2"/>
      <c r="N252" s="18"/>
      <c r="O252" s="18"/>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row>
    <row r="253">
      <c r="A253" s="18"/>
      <c r="B253" s="2"/>
      <c r="C253" s="18"/>
      <c r="D253" s="18"/>
      <c r="E253" s="18"/>
      <c r="F253" s="2"/>
      <c r="G253" s="2"/>
      <c r="H253" s="2"/>
      <c r="I253" s="2"/>
      <c r="J253" s="2"/>
      <c r="K253" s="2"/>
      <c r="L253" s="18"/>
      <c r="M253" s="2"/>
      <c r="N253" s="18"/>
      <c r="O253" s="18"/>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row>
    <row r="254">
      <c r="A254" s="18"/>
      <c r="B254" s="2"/>
      <c r="C254" s="18"/>
      <c r="D254" s="18"/>
      <c r="E254" s="18"/>
      <c r="F254" s="2"/>
      <c r="G254" s="2"/>
      <c r="H254" s="2"/>
      <c r="I254" s="2"/>
      <c r="J254" s="2"/>
      <c r="K254" s="2"/>
      <c r="L254" s="18"/>
      <c r="M254" s="2"/>
      <c r="N254" s="18"/>
      <c r="O254" s="18"/>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row>
    <row r="255">
      <c r="A255" s="18"/>
      <c r="B255" s="2"/>
      <c r="C255" s="18"/>
      <c r="D255" s="18"/>
      <c r="E255" s="18"/>
      <c r="F255" s="2"/>
      <c r="G255" s="2"/>
      <c r="H255" s="2"/>
      <c r="I255" s="2"/>
      <c r="J255" s="2"/>
      <c r="K255" s="2"/>
      <c r="L255" s="18"/>
      <c r="M255" s="2"/>
      <c r="N255" s="18"/>
      <c r="O255" s="18"/>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row>
    <row r="256">
      <c r="A256" s="18"/>
      <c r="B256" s="2"/>
      <c r="C256" s="18"/>
      <c r="D256" s="18"/>
      <c r="E256" s="18"/>
      <c r="F256" s="2"/>
      <c r="G256" s="2"/>
      <c r="H256" s="2"/>
      <c r="I256" s="2"/>
      <c r="J256" s="2"/>
      <c r="K256" s="2"/>
      <c r="L256" s="18"/>
      <c r="M256" s="2"/>
      <c r="N256" s="18"/>
      <c r="O256" s="18"/>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row>
    <row r="257">
      <c r="A257" s="18"/>
      <c r="B257" s="2"/>
      <c r="C257" s="18"/>
      <c r="D257" s="18"/>
      <c r="E257" s="18"/>
      <c r="F257" s="2"/>
      <c r="G257" s="2"/>
      <c r="H257" s="2"/>
      <c r="I257" s="2"/>
      <c r="J257" s="2"/>
      <c r="K257" s="2"/>
      <c r="L257" s="18"/>
      <c r="M257" s="2"/>
      <c r="N257" s="18"/>
      <c r="O257" s="18"/>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row>
    <row r="258">
      <c r="A258" s="18"/>
      <c r="B258" s="2"/>
      <c r="C258" s="18"/>
      <c r="D258" s="18"/>
      <c r="E258" s="18"/>
      <c r="F258" s="2"/>
      <c r="G258" s="2"/>
      <c r="H258" s="2"/>
      <c r="I258" s="2"/>
      <c r="J258" s="2"/>
      <c r="K258" s="2"/>
      <c r="L258" s="18"/>
      <c r="M258" s="2"/>
      <c r="N258" s="18"/>
      <c r="O258" s="18"/>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row>
    <row r="259">
      <c r="A259" s="18"/>
      <c r="B259" s="2"/>
      <c r="C259" s="18"/>
      <c r="D259" s="18"/>
      <c r="E259" s="18"/>
      <c r="F259" s="2"/>
      <c r="G259" s="2"/>
      <c r="H259" s="2"/>
      <c r="I259" s="2"/>
      <c r="J259" s="2"/>
      <c r="K259" s="2"/>
      <c r="L259" s="18"/>
      <c r="M259" s="2"/>
      <c r="N259" s="18"/>
      <c r="O259" s="18"/>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row>
    <row r="260">
      <c r="A260" s="18"/>
      <c r="B260" s="2"/>
      <c r="C260" s="18"/>
      <c r="D260" s="18"/>
      <c r="E260" s="18"/>
      <c r="F260" s="2"/>
      <c r="G260" s="2"/>
      <c r="H260" s="2"/>
      <c r="I260" s="2"/>
      <c r="J260" s="2"/>
      <c r="K260" s="2"/>
      <c r="L260" s="18"/>
      <c r="M260" s="2"/>
      <c r="N260" s="18"/>
      <c r="O260" s="18"/>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row>
    <row r="261">
      <c r="A261" s="18"/>
      <c r="B261" s="2"/>
      <c r="C261" s="18"/>
      <c r="D261" s="18"/>
      <c r="E261" s="18"/>
      <c r="F261" s="2"/>
      <c r="G261" s="2"/>
      <c r="H261" s="2"/>
      <c r="I261" s="2"/>
      <c r="J261" s="2"/>
      <c r="K261" s="2"/>
      <c r="L261" s="18"/>
      <c r="M261" s="2"/>
      <c r="N261" s="18"/>
      <c r="O261" s="18"/>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row>
    <row r="262">
      <c r="A262" s="18"/>
      <c r="B262" s="2"/>
      <c r="C262" s="18"/>
      <c r="D262" s="18"/>
      <c r="E262" s="18"/>
      <c r="F262" s="2"/>
      <c r="G262" s="2"/>
      <c r="H262" s="2"/>
      <c r="I262" s="2"/>
      <c r="J262" s="2"/>
      <c r="K262" s="2"/>
      <c r="L262" s="18"/>
      <c r="M262" s="2"/>
      <c r="N262" s="18"/>
      <c r="O262" s="18"/>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row>
    <row r="263">
      <c r="A263" s="18"/>
      <c r="B263" s="2"/>
      <c r="C263" s="18"/>
      <c r="D263" s="18"/>
      <c r="E263" s="18"/>
      <c r="F263" s="2"/>
      <c r="G263" s="2"/>
      <c r="H263" s="2"/>
      <c r="I263" s="2"/>
      <c r="J263" s="2"/>
      <c r="K263" s="2"/>
      <c r="L263" s="18"/>
      <c r="M263" s="2"/>
      <c r="N263" s="18"/>
      <c r="O263" s="18"/>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row>
    <row r="264">
      <c r="A264" s="18"/>
      <c r="B264" s="2"/>
      <c r="C264" s="18"/>
      <c r="D264" s="18"/>
      <c r="E264" s="18"/>
      <c r="F264" s="2"/>
      <c r="G264" s="2"/>
      <c r="H264" s="2"/>
      <c r="I264" s="2"/>
      <c r="J264" s="2"/>
      <c r="K264" s="2"/>
      <c r="L264" s="18"/>
      <c r="M264" s="2"/>
      <c r="N264" s="18"/>
      <c r="O264" s="18"/>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row>
    <row r="265">
      <c r="A265" s="18"/>
      <c r="B265" s="2"/>
      <c r="C265" s="18"/>
      <c r="D265" s="18"/>
      <c r="E265" s="18"/>
      <c r="F265" s="2"/>
      <c r="G265" s="2"/>
      <c r="H265" s="2"/>
      <c r="I265" s="2"/>
      <c r="J265" s="2"/>
      <c r="K265" s="2"/>
      <c r="L265" s="18"/>
      <c r="M265" s="2"/>
      <c r="N265" s="18"/>
      <c r="O265" s="18"/>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row>
    <row r="266">
      <c r="A266" s="18"/>
      <c r="B266" s="2"/>
      <c r="C266" s="18"/>
      <c r="D266" s="18"/>
      <c r="E266" s="18"/>
      <c r="F266" s="2"/>
      <c r="G266" s="2"/>
      <c r="H266" s="2"/>
      <c r="I266" s="2"/>
      <c r="J266" s="2"/>
      <c r="K266" s="2"/>
      <c r="L266" s="18"/>
      <c r="M266" s="2"/>
      <c r="N266" s="18"/>
      <c r="O266" s="18"/>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row>
    <row r="267">
      <c r="A267" s="18"/>
      <c r="B267" s="2"/>
      <c r="C267" s="18"/>
      <c r="D267" s="18"/>
      <c r="E267" s="18"/>
      <c r="F267" s="2"/>
      <c r="G267" s="2"/>
      <c r="H267" s="2"/>
      <c r="I267" s="2"/>
      <c r="J267" s="2"/>
      <c r="K267" s="2"/>
      <c r="L267" s="18"/>
      <c r="M267" s="2"/>
      <c r="N267" s="18"/>
      <c r="O267" s="18"/>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row>
    <row r="268">
      <c r="A268" s="18"/>
      <c r="B268" s="2"/>
      <c r="C268" s="18"/>
      <c r="D268" s="18"/>
      <c r="E268" s="18"/>
      <c r="F268" s="2"/>
      <c r="G268" s="2"/>
      <c r="H268" s="2"/>
      <c r="I268" s="2"/>
      <c r="J268" s="2"/>
      <c r="K268" s="2"/>
      <c r="L268" s="18"/>
      <c r="M268" s="2"/>
      <c r="N268" s="18"/>
      <c r="O268" s="18"/>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row>
    <row r="269">
      <c r="A269" s="18"/>
      <c r="B269" s="2"/>
      <c r="C269" s="18"/>
      <c r="D269" s="18"/>
      <c r="E269" s="18"/>
      <c r="F269" s="2"/>
      <c r="G269" s="2"/>
      <c r="H269" s="2"/>
      <c r="I269" s="2"/>
      <c r="J269" s="2"/>
      <c r="K269" s="2"/>
      <c r="L269" s="18"/>
      <c r="M269" s="2"/>
      <c r="N269" s="18"/>
      <c r="O269" s="18"/>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row>
    <row r="270">
      <c r="A270" s="18"/>
      <c r="B270" s="2"/>
      <c r="C270" s="18"/>
      <c r="D270" s="18"/>
      <c r="E270" s="18"/>
      <c r="F270" s="2"/>
      <c r="G270" s="2"/>
      <c r="H270" s="2"/>
      <c r="I270" s="2"/>
      <c r="J270" s="2"/>
      <c r="K270" s="2"/>
      <c r="L270" s="18"/>
      <c r="M270" s="2"/>
      <c r="N270" s="18"/>
      <c r="O270" s="18"/>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row>
    <row r="271">
      <c r="A271" s="18"/>
      <c r="B271" s="2"/>
      <c r="C271" s="18"/>
      <c r="D271" s="18"/>
      <c r="E271" s="18"/>
      <c r="F271" s="2"/>
      <c r="G271" s="2"/>
      <c r="H271" s="2"/>
      <c r="I271" s="2"/>
      <c r="J271" s="2"/>
      <c r="K271" s="2"/>
      <c r="L271" s="18"/>
      <c r="M271" s="2"/>
      <c r="N271" s="18"/>
      <c r="O271" s="18"/>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row>
    <row r="272">
      <c r="A272" s="18"/>
      <c r="B272" s="2"/>
      <c r="C272" s="18"/>
      <c r="D272" s="18"/>
      <c r="E272" s="18"/>
      <c r="F272" s="2"/>
      <c r="G272" s="2"/>
      <c r="H272" s="2"/>
      <c r="I272" s="2"/>
      <c r="J272" s="2"/>
      <c r="K272" s="2"/>
      <c r="L272" s="18"/>
      <c r="M272" s="2"/>
      <c r="N272" s="18"/>
      <c r="O272" s="18"/>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row>
    <row r="273">
      <c r="A273" s="18"/>
      <c r="B273" s="2"/>
      <c r="C273" s="18"/>
      <c r="D273" s="18"/>
      <c r="E273" s="18"/>
      <c r="F273" s="2"/>
      <c r="G273" s="2"/>
      <c r="H273" s="2"/>
      <c r="I273" s="2"/>
      <c r="J273" s="2"/>
      <c r="K273" s="2"/>
      <c r="L273" s="18"/>
      <c r="M273" s="2"/>
      <c r="N273" s="18"/>
      <c r="O273" s="18"/>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row>
    <row r="274">
      <c r="A274" s="18"/>
      <c r="B274" s="2"/>
      <c r="C274" s="18"/>
      <c r="D274" s="18"/>
      <c r="E274" s="18"/>
      <c r="F274" s="2"/>
      <c r="G274" s="2"/>
      <c r="H274" s="2"/>
      <c r="I274" s="2"/>
      <c r="J274" s="2"/>
      <c r="K274" s="2"/>
      <c r="L274" s="18"/>
      <c r="M274" s="2"/>
      <c r="N274" s="18"/>
      <c r="O274" s="18"/>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row>
    <row r="275">
      <c r="A275" s="18"/>
      <c r="B275" s="2"/>
      <c r="C275" s="18"/>
      <c r="D275" s="18"/>
      <c r="E275" s="18"/>
      <c r="F275" s="2"/>
      <c r="G275" s="2"/>
      <c r="H275" s="2"/>
      <c r="I275" s="2"/>
      <c r="J275" s="2"/>
      <c r="K275" s="2"/>
      <c r="L275" s="18"/>
      <c r="M275" s="2"/>
      <c r="N275" s="18"/>
      <c r="O275" s="18"/>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row>
    <row r="276">
      <c r="A276" s="18"/>
      <c r="B276" s="2"/>
      <c r="C276" s="18"/>
      <c r="D276" s="18"/>
      <c r="E276" s="18"/>
      <c r="F276" s="2"/>
      <c r="G276" s="2"/>
      <c r="H276" s="2"/>
      <c r="I276" s="2"/>
      <c r="J276" s="2"/>
      <c r="K276" s="2"/>
      <c r="L276" s="18"/>
      <c r="M276" s="2"/>
      <c r="N276" s="18"/>
      <c r="O276" s="18"/>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row>
    <row r="277">
      <c r="A277" s="18"/>
      <c r="B277" s="2"/>
      <c r="C277" s="18"/>
      <c r="D277" s="18"/>
      <c r="E277" s="18"/>
      <c r="F277" s="2"/>
      <c r="G277" s="2"/>
      <c r="H277" s="2"/>
      <c r="I277" s="2"/>
      <c r="J277" s="2"/>
      <c r="K277" s="2"/>
      <c r="L277" s="18"/>
      <c r="M277" s="2"/>
      <c r="N277" s="18"/>
      <c r="O277" s="18"/>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row>
    <row r="278">
      <c r="A278" s="18"/>
      <c r="B278" s="2"/>
      <c r="C278" s="18"/>
      <c r="D278" s="18"/>
      <c r="E278" s="18"/>
      <c r="F278" s="2"/>
      <c r="G278" s="2"/>
      <c r="H278" s="2"/>
      <c r="I278" s="2"/>
      <c r="J278" s="2"/>
      <c r="K278" s="2"/>
      <c r="L278" s="18"/>
      <c r="M278" s="2"/>
      <c r="N278" s="18"/>
      <c r="O278" s="18"/>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row>
    <row r="279">
      <c r="A279" s="18"/>
      <c r="B279" s="2"/>
      <c r="C279" s="18"/>
      <c r="D279" s="18"/>
      <c r="E279" s="18"/>
      <c r="F279" s="2"/>
      <c r="G279" s="2"/>
      <c r="H279" s="2"/>
      <c r="I279" s="2"/>
      <c r="J279" s="2"/>
      <c r="K279" s="2"/>
      <c r="L279" s="18"/>
      <c r="M279" s="2"/>
      <c r="N279" s="18"/>
      <c r="O279" s="18"/>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row>
    <row r="280">
      <c r="A280" s="18"/>
      <c r="B280" s="2"/>
      <c r="C280" s="18"/>
      <c r="D280" s="18"/>
      <c r="E280" s="18"/>
      <c r="F280" s="2"/>
      <c r="G280" s="2"/>
      <c r="H280" s="2"/>
      <c r="I280" s="2"/>
      <c r="J280" s="2"/>
      <c r="K280" s="2"/>
      <c r="L280" s="18"/>
      <c r="M280" s="2"/>
      <c r="N280" s="18"/>
      <c r="O280" s="18"/>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row>
    <row r="281">
      <c r="A281" s="18"/>
      <c r="B281" s="2"/>
      <c r="C281" s="18"/>
      <c r="D281" s="18"/>
      <c r="E281" s="18"/>
      <c r="F281" s="2"/>
      <c r="G281" s="2"/>
      <c r="H281" s="2"/>
      <c r="I281" s="2"/>
      <c r="J281" s="2"/>
      <c r="K281" s="2"/>
      <c r="L281" s="18"/>
      <c r="M281" s="2"/>
      <c r="N281" s="18"/>
      <c r="O281" s="18"/>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row>
    <row r="282">
      <c r="A282" s="18"/>
      <c r="B282" s="2"/>
      <c r="C282" s="18"/>
      <c r="D282" s="18"/>
      <c r="E282" s="18"/>
      <c r="F282" s="2"/>
      <c r="G282" s="2"/>
      <c r="H282" s="2"/>
      <c r="I282" s="2"/>
      <c r="J282" s="2"/>
      <c r="K282" s="2"/>
      <c r="L282" s="18"/>
      <c r="M282" s="2"/>
      <c r="N282" s="18"/>
      <c r="O282" s="18"/>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row>
    <row r="283">
      <c r="A283" s="18"/>
      <c r="B283" s="2"/>
      <c r="C283" s="18"/>
      <c r="D283" s="18"/>
      <c r="E283" s="18"/>
      <c r="F283" s="2"/>
      <c r="G283" s="2"/>
      <c r="H283" s="2"/>
      <c r="I283" s="2"/>
      <c r="J283" s="2"/>
      <c r="K283" s="2"/>
      <c r="L283" s="18"/>
      <c r="M283" s="2"/>
      <c r="N283" s="18"/>
      <c r="O283" s="18"/>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row>
    <row r="284">
      <c r="A284" s="18"/>
      <c r="B284" s="2"/>
      <c r="C284" s="18"/>
      <c r="D284" s="18"/>
      <c r="E284" s="18"/>
      <c r="F284" s="2"/>
      <c r="G284" s="2"/>
      <c r="H284" s="2"/>
      <c r="I284" s="2"/>
      <c r="J284" s="2"/>
      <c r="K284" s="2"/>
      <c r="L284" s="18"/>
      <c r="M284" s="2"/>
      <c r="N284" s="18"/>
      <c r="O284" s="18"/>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row>
    <row r="285">
      <c r="A285" s="18"/>
      <c r="B285" s="2"/>
      <c r="C285" s="18"/>
      <c r="D285" s="18"/>
      <c r="E285" s="18"/>
      <c r="F285" s="2"/>
      <c r="G285" s="2"/>
      <c r="H285" s="2"/>
      <c r="I285" s="2"/>
      <c r="J285" s="2"/>
      <c r="K285" s="2"/>
      <c r="L285" s="18"/>
      <c r="M285" s="2"/>
      <c r="N285" s="18"/>
      <c r="O285" s="18"/>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row>
    <row r="286">
      <c r="A286" s="18"/>
      <c r="B286" s="2"/>
      <c r="C286" s="18"/>
      <c r="D286" s="18"/>
      <c r="E286" s="18"/>
      <c r="F286" s="2"/>
      <c r="G286" s="2"/>
      <c r="H286" s="2"/>
      <c r="I286" s="2"/>
      <c r="J286" s="2"/>
      <c r="K286" s="2"/>
      <c r="L286" s="18"/>
      <c r="M286" s="2"/>
      <c r="N286" s="18"/>
      <c r="O286" s="18"/>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row>
    <row r="287">
      <c r="A287" s="18"/>
      <c r="B287" s="2"/>
      <c r="C287" s="18"/>
      <c r="D287" s="18"/>
      <c r="E287" s="18"/>
      <c r="F287" s="2"/>
      <c r="G287" s="2"/>
      <c r="H287" s="2"/>
      <c r="I287" s="2"/>
      <c r="J287" s="2"/>
      <c r="K287" s="2"/>
      <c r="L287" s="18"/>
      <c r="M287" s="2"/>
      <c r="N287" s="18"/>
      <c r="O287" s="18"/>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row>
    <row r="288">
      <c r="A288" s="18"/>
      <c r="B288" s="2"/>
      <c r="C288" s="18"/>
      <c r="D288" s="18"/>
      <c r="E288" s="18"/>
      <c r="F288" s="2"/>
      <c r="G288" s="2"/>
      <c r="H288" s="2"/>
      <c r="I288" s="2"/>
      <c r="J288" s="2"/>
      <c r="K288" s="2"/>
      <c r="L288" s="18"/>
      <c r="M288" s="2"/>
      <c r="N288" s="18"/>
      <c r="O288" s="18"/>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row>
    <row r="289">
      <c r="A289" s="18"/>
      <c r="B289" s="2"/>
      <c r="C289" s="18"/>
      <c r="D289" s="18"/>
      <c r="E289" s="18"/>
      <c r="F289" s="2"/>
      <c r="G289" s="2"/>
      <c r="H289" s="2"/>
      <c r="I289" s="2"/>
      <c r="J289" s="2"/>
      <c r="K289" s="2"/>
      <c r="L289" s="18"/>
      <c r="M289" s="2"/>
      <c r="N289" s="18"/>
      <c r="O289" s="18"/>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row>
    <row r="290">
      <c r="A290" s="18"/>
      <c r="B290" s="2"/>
      <c r="C290" s="18"/>
      <c r="D290" s="18"/>
      <c r="E290" s="18"/>
      <c r="F290" s="2"/>
      <c r="G290" s="2"/>
      <c r="H290" s="2"/>
      <c r="I290" s="2"/>
      <c r="J290" s="2"/>
      <c r="K290" s="2"/>
      <c r="L290" s="18"/>
      <c r="M290" s="2"/>
      <c r="N290" s="18"/>
      <c r="O290" s="18"/>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row>
    <row r="291">
      <c r="A291" s="18"/>
      <c r="B291" s="2"/>
      <c r="C291" s="18"/>
      <c r="D291" s="18"/>
      <c r="E291" s="18"/>
      <c r="F291" s="2"/>
      <c r="G291" s="2"/>
      <c r="H291" s="2"/>
      <c r="I291" s="2"/>
      <c r="J291" s="2"/>
      <c r="K291" s="2"/>
      <c r="L291" s="18"/>
      <c r="M291" s="2"/>
      <c r="N291" s="18"/>
      <c r="O291" s="18"/>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row>
    <row r="292">
      <c r="A292" s="18"/>
      <c r="B292" s="2"/>
      <c r="C292" s="18"/>
      <c r="D292" s="18"/>
      <c r="E292" s="18"/>
      <c r="F292" s="2"/>
      <c r="G292" s="2"/>
      <c r="H292" s="2"/>
      <c r="I292" s="2"/>
      <c r="J292" s="2"/>
      <c r="K292" s="2"/>
      <c r="L292" s="18"/>
      <c r="M292" s="2"/>
      <c r="N292" s="18"/>
      <c r="O292" s="18"/>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row>
    <row r="293">
      <c r="A293" s="18"/>
      <c r="B293" s="2"/>
      <c r="C293" s="18"/>
      <c r="D293" s="18"/>
      <c r="E293" s="18"/>
      <c r="F293" s="2"/>
      <c r="G293" s="2"/>
      <c r="H293" s="2"/>
      <c r="I293" s="2"/>
      <c r="J293" s="2"/>
      <c r="K293" s="2"/>
      <c r="L293" s="18"/>
      <c r="M293" s="2"/>
      <c r="N293" s="18"/>
      <c r="O293" s="18"/>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row>
    <row r="294">
      <c r="A294" s="18"/>
      <c r="B294" s="2"/>
      <c r="C294" s="18"/>
      <c r="D294" s="18"/>
      <c r="E294" s="18"/>
      <c r="F294" s="2"/>
      <c r="G294" s="2"/>
      <c r="H294" s="2"/>
      <c r="I294" s="2"/>
      <c r="J294" s="2"/>
      <c r="K294" s="2"/>
      <c r="L294" s="18"/>
      <c r="M294" s="2"/>
      <c r="N294" s="18"/>
      <c r="O294" s="18"/>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row>
    <row r="295">
      <c r="A295" s="18"/>
      <c r="B295" s="2"/>
      <c r="C295" s="18"/>
      <c r="D295" s="18"/>
      <c r="E295" s="18"/>
      <c r="F295" s="2"/>
      <c r="G295" s="2"/>
      <c r="H295" s="2"/>
      <c r="I295" s="2"/>
      <c r="J295" s="2"/>
      <c r="K295" s="2"/>
      <c r="L295" s="18"/>
      <c r="M295" s="2"/>
      <c r="N295" s="18"/>
      <c r="O295" s="18"/>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row>
    <row r="296">
      <c r="A296" s="18"/>
      <c r="B296" s="2"/>
      <c r="C296" s="18"/>
      <c r="D296" s="18"/>
      <c r="E296" s="18"/>
      <c r="F296" s="2"/>
      <c r="G296" s="2"/>
      <c r="H296" s="2"/>
      <c r="I296" s="2"/>
      <c r="J296" s="2"/>
      <c r="K296" s="2"/>
      <c r="L296" s="18"/>
      <c r="M296" s="2"/>
      <c r="N296" s="18"/>
      <c r="O296" s="18"/>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row>
    <row r="297">
      <c r="A297" s="18"/>
      <c r="B297" s="2"/>
      <c r="C297" s="18"/>
      <c r="D297" s="18"/>
      <c r="E297" s="18"/>
      <c r="F297" s="2"/>
      <c r="G297" s="2"/>
      <c r="H297" s="2"/>
      <c r="I297" s="2"/>
      <c r="J297" s="2"/>
      <c r="K297" s="2"/>
      <c r="L297" s="18"/>
      <c r="M297" s="2"/>
      <c r="N297" s="18"/>
      <c r="O297" s="18"/>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row>
    <row r="298">
      <c r="A298" s="18"/>
      <c r="B298" s="2"/>
      <c r="C298" s="18"/>
      <c r="D298" s="18"/>
      <c r="E298" s="18"/>
      <c r="F298" s="2"/>
      <c r="G298" s="2"/>
      <c r="H298" s="2"/>
      <c r="I298" s="2"/>
      <c r="J298" s="2"/>
      <c r="K298" s="2"/>
      <c r="L298" s="18"/>
      <c r="M298" s="2"/>
      <c r="N298" s="18"/>
      <c r="O298" s="18"/>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row>
    <row r="299">
      <c r="A299" s="18"/>
      <c r="B299" s="2"/>
      <c r="C299" s="18"/>
      <c r="D299" s="18"/>
      <c r="E299" s="18"/>
      <c r="F299" s="2"/>
      <c r="G299" s="2"/>
      <c r="H299" s="2"/>
      <c r="I299" s="2"/>
      <c r="J299" s="2"/>
      <c r="K299" s="2"/>
      <c r="L299" s="18"/>
      <c r="M299" s="2"/>
      <c r="N299" s="18"/>
      <c r="O299" s="18"/>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row>
    <row r="300">
      <c r="A300" s="18"/>
      <c r="B300" s="2"/>
      <c r="C300" s="18"/>
      <c r="D300" s="18"/>
      <c r="E300" s="18"/>
      <c r="F300" s="2"/>
      <c r="G300" s="2"/>
      <c r="H300" s="2"/>
      <c r="I300" s="2"/>
      <c r="J300" s="2"/>
      <c r="K300" s="2"/>
      <c r="L300" s="18"/>
      <c r="M300" s="2"/>
      <c r="N300" s="18"/>
      <c r="O300" s="18"/>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row>
    <row r="301">
      <c r="A301" s="18"/>
      <c r="B301" s="2"/>
      <c r="C301" s="18"/>
      <c r="D301" s="18"/>
      <c r="E301" s="18"/>
      <c r="F301" s="2"/>
      <c r="G301" s="2"/>
      <c r="H301" s="2"/>
      <c r="I301" s="2"/>
      <c r="J301" s="2"/>
      <c r="K301" s="2"/>
      <c r="L301" s="18"/>
      <c r="M301" s="2"/>
      <c r="N301" s="18"/>
      <c r="O301" s="18"/>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row>
    <row r="302">
      <c r="A302" s="18"/>
      <c r="B302" s="2"/>
      <c r="C302" s="18"/>
      <c r="D302" s="18"/>
      <c r="E302" s="18"/>
      <c r="F302" s="2"/>
      <c r="G302" s="2"/>
      <c r="H302" s="2"/>
      <c r="I302" s="2"/>
      <c r="J302" s="2"/>
      <c r="K302" s="2"/>
      <c r="L302" s="18"/>
      <c r="M302" s="2"/>
      <c r="N302" s="18"/>
      <c r="O302" s="18"/>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row>
    <row r="303">
      <c r="A303" s="18"/>
      <c r="B303" s="2"/>
      <c r="C303" s="18"/>
      <c r="D303" s="18"/>
      <c r="E303" s="18"/>
      <c r="F303" s="2"/>
      <c r="G303" s="2"/>
      <c r="H303" s="2"/>
      <c r="I303" s="2"/>
      <c r="J303" s="2"/>
      <c r="K303" s="2"/>
      <c r="L303" s="18"/>
      <c r="M303" s="2"/>
      <c r="N303" s="18"/>
      <c r="O303" s="18"/>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row>
    <row r="304">
      <c r="A304" s="18"/>
      <c r="B304" s="2"/>
      <c r="C304" s="18"/>
      <c r="D304" s="18"/>
      <c r="E304" s="18"/>
      <c r="F304" s="2"/>
      <c r="G304" s="2"/>
      <c r="H304" s="2"/>
      <c r="I304" s="2"/>
      <c r="J304" s="2"/>
      <c r="K304" s="2"/>
      <c r="L304" s="18"/>
      <c r="M304" s="2"/>
      <c r="N304" s="18"/>
      <c r="O304" s="18"/>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row>
    <row r="305">
      <c r="A305" s="18"/>
      <c r="B305" s="2"/>
      <c r="C305" s="18"/>
      <c r="D305" s="18"/>
      <c r="E305" s="18"/>
      <c r="F305" s="2"/>
      <c r="G305" s="2"/>
      <c r="H305" s="2"/>
      <c r="I305" s="2"/>
      <c r="J305" s="2"/>
      <c r="K305" s="2"/>
      <c r="L305" s="18"/>
      <c r="M305" s="2"/>
      <c r="N305" s="18"/>
      <c r="O305" s="18"/>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row>
    <row r="306">
      <c r="A306" s="18"/>
      <c r="B306" s="2"/>
      <c r="C306" s="18"/>
      <c r="D306" s="18"/>
      <c r="E306" s="18"/>
      <c r="F306" s="2"/>
      <c r="G306" s="2"/>
      <c r="H306" s="2"/>
      <c r="I306" s="2"/>
      <c r="J306" s="2"/>
      <c r="K306" s="2"/>
      <c r="L306" s="18"/>
      <c r="M306" s="2"/>
      <c r="N306" s="18"/>
      <c r="O306" s="18"/>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row>
    <row r="307">
      <c r="A307" s="18"/>
      <c r="B307" s="2"/>
      <c r="C307" s="18"/>
      <c r="D307" s="18"/>
      <c r="E307" s="18"/>
      <c r="F307" s="2"/>
      <c r="G307" s="2"/>
      <c r="H307" s="2"/>
      <c r="I307" s="2"/>
      <c r="J307" s="2"/>
      <c r="K307" s="2"/>
      <c r="L307" s="18"/>
      <c r="M307" s="2"/>
      <c r="N307" s="18"/>
      <c r="O307" s="18"/>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row>
    <row r="308">
      <c r="A308" s="18"/>
      <c r="B308" s="2"/>
      <c r="C308" s="18"/>
      <c r="D308" s="18"/>
      <c r="E308" s="18"/>
      <c r="F308" s="2"/>
      <c r="G308" s="2"/>
      <c r="H308" s="2"/>
      <c r="I308" s="2"/>
      <c r="J308" s="2"/>
      <c r="K308" s="2"/>
      <c r="L308" s="18"/>
      <c r="M308" s="2"/>
      <c r="N308" s="18"/>
      <c r="O308" s="18"/>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row>
    <row r="309">
      <c r="A309" s="18"/>
      <c r="B309" s="2"/>
      <c r="C309" s="18"/>
      <c r="D309" s="18"/>
      <c r="E309" s="18"/>
      <c r="F309" s="2"/>
      <c r="G309" s="2"/>
      <c r="H309" s="2"/>
      <c r="I309" s="2"/>
      <c r="J309" s="2"/>
      <c r="K309" s="2"/>
      <c r="L309" s="18"/>
      <c r="M309" s="2"/>
      <c r="N309" s="18"/>
      <c r="O309" s="18"/>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row>
    <row r="310">
      <c r="A310" s="18"/>
      <c r="B310" s="2"/>
      <c r="C310" s="18"/>
      <c r="D310" s="18"/>
      <c r="E310" s="18"/>
      <c r="F310" s="2"/>
      <c r="G310" s="2"/>
      <c r="H310" s="2"/>
      <c r="I310" s="2"/>
      <c r="J310" s="2"/>
      <c r="K310" s="2"/>
      <c r="L310" s="18"/>
      <c r="M310" s="2"/>
      <c r="N310" s="18"/>
      <c r="O310" s="18"/>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row>
    <row r="311">
      <c r="A311" s="18"/>
      <c r="B311" s="2"/>
      <c r="C311" s="18"/>
      <c r="D311" s="18"/>
      <c r="E311" s="18"/>
      <c r="F311" s="2"/>
      <c r="G311" s="2"/>
      <c r="H311" s="2"/>
      <c r="I311" s="2"/>
      <c r="J311" s="2"/>
      <c r="K311" s="2"/>
      <c r="L311" s="18"/>
      <c r="M311" s="2"/>
      <c r="N311" s="18"/>
      <c r="O311" s="18"/>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row>
    <row r="312">
      <c r="A312" s="18"/>
      <c r="B312" s="2"/>
      <c r="C312" s="18"/>
      <c r="D312" s="18"/>
      <c r="E312" s="18"/>
      <c r="F312" s="2"/>
      <c r="G312" s="2"/>
      <c r="H312" s="2"/>
      <c r="I312" s="2"/>
      <c r="J312" s="2"/>
      <c r="K312" s="2"/>
      <c r="L312" s="18"/>
      <c r="M312" s="2"/>
      <c r="N312" s="18"/>
      <c r="O312" s="18"/>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row>
    <row r="313">
      <c r="A313" s="18"/>
      <c r="B313" s="2"/>
      <c r="C313" s="18"/>
      <c r="D313" s="18"/>
      <c r="E313" s="18"/>
      <c r="F313" s="2"/>
      <c r="G313" s="2"/>
      <c r="H313" s="2"/>
      <c r="I313" s="2"/>
      <c r="J313" s="2"/>
      <c r="K313" s="2"/>
      <c r="L313" s="18"/>
      <c r="M313" s="2"/>
      <c r="N313" s="18"/>
      <c r="O313" s="18"/>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row>
    <row r="314">
      <c r="A314" s="18"/>
      <c r="B314" s="2"/>
      <c r="C314" s="18"/>
      <c r="D314" s="18"/>
      <c r="E314" s="18"/>
      <c r="F314" s="2"/>
      <c r="G314" s="2"/>
      <c r="H314" s="2"/>
      <c r="I314" s="2"/>
      <c r="J314" s="2"/>
      <c r="K314" s="2"/>
      <c r="L314" s="18"/>
      <c r="M314" s="2"/>
      <c r="N314" s="18"/>
      <c r="O314" s="18"/>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row>
    <row r="315">
      <c r="A315" s="18"/>
      <c r="B315" s="2"/>
      <c r="C315" s="18"/>
      <c r="D315" s="18"/>
      <c r="E315" s="18"/>
      <c r="F315" s="2"/>
      <c r="G315" s="2"/>
      <c r="H315" s="2"/>
      <c r="I315" s="2"/>
      <c r="J315" s="2"/>
      <c r="K315" s="2"/>
      <c r="L315" s="18"/>
      <c r="M315" s="2"/>
      <c r="N315" s="18"/>
      <c r="O315" s="18"/>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row>
    <row r="316">
      <c r="A316" s="18"/>
      <c r="B316" s="2"/>
      <c r="C316" s="18"/>
      <c r="D316" s="18"/>
      <c r="E316" s="18"/>
      <c r="F316" s="2"/>
      <c r="G316" s="2"/>
      <c r="H316" s="2"/>
      <c r="I316" s="2"/>
      <c r="J316" s="2"/>
      <c r="K316" s="2"/>
      <c r="L316" s="18"/>
      <c r="M316" s="2"/>
      <c r="N316" s="18"/>
      <c r="O316" s="18"/>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row>
    <row r="317">
      <c r="A317" s="18"/>
      <c r="B317" s="2"/>
      <c r="C317" s="18"/>
      <c r="D317" s="18"/>
      <c r="E317" s="18"/>
      <c r="F317" s="2"/>
      <c r="G317" s="2"/>
      <c r="H317" s="2"/>
      <c r="I317" s="2"/>
      <c r="J317" s="2"/>
      <c r="K317" s="2"/>
      <c r="L317" s="18"/>
      <c r="M317" s="2"/>
      <c r="N317" s="18"/>
      <c r="O317" s="18"/>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row>
    <row r="318">
      <c r="A318" s="18"/>
      <c r="B318" s="2"/>
      <c r="C318" s="18"/>
      <c r="D318" s="18"/>
      <c r="E318" s="18"/>
      <c r="F318" s="2"/>
      <c r="G318" s="2"/>
      <c r="H318" s="2"/>
      <c r="I318" s="2"/>
      <c r="J318" s="2"/>
      <c r="K318" s="2"/>
      <c r="L318" s="18"/>
      <c r="M318" s="2"/>
      <c r="N318" s="18"/>
      <c r="O318" s="18"/>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row>
    <row r="319">
      <c r="A319" s="18"/>
      <c r="B319" s="2"/>
      <c r="C319" s="18"/>
      <c r="D319" s="18"/>
      <c r="E319" s="18"/>
      <c r="F319" s="2"/>
      <c r="G319" s="2"/>
      <c r="H319" s="2"/>
      <c r="I319" s="2"/>
      <c r="J319" s="2"/>
      <c r="K319" s="2"/>
      <c r="L319" s="18"/>
      <c r="M319" s="2"/>
      <c r="N319" s="18"/>
      <c r="O319" s="18"/>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row>
    <row r="320">
      <c r="A320" s="18"/>
      <c r="B320" s="2"/>
      <c r="C320" s="18"/>
      <c r="D320" s="18"/>
      <c r="E320" s="18"/>
      <c r="F320" s="2"/>
      <c r="G320" s="2"/>
      <c r="H320" s="2"/>
      <c r="I320" s="2"/>
      <c r="J320" s="2"/>
      <c r="K320" s="2"/>
      <c r="L320" s="18"/>
      <c r="M320" s="2"/>
      <c r="N320" s="18"/>
      <c r="O320" s="18"/>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row>
    <row r="321">
      <c r="A321" s="18"/>
      <c r="B321" s="2"/>
      <c r="C321" s="18"/>
      <c r="D321" s="18"/>
      <c r="E321" s="18"/>
      <c r="F321" s="2"/>
      <c r="G321" s="2"/>
      <c r="H321" s="2"/>
      <c r="I321" s="2"/>
      <c r="J321" s="2"/>
      <c r="K321" s="2"/>
      <c r="L321" s="18"/>
      <c r="M321" s="2"/>
      <c r="N321" s="18"/>
      <c r="O321" s="18"/>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row>
    <row r="322">
      <c r="A322" s="18"/>
      <c r="B322" s="2"/>
      <c r="C322" s="18"/>
      <c r="D322" s="18"/>
      <c r="E322" s="18"/>
      <c r="F322" s="2"/>
      <c r="G322" s="2"/>
      <c r="H322" s="2"/>
      <c r="I322" s="2"/>
      <c r="J322" s="2"/>
      <c r="K322" s="2"/>
      <c r="L322" s="18"/>
      <c r="M322" s="2"/>
      <c r="N322" s="18"/>
      <c r="O322" s="18"/>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row>
    <row r="323">
      <c r="A323" s="18"/>
      <c r="B323" s="2"/>
      <c r="C323" s="18"/>
      <c r="D323" s="18"/>
      <c r="E323" s="18"/>
      <c r="F323" s="2"/>
      <c r="G323" s="2"/>
      <c r="H323" s="2"/>
      <c r="I323" s="2"/>
      <c r="J323" s="2"/>
      <c r="K323" s="2"/>
      <c r="L323" s="18"/>
      <c r="M323" s="2"/>
      <c r="N323" s="18"/>
      <c r="O323" s="18"/>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row>
    <row r="324">
      <c r="A324" s="18"/>
      <c r="B324" s="2"/>
      <c r="C324" s="18"/>
      <c r="D324" s="18"/>
      <c r="E324" s="18"/>
      <c r="F324" s="2"/>
      <c r="G324" s="2"/>
      <c r="H324" s="2"/>
      <c r="I324" s="2"/>
      <c r="J324" s="2"/>
      <c r="K324" s="2"/>
      <c r="L324" s="18"/>
      <c r="M324" s="2"/>
      <c r="N324" s="18"/>
      <c r="O324" s="18"/>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row>
    <row r="325">
      <c r="A325" s="18"/>
      <c r="B325" s="2"/>
      <c r="C325" s="18"/>
      <c r="D325" s="18"/>
      <c r="E325" s="18"/>
      <c r="F325" s="2"/>
      <c r="G325" s="2"/>
      <c r="H325" s="2"/>
      <c r="I325" s="2"/>
      <c r="J325" s="2"/>
      <c r="K325" s="2"/>
      <c r="L325" s="18"/>
      <c r="M325" s="2"/>
      <c r="N325" s="18"/>
      <c r="O325" s="18"/>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row>
    <row r="326">
      <c r="A326" s="18"/>
      <c r="B326" s="2"/>
      <c r="C326" s="18"/>
      <c r="D326" s="18"/>
      <c r="E326" s="18"/>
      <c r="F326" s="2"/>
      <c r="G326" s="2"/>
      <c r="H326" s="2"/>
      <c r="I326" s="2"/>
      <c r="J326" s="2"/>
      <c r="K326" s="2"/>
      <c r="L326" s="18"/>
      <c r="M326" s="2"/>
      <c r="N326" s="18"/>
      <c r="O326" s="18"/>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row>
    <row r="327">
      <c r="A327" s="18"/>
      <c r="B327" s="2"/>
      <c r="C327" s="18"/>
      <c r="D327" s="18"/>
      <c r="E327" s="18"/>
      <c r="F327" s="2"/>
      <c r="G327" s="2"/>
      <c r="H327" s="2"/>
      <c r="I327" s="2"/>
      <c r="J327" s="2"/>
      <c r="K327" s="2"/>
      <c r="L327" s="18"/>
      <c r="M327" s="2"/>
      <c r="N327" s="18"/>
      <c r="O327" s="18"/>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row>
    <row r="328">
      <c r="A328" s="18"/>
      <c r="B328" s="2"/>
      <c r="C328" s="18"/>
      <c r="D328" s="18"/>
      <c r="E328" s="18"/>
      <c r="F328" s="2"/>
      <c r="G328" s="2"/>
      <c r="H328" s="2"/>
      <c r="I328" s="2"/>
      <c r="J328" s="2"/>
      <c r="K328" s="2"/>
      <c r="L328" s="18"/>
      <c r="M328" s="2"/>
      <c r="N328" s="18"/>
      <c r="O328" s="18"/>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row>
    <row r="329">
      <c r="A329" s="18"/>
      <c r="B329" s="2"/>
      <c r="C329" s="18"/>
      <c r="D329" s="18"/>
      <c r="E329" s="18"/>
      <c r="F329" s="2"/>
      <c r="G329" s="2"/>
      <c r="H329" s="2"/>
      <c r="I329" s="2"/>
      <c r="J329" s="2"/>
      <c r="K329" s="2"/>
      <c r="L329" s="18"/>
      <c r="M329" s="2"/>
      <c r="N329" s="18"/>
      <c r="O329" s="18"/>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row>
    <row r="330">
      <c r="A330" s="18"/>
      <c r="B330" s="2"/>
      <c r="C330" s="18"/>
      <c r="D330" s="18"/>
      <c r="E330" s="18"/>
      <c r="F330" s="2"/>
      <c r="G330" s="2"/>
      <c r="H330" s="2"/>
      <c r="I330" s="2"/>
      <c r="J330" s="2"/>
      <c r="K330" s="2"/>
      <c r="L330" s="18"/>
      <c r="M330" s="2"/>
      <c r="N330" s="18"/>
      <c r="O330" s="18"/>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row>
    <row r="331">
      <c r="A331" s="18"/>
      <c r="B331" s="2"/>
      <c r="C331" s="18"/>
      <c r="D331" s="18"/>
      <c r="E331" s="18"/>
      <c r="F331" s="2"/>
      <c r="G331" s="2"/>
      <c r="H331" s="2"/>
      <c r="I331" s="2"/>
      <c r="J331" s="2"/>
      <c r="K331" s="2"/>
      <c r="L331" s="18"/>
      <c r="M331" s="2"/>
      <c r="N331" s="18"/>
      <c r="O331" s="18"/>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row>
    <row r="332">
      <c r="A332" s="18"/>
      <c r="B332" s="2"/>
      <c r="C332" s="18"/>
      <c r="D332" s="18"/>
      <c r="E332" s="18"/>
      <c r="F332" s="2"/>
      <c r="G332" s="2"/>
      <c r="H332" s="2"/>
      <c r="I332" s="2"/>
      <c r="J332" s="2"/>
      <c r="K332" s="2"/>
      <c r="L332" s="18"/>
      <c r="M332" s="2"/>
      <c r="N332" s="18"/>
      <c r="O332" s="18"/>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row>
    <row r="333">
      <c r="A333" s="18"/>
      <c r="B333" s="2"/>
      <c r="C333" s="18"/>
      <c r="D333" s="18"/>
      <c r="E333" s="18"/>
      <c r="F333" s="2"/>
      <c r="G333" s="2"/>
      <c r="H333" s="2"/>
      <c r="I333" s="2"/>
      <c r="J333" s="2"/>
      <c r="K333" s="2"/>
      <c r="L333" s="18"/>
      <c r="M333" s="2"/>
      <c r="N333" s="18"/>
      <c r="O333" s="18"/>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row>
    <row r="334">
      <c r="A334" s="18"/>
      <c r="B334" s="2"/>
      <c r="C334" s="18"/>
      <c r="D334" s="18"/>
      <c r="E334" s="18"/>
      <c r="F334" s="2"/>
      <c r="G334" s="2"/>
      <c r="H334" s="2"/>
      <c r="I334" s="2"/>
      <c r="J334" s="2"/>
      <c r="K334" s="2"/>
      <c r="L334" s="18"/>
      <c r="M334" s="2"/>
      <c r="N334" s="18"/>
      <c r="O334" s="18"/>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row>
    <row r="335">
      <c r="A335" s="18"/>
      <c r="B335" s="2"/>
      <c r="C335" s="18"/>
      <c r="D335" s="18"/>
      <c r="E335" s="18"/>
      <c r="F335" s="2"/>
      <c r="G335" s="2"/>
      <c r="H335" s="2"/>
      <c r="I335" s="2"/>
      <c r="J335" s="2"/>
      <c r="K335" s="2"/>
      <c r="L335" s="18"/>
      <c r="M335" s="2"/>
      <c r="N335" s="18"/>
      <c r="O335" s="18"/>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row>
    <row r="336">
      <c r="A336" s="18"/>
      <c r="B336" s="2"/>
      <c r="C336" s="18"/>
      <c r="D336" s="18"/>
      <c r="E336" s="18"/>
      <c r="F336" s="2"/>
      <c r="G336" s="2"/>
      <c r="H336" s="2"/>
      <c r="I336" s="2"/>
      <c r="J336" s="2"/>
      <c r="K336" s="2"/>
      <c r="L336" s="18"/>
      <c r="M336" s="2"/>
      <c r="N336" s="18"/>
      <c r="O336" s="18"/>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row>
    <row r="337">
      <c r="A337" s="18"/>
      <c r="B337" s="2"/>
      <c r="C337" s="18"/>
      <c r="D337" s="18"/>
      <c r="E337" s="18"/>
      <c r="F337" s="2"/>
      <c r="G337" s="2"/>
      <c r="H337" s="2"/>
      <c r="I337" s="2"/>
      <c r="J337" s="2"/>
      <c r="K337" s="2"/>
      <c r="L337" s="18"/>
      <c r="M337" s="2"/>
      <c r="N337" s="18"/>
      <c r="O337" s="18"/>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row>
    <row r="338">
      <c r="A338" s="18"/>
      <c r="B338" s="2"/>
      <c r="C338" s="18"/>
      <c r="D338" s="18"/>
      <c r="E338" s="18"/>
      <c r="F338" s="2"/>
      <c r="G338" s="2"/>
      <c r="H338" s="2"/>
      <c r="I338" s="2"/>
      <c r="J338" s="2"/>
      <c r="K338" s="2"/>
      <c r="L338" s="18"/>
      <c r="M338" s="2"/>
      <c r="N338" s="18"/>
      <c r="O338" s="18"/>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row>
    <row r="339">
      <c r="A339" s="18"/>
      <c r="B339" s="2"/>
      <c r="C339" s="18"/>
      <c r="D339" s="18"/>
      <c r="E339" s="18"/>
      <c r="F339" s="2"/>
      <c r="G339" s="2"/>
      <c r="H339" s="2"/>
      <c r="I339" s="2"/>
      <c r="J339" s="2"/>
      <c r="K339" s="2"/>
      <c r="L339" s="18"/>
      <c r="M339" s="2"/>
      <c r="N339" s="18"/>
      <c r="O339" s="18"/>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row>
    <row r="340">
      <c r="A340" s="18"/>
      <c r="B340" s="2"/>
      <c r="C340" s="18"/>
      <c r="D340" s="18"/>
      <c r="E340" s="18"/>
      <c r="F340" s="2"/>
      <c r="G340" s="2"/>
      <c r="H340" s="2"/>
      <c r="I340" s="2"/>
      <c r="J340" s="2"/>
      <c r="K340" s="2"/>
      <c r="L340" s="18"/>
      <c r="M340" s="2"/>
      <c r="N340" s="18"/>
      <c r="O340" s="18"/>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row>
    <row r="341">
      <c r="A341" s="18"/>
      <c r="B341" s="2"/>
      <c r="C341" s="18"/>
      <c r="D341" s="18"/>
      <c r="E341" s="18"/>
      <c r="F341" s="2"/>
      <c r="G341" s="2"/>
      <c r="H341" s="2"/>
      <c r="I341" s="2"/>
      <c r="J341" s="2"/>
      <c r="K341" s="2"/>
      <c r="L341" s="18"/>
      <c r="M341" s="2"/>
      <c r="N341" s="18"/>
      <c r="O341" s="18"/>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row>
    <row r="342">
      <c r="A342" s="18"/>
      <c r="B342" s="2"/>
      <c r="C342" s="18"/>
      <c r="D342" s="18"/>
      <c r="E342" s="18"/>
      <c r="F342" s="2"/>
      <c r="G342" s="2"/>
      <c r="H342" s="2"/>
      <c r="I342" s="2"/>
      <c r="J342" s="2"/>
      <c r="K342" s="2"/>
      <c r="L342" s="18"/>
      <c r="M342" s="2"/>
      <c r="N342" s="18"/>
      <c r="O342" s="18"/>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row>
    <row r="343">
      <c r="A343" s="18"/>
      <c r="B343" s="2"/>
      <c r="C343" s="18"/>
      <c r="D343" s="18"/>
      <c r="E343" s="18"/>
      <c r="F343" s="2"/>
      <c r="G343" s="2"/>
      <c r="H343" s="2"/>
      <c r="I343" s="2"/>
      <c r="J343" s="2"/>
      <c r="K343" s="2"/>
      <c r="L343" s="18"/>
      <c r="M343" s="2"/>
      <c r="N343" s="18"/>
      <c r="O343" s="18"/>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row>
    <row r="344">
      <c r="A344" s="18"/>
      <c r="B344" s="2"/>
      <c r="C344" s="18"/>
      <c r="D344" s="18"/>
      <c r="E344" s="18"/>
      <c r="F344" s="2"/>
      <c r="G344" s="2"/>
      <c r="H344" s="2"/>
      <c r="I344" s="2"/>
      <c r="J344" s="2"/>
      <c r="K344" s="2"/>
      <c r="L344" s="18"/>
      <c r="M344" s="2"/>
      <c r="N344" s="18"/>
      <c r="O344" s="18"/>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row>
    <row r="345">
      <c r="A345" s="18"/>
      <c r="B345" s="2"/>
      <c r="C345" s="18"/>
      <c r="D345" s="18"/>
      <c r="E345" s="18"/>
      <c r="F345" s="2"/>
      <c r="G345" s="2"/>
      <c r="H345" s="2"/>
      <c r="I345" s="2"/>
      <c r="J345" s="2"/>
      <c r="K345" s="2"/>
      <c r="L345" s="18"/>
      <c r="M345" s="2"/>
      <c r="N345" s="18"/>
      <c r="O345" s="18"/>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row>
    <row r="346">
      <c r="A346" s="18"/>
      <c r="B346" s="2"/>
      <c r="C346" s="18"/>
      <c r="D346" s="18"/>
      <c r="E346" s="18"/>
      <c r="F346" s="2"/>
      <c r="G346" s="2"/>
      <c r="H346" s="2"/>
      <c r="I346" s="2"/>
      <c r="J346" s="2"/>
      <c r="K346" s="2"/>
      <c r="L346" s="18"/>
      <c r="M346" s="2"/>
      <c r="N346" s="18"/>
      <c r="O346" s="18"/>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row>
    <row r="347">
      <c r="A347" s="18"/>
      <c r="B347" s="2"/>
      <c r="C347" s="18"/>
      <c r="D347" s="18"/>
      <c r="E347" s="18"/>
      <c r="F347" s="2"/>
      <c r="G347" s="2"/>
      <c r="H347" s="2"/>
      <c r="I347" s="2"/>
      <c r="J347" s="2"/>
      <c r="K347" s="2"/>
      <c r="L347" s="18"/>
      <c r="M347" s="2"/>
      <c r="N347" s="18"/>
      <c r="O347" s="18"/>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row>
    <row r="348">
      <c r="A348" s="18"/>
      <c r="B348" s="2"/>
      <c r="C348" s="18"/>
      <c r="D348" s="18"/>
      <c r="E348" s="18"/>
      <c r="F348" s="2"/>
      <c r="G348" s="2"/>
      <c r="H348" s="2"/>
      <c r="I348" s="2"/>
      <c r="J348" s="2"/>
      <c r="K348" s="2"/>
      <c r="L348" s="18"/>
      <c r="M348" s="2"/>
      <c r="N348" s="18"/>
      <c r="O348" s="18"/>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row>
    <row r="349">
      <c r="A349" s="18"/>
      <c r="B349" s="2"/>
      <c r="C349" s="18"/>
      <c r="D349" s="18"/>
      <c r="E349" s="18"/>
      <c r="F349" s="2"/>
      <c r="G349" s="2"/>
      <c r="H349" s="2"/>
      <c r="I349" s="2"/>
      <c r="J349" s="2"/>
      <c r="K349" s="2"/>
      <c r="L349" s="18"/>
      <c r="M349" s="2"/>
      <c r="N349" s="18"/>
      <c r="O349" s="18"/>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row>
    <row r="350">
      <c r="A350" s="18"/>
      <c r="B350" s="2"/>
      <c r="C350" s="18"/>
      <c r="D350" s="18"/>
      <c r="E350" s="18"/>
      <c r="F350" s="2"/>
      <c r="G350" s="2"/>
      <c r="H350" s="2"/>
      <c r="I350" s="2"/>
      <c r="J350" s="2"/>
      <c r="K350" s="2"/>
      <c r="L350" s="18"/>
      <c r="M350" s="2"/>
      <c r="N350" s="18"/>
      <c r="O350" s="18"/>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row>
    <row r="351">
      <c r="A351" s="18"/>
      <c r="B351" s="2"/>
      <c r="C351" s="18"/>
      <c r="D351" s="18"/>
      <c r="E351" s="18"/>
      <c r="F351" s="2"/>
      <c r="G351" s="2"/>
      <c r="H351" s="2"/>
      <c r="I351" s="2"/>
      <c r="J351" s="2"/>
      <c r="K351" s="2"/>
      <c r="L351" s="18"/>
      <c r="M351" s="2"/>
      <c r="N351" s="18"/>
      <c r="O351" s="18"/>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row>
    <row r="352">
      <c r="A352" s="18"/>
      <c r="B352" s="2"/>
      <c r="C352" s="18"/>
      <c r="D352" s="18"/>
      <c r="E352" s="18"/>
      <c r="F352" s="2"/>
      <c r="G352" s="2"/>
      <c r="H352" s="2"/>
      <c r="I352" s="2"/>
      <c r="J352" s="2"/>
      <c r="K352" s="2"/>
      <c r="L352" s="18"/>
      <c r="M352" s="2"/>
      <c r="N352" s="18"/>
      <c r="O352" s="18"/>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row>
    <row r="353">
      <c r="A353" s="18"/>
      <c r="B353" s="2"/>
      <c r="C353" s="18"/>
      <c r="D353" s="18"/>
      <c r="E353" s="18"/>
      <c r="F353" s="2"/>
      <c r="G353" s="2"/>
      <c r="H353" s="2"/>
      <c r="I353" s="2"/>
      <c r="J353" s="2"/>
      <c r="K353" s="2"/>
      <c r="L353" s="18"/>
      <c r="M353" s="2"/>
      <c r="N353" s="18"/>
      <c r="O353" s="18"/>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row>
    <row r="354">
      <c r="A354" s="18"/>
      <c r="B354" s="2"/>
      <c r="C354" s="18"/>
      <c r="D354" s="18"/>
      <c r="E354" s="18"/>
      <c r="F354" s="2"/>
      <c r="G354" s="2"/>
      <c r="H354" s="2"/>
      <c r="I354" s="2"/>
      <c r="J354" s="2"/>
      <c r="K354" s="2"/>
      <c r="L354" s="18"/>
      <c r="M354" s="2"/>
      <c r="N354" s="18"/>
      <c r="O354" s="18"/>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row>
    <row r="355">
      <c r="A355" s="18"/>
      <c r="B355" s="2"/>
      <c r="C355" s="18"/>
      <c r="D355" s="18"/>
      <c r="E355" s="18"/>
      <c r="F355" s="2"/>
      <c r="G355" s="2"/>
      <c r="H355" s="2"/>
      <c r="I355" s="2"/>
      <c r="J355" s="2"/>
      <c r="K355" s="2"/>
      <c r="L355" s="18"/>
      <c r="M355" s="2"/>
      <c r="N355" s="18"/>
      <c r="O355" s="18"/>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row>
    <row r="356">
      <c r="A356" s="18"/>
      <c r="B356" s="2"/>
      <c r="C356" s="18"/>
      <c r="D356" s="18"/>
      <c r="E356" s="18"/>
      <c r="F356" s="2"/>
      <c r="G356" s="2"/>
      <c r="H356" s="2"/>
      <c r="I356" s="2"/>
      <c r="J356" s="2"/>
      <c r="K356" s="2"/>
      <c r="L356" s="18"/>
      <c r="M356" s="2"/>
      <c r="N356" s="18"/>
      <c r="O356" s="18"/>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row>
    <row r="357">
      <c r="A357" s="18"/>
      <c r="B357" s="2"/>
      <c r="C357" s="18"/>
      <c r="D357" s="18"/>
      <c r="E357" s="18"/>
      <c r="F357" s="2"/>
      <c r="G357" s="2"/>
      <c r="H357" s="2"/>
      <c r="I357" s="2"/>
      <c r="J357" s="2"/>
      <c r="K357" s="2"/>
      <c r="L357" s="18"/>
      <c r="M357" s="2"/>
      <c r="N357" s="18"/>
      <c r="O357" s="18"/>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row>
    <row r="358">
      <c r="A358" s="18"/>
      <c r="B358" s="2"/>
      <c r="C358" s="18"/>
      <c r="D358" s="18"/>
      <c r="E358" s="18"/>
      <c r="F358" s="2"/>
      <c r="G358" s="2"/>
      <c r="H358" s="2"/>
      <c r="I358" s="2"/>
      <c r="J358" s="2"/>
      <c r="K358" s="2"/>
      <c r="L358" s="18"/>
      <c r="M358" s="2"/>
      <c r="N358" s="18"/>
      <c r="O358" s="18"/>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row>
    <row r="359">
      <c r="A359" s="18"/>
      <c r="B359" s="2"/>
      <c r="C359" s="18"/>
      <c r="D359" s="18"/>
      <c r="E359" s="18"/>
      <c r="F359" s="2"/>
      <c r="G359" s="2"/>
      <c r="H359" s="2"/>
      <c r="I359" s="2"/>
      <c r="J359" s="2"/>
      <c r="K359" s="2"/>
      <c r="L359" s="18"/>
      <c r="M359" s="2"/>
      <c r="N359" s="18"/>
      <c r="O359" s="18"/>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row>
    <row r="360">
      <c r="A360" s="18"/>
      <c r="B360" s="2"/>
      <c r="C360" s="18"/>
      <c r="D360" s="18"/>
      <c r="E360" s="18"/>
      <c r="F360" s="2"/>
      <c r="G360" s="2"/>
      <c r="H360" s="2"/>
      <c r="I360" s="2"/>
      <c r="J360" s="2"/>
      <c r="K360" s="2"/>
      <c r="L360" s="18"/>
      <c r="M360" s="2"/>
      <c r="N360" s="18"/>
      <c r="O360" s="18"/>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row>
    <row r="361">
      <c r="A361" s="18"/>
      <c r="B361" s="2"/>
      <c r="C361" s="18"/>
      <c r="D361" s="18"/>
      <c r="E361" s="18"/>
      <c r="F361" s="2"/>
      <c r="G361" s="2"/>
      <c r="H361" s="2"/>
      <c r="I361" s="2"/>
      <c r="J361" s="2"/>
      <c r="K361" s="2"/>
      <c r="L361" s="18"/>
      <c r="M361" s="2"/>
      <c r="N361" s="18"/>
      <c r="O361" s="18"/>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row>
    <row r="362">
      <c r="A362" s="18"/>
      <c r="B362" s="2"/>
      <c r="C362" s="18"/>
      <c r="D362" s="18"/>
      <c r="E362" s="18"/>
      <c r="F362" s="2"/>
      <c r="G362" s="2"/>
      <c r="H362" s="2"/>
      <c r="I362" s="2"/>
      <c r="J362" s="2"/>
      <c r="K362" s="2"/>
      <c r="L362" s="18"/>
      <c r="M362" s="2"/>
      <c r="N362" s="18"/>
      <c r="O362" s="18"/>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row>
    <row r="363">
      <c r="A363" s="18"/>
      <c r="B363" s="2"/>
      <c r="C363" s="18"/>
      <c r="D363" s="18"/>
      <c r="E363" s="18"/>
      <c r="F363" s="2"/>
      <c r="G363" s="2"/>
      <c r="H363" s="2"/>
      <c r="I363" s="2"/>
      <c r="J363" s="2"/>
      <c r="K363" s="2"/>
      <c r="L363" s="18"/>
      <c r="M363" s="2"/>
      <c r="N363" s="18"/>
      <c r="O363" s="18"/>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row>
    <row r="364">
      <c r="A364" s="18"/>
      <c r="B364" s="2"/>
      <c r="C364" s="18"/>
      <c r="D364" s="18"/>
      <c r="E364" s="18"/>
      <c r="F364" s="2"/>
      <c r="G364" s="2"/>
      <c r="H364" s="2"/>
      <c r="I364" s="2"/>
      <c r="J364" s="2"/>
      <c r="K364" s="2"/>
      <c r="L364" s="18"/>
      <c r="M364" s="2"/>
      <c r="N364" s="18"/>
      <c r="O364" s="18"/>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row>
    <row r="365">
      <c r="A365" s="18"/>
      <c r="B365" s="2"/>
      <c r="C365" s="18"/>
      <c r="D365" s="18"/>
      <c r="E365" s="18"/>
      <c r="F365" s="2"/>
      <c r="G365" s="2"/>
      <c r="H365" s="2"/>
      <c r="I365" s="2"/>
      <c r="J365" s="2"/>
      <c r="K365" s="2"/>
      <c r="L365" s="18"/>
      <c r="M365" s="2"/>
      <c r="N365" s="18"/>
      <c r="O365" s="18"/>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row>
    <row r="366">
      <c r="A366" s="18"/>
      <c r="B366" s="2"/>
      <c r="C366" s="18"/>
      <c r="D366" s="18"/>
      <c r="E366" s="18"/>
      <c r="F366" s="2"/>
      <c r="G366" s="2"/>
      <c r="H366" s="2"/>
      <c r="I366" s="2"/>
      <c r="J366" s="2"/>
      <c r="K366" s="2"/>
      <c r="L366" s="18"/>
      <c r="M366" s="2"/>
      <c r="N366" s="18"/>
      <c r="O366" s="18"/>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row>
    <row r="367">
      <c r="A367" s="18"/>
      <c r="B367" s="2"/>
      <c r="C367" s="18"/>
      <c r="D367" s="18"/>
      <c r="E367" s="18"/>
      <c r="F367" s="2"/>
      <c r="G367" s="2"/>
      <c r="H367" s="2"/>
      <c r="I367" s="2"/>
      <c r="J367" s="2"/>
      <c r="K367" s="2"/>
      <c r="L367" s="18"/>
      <c r="M367" s="2"/>
      <c r="N367" s="18"/>
      <c r="O367" s="18"/>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row>
    <row r="368">
      <c r="A368" s="18"/>
      <c r="B368" s="2"/>
      <c r="C368" s="18"/>
      <c r="D368" s="18"/>
      <c r="E368" s="18"/>
      <c r="F368" s="2"/>
      <c r="G368" s="2"/>
      <c r="H368" s="2"/>
      <c r="I368" s="2"/>
      <c r="J368" s="2"/>
      <c r="K368" s="2"/>
      <c r="L368" s="18"/>
      <c r="M368" s="2"/>
      <c r="N368" s="18"/>
      <c r="O368" s="18"/>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row>
    <row r="369">
      <c r="A369" s="18"/>
      <c r="B369" s="2"/>
      <c r="C369" s="18"/>
      <c r="D369" s="18"/>
      <c r="E369" s="18"/>
      <c r="F369" s="2"/>
      <c r="G369" s="2"/>
      <c r="H369" s="2"/>
      <c r="I369" s="2"/>
      <c r="J369" s="2"/>
      <c r="K369" s="2"/>
      <c r="L369" s="18"/>
      <c r="M369" s="2"/>
      <c r="N369" s="18"/>
      <c r="O369" s="18"/>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row>
    <row r="370">
      <c r="A370" s="18"/>
      <c r="B370" s="2"/>
      <c r="C370" s="18"/>
      <c r="D370" s="18"/>
      <c r="E370" s="18"/>
      <c r="F370" s="2"/>
      <c r="G370" s="2"/>
      <c r="H370" s="2"/>
      <c r="I370" s="2"/>
      <c r="J370" s="2"/>
      <c r="K370" s="2"/>
      <c r="L370" s="18"/>
      <c r="M370" s="2"/>
      <c r="N370" s="18"/>
      <c r="O370" s="18"/>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row>
    <row r="371">
      <c r="A371" s="18"/>
      <c r="B371" s="2"/>
      <c r="C371" s="18"/>
      <c r="D371" s="18"/>
      <c r="E371" s="18"/>
      <c r="F371" s="2"/>
      <c r="G371" s="2"/>
      <c r="H371" s="2"/>
      <c r="I371" s="2"/>
      <c r="J371" s="2"/>
      <c r="K371" s="2"/>
      <c r="L371" s="18"/>
      <c r="M371" s="2"/>
      <c r="N371" s="18"/>
      <c r="O371" s="18"/>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row>
    <row r="372">
      <c r="A372" s="18"/>
      <c r="B372" s="2"/>
      <c r="C372" s="18"/>
      <c r="D372" s="18"/>
      <c r="E372" s="18"/>
      <c r="F372" s="2"/>
      <c r="G372" s="2"/>
      <c r="H372" s="2"/>
      <c r="I372" s="2"/>
      <c r="J372" s="2"/>
      <c r="K372" s="2"/>
      <c r="L372" s="18"/>
      <c r="M372" s="2"/>
      <c r="N372" s="18"/>
      <c r="O372" s="18"/>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row>
    <row r="373">
      <c r="A373" s="18"/>
      <c r="B373" s="2"/>
      <c r="C373" s="18"/>
      <c r="D373" s="18"/>
      <c r="E373" s="18"/>
      <c r="F373" s="2"/>
      <c r="G373" s="2"/>
      <c r="H373" s="2"/>
      <c r="I373" s="2"/>
      <c r="J373" s="2"/>
      <c r="K373" s="2"/>
      <c r="L373" s="18"/>
      <c r="M373" s="2"/>
      <c r="N373" s="18"/>
      <c r="O373" s="18"/>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row>
    <row r="374">
      <c r="A374" s="18"/>
      <c r="B374" s="2"/>
      <c r="C374" s="18"/>
      <c r="D374" s="18"/>
      <c r="E374" s="18"/>
      <c r="F374" s="2"/>
      <c r="G374" s="2"/>
      <c r="H374" s="2"/>
      <c r="I374" s="2"/>
      <c r="J374" s="2"/>
      <c r="K374" s="2"/>
      <c r="L374" s="18"/>
      <c r="M374" s="2"/>
      <c r="N374" s="18"/>
      <c r="O374" s="18"/>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row>
    <row r="375">
      <c r="A375" s="18"/>
      <c r="B375" s="2"/>
      <c r="C375" s="18"/>
      <c r="D375" s="18"/>
      <c r="E375" s="18"/>
      <c r="F375" s="2"/>
      <c r="G375" s="2"/>
      <c r="H375" s="2"/>
      <c r="I375" s="2"/>
      <c r="J375" s="2"/>
      <c r="K375" s="2"/>
      <c r="L375" s="18"/>
      <c r="M375" s="2"/>
      <c r="N375" s="18"/>
      <c r="O375" s="18"/>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row>
    <row r="376">
      <c r="A376" s="18"/>
      <c r="B376" s="2"/>
      <c r="C376" s="18"/>
      <c r="D376" s="18"/>
      <c r="E376" s="18"/>
      <c r="F376" s="2"/>
      <c r="G376" s="2"/>
      <c r="H376" s="2"/>
      <c r="I376" s="2"/>
      <c r="J376" s="2"/>
      <c r="K376" s="2"/>
      <c r="L376" s="18"/>
      <c r="M376" s="2"/>
      <c r="N376" s="18"/>
      <c r="O376" s="18"/>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row>
    <row r="377">
      <c r="A377" s="18"/>
      <c r="B377" s="2"/>
      <c r="C377" s="18"/>
      <c r="D377" s="18"/>
      <c r="E377" s="18"/>
      <c r="F377" s="2"/>
      <c r="G377" s="2"/>
      <c r="H377" s="2"/>
      <c r="I377" s="2"/>
      <c r="J377" s="2"/>
      <c r="K377" s="2"/>
      <c r="L377" s="18"/>
      <c r="M377" s="2"/>
      <c r="N377" s="18"/>
      <c r="O377" s="18"/>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row>
    <row r="378">
      <c r="A378" s="18"/>
      <c r="B378" s="2"/>
      <c r="C378" s="18"/>
      <c r="D378" s="18"/>
      <c r="E378" s="18"/>
      <c r="F378" s="2"/>
      <c r="G378" s="2"/>
      <c r="H378" s="2"/>
      <c r="I378" s="2"/>
      <c r="J378" s="2"/>
      <c r="K378" s="2"/>
      <c r="L378" s="18"/>
      <c r="M378" s="2"/>
      <c r="N378" s="18"/>
      <c r="O378" s="18"/>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row>
    <row r="379">
      <c r="A379" s="18"/>
      <c r="B379" s="2"/>
      <c r="C379" s="18"/>
      <c r="D379" s="18"/>
      <c r="E379" s="18"/>
      <c r="F379" s="2"/>
      <c r="G379" s="2"/>
      <c r="H379" s="2"/>
      <c r="I379" s="2"/>
      <c r="J379" s="2"/>
      <c r="K379" s="2"/>
      <c r="L379" s="18"/>
      <c r="M379" s="2"/>
      <c r="N379" s="18"/>
      <c r="O379" s="18"/>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row>
    <row r="380">
      <c r="A380" s="18"/>
      <c r="B380" s="2"/>
      <c r="C380" s="18"/>
      <c r="D380" s="18"/>
      <c r="E380" s="18"/>
      <c r="F380" s="2"/>
      <c r="G380" s="2"/>
      <c r="H380" s="2"/>
      <c r="I380" s="2"/>
      <c r="J380" s="2"/>
      <c r="K380" s="2"/>
      <c r="L380" s="18"/>
      <c r="M380" s="2"/>
      <c r="N380" s="18"/>
      <c r="O380" s="18"/>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row>
    <row r="381">
      <c r="A381" s="18"/>
      <c r="B381" s="2"/>
      <c r="C381" s="18"/>
      <c r="D381" s="18"/>
      <c r="E381" s="18"/>
      <c r="F381" s="2"/>
      <c r="G381" s="2"/>
      <c r="H381" s="2"/>
      <c r="I381" s="2"/>
      <c r="J381" s="2"/>
      <c r="K381" s="2"/>
      <c r="L381" s="18"/>
      <c r="M381" s="2"/>
      <c r="N381" s="18"/>
      <c r="O381" s="18"/>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row>
    <row r="382">
      <c r="A382" s="18"/>
      <c r="B382" s="2"/>
      <c r="C382" s="18"/>
      <c r="D382" s="18"/>
      <c r="E382" s="18"/>
      <c r="F382" s="2"/>
      <c r="G382" s="2"/>
      <c r="H382" s="2"/>
      <c r="I382" s="2"/>
      <c r="J382" s="2"/>
      <c r="K382" s="2"/>
      <c r="L382" s="18"/>
      <c r="M382" s="2"/>
      <c r="N382" s="18"/>
      <c r="O382" s="18"/>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row>
    <row r="383">
      <c r="A383" s="18"/>
      <c r="B383" s="2"/>
      <c r="C383" s="18"/>
      <c r="D383" s="18"/>
      <c r="E383" s="18"/>
      <c r="F383" s="2"/>
      <c r="G383" s="2"/>
      <c r="H383" s="2"/>
      <c r="I383" s="2"/>
      <c r="J383" s="2"/>
      <c r="K383" s="2"/>
      <c r="L383" s="18"/>
      <c r="M383" s="2"/>
      <c r="N383" s="18"/>
      <c r="O383" s="18"/>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row>
    <row r="384">
      <c r="A384" s="18"/>
      <c r="B384" s="2"/>
      <c r="C384" s="18"/>
      <c r="D384" s="18"/>
      <c r="E384" s="18"/>
      <c r="F384" s="2"/>
      <c r="G384" s="2"/>
      <c r="H384" s="2"/>
      <c r="I384" s="2"/>
      <c r="J384" s="2"/>
      <c r="K384" s="2"/>
      <c r="L384" s="18"/>
      <c r="M384" s="2"/>
      <c r="N384" s="18"/>
      <c r="O384" s="18"/>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row>
    <row r="385">
      <c r="A385" s="18"/>
      <c r="B385" s="2"/>
      <c r="C385" s="18"/>
      <c r="D385" s="18"/>
      <c r="E385" s="18"/>
      <c r="F385" s="2"/>
      <c r="G385" s="2"/>
      <c r="H385" s="2"/>
      <c r="I385" s="2"/>
      <c r="J385" s="2"/>
      <c r="K385" s="2"/>
      <c r="L385" s="18"/>
      <c r="M385" s="2"/>
      <c r="N385" s="18"/>
      <c r="O385" s="18"/>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row>
    <row r="386">
      <c r="A386" s="18"/>
      <c r="B386" s="2"/>
      <c r="C386" s="18"/>
      <c r="D386" s="18"/>
      <c r="E386" s="18"/>
      <c r="F386" s="2"/>
      <c r="G386" s="2"/>
      <c r="H386" s="2"/>
      <c r="I386" s="2"/>
      <c r="J386" s="2"/>
      <c r="K386" s="2"/>
      <c r="L386" s="18"/>
      <c r="M386" s="2"/>
      <c r="N386" s="18"/>
      <c r="O386" s="18"/>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row>
    <row r="387">
      <c r="A387" s="18"/>
      <c r="B387" s="2"/>
      <c r="C387" s="18"/>
      <c r="D387" s="18"/>
      <c r="E387" s="18"/>
      <c r="F387" s="2"/>
      <c r="G387" s="2"/>
      <c r="H387" s="2"/>
      <c r="I387" s="2"/>
      <c r="J387" s="2"/>
      <c r="K387" s="2"/>
      <c r="L387" s="18"/>
      <c r="M387" s="2"/>
      <c r="N387" s="18"/>
      <c r="O387" s="18"/>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row>
    <row r="388">
      <c r="A388" s="18"/>
      <c r="B388" s="2"/>
      <c r="C388" s="18"/>
      <c r="D388" s="18"/>
      <c r="E388" s="18"/>
      <c r="F388" s="2"/>
      <c r="G388" s="2"/>
      <c r="H388" s="2"/>
      <c r="I388" s="2"/>
      <c r="J388" s="2"/>
      <c r="K388" s="2"/>
      <c r="L388" s="18"/>
      <c r="M388" s="2"/>
      <c r="N388" s="18"/>
      <c r="O388" s="18"/>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row>
    <row r="389">
      <c r="A389" s="18"/>
      <c r="B389" s="2"/>
      <c r="C389" s="18"/>
      <c r="D389" s="18"/>
      <c r="E389" s="18"/>
      <c r="F389" s="2"/>
      <c r="G389" s="2"/>
      <c r="H389" s="2"/>
      <c r="I389" s="2"/>
      <c r="J389" s="2"/>
      <c r="K389" s="2"/>
      <c r="L389" s="18"/>
      <c r="M389" s="2"/>
      <c r="N389" s="18"/>
      <c r="O389" s="18"/>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row>
    <row r="390">
      <c r="A390" s="18"/>
      <c r="B390" s="2"/>
      <c r="C390" s="18"/>
      <c r="D390" s="18"/>
      <c r="E390" s="18"/>
      <c r="F390" s="2"/>
      <c r="G390" s="2"/>
      <c r="H390" s="2"/>
      <c r="I390" s="2"/>
      <c r="J390" s="2"/>
      <c r="K390" s="2"/>
      <c r="L390" s="18"/>
      <c r="M390" s="2"/>
      <c r="N390" s="18"/>
      <c r="O390" s="18"/>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row>
    <row r="391">
      <c r="A391" s="18"/>
      <c r="B391" s="2"/>
      <c r="C391" s="18"/>
      <c r="D391" s="18"/>
      <c r="E391" s="18"/>
      <c r="F391" s="2"/>
      <c r="G391" s="2"/>
      <c r="H391" s="2"/>
      <c r="I391" s="2"/>
      <c r="J391" s="2"/>
      <c r="K391" s="2"/>
      <c r="L391" s="18"/>
      <c r="M391" s="2"/>
      <c r="N391" s="18"/>
      <c r="O391" s="18"/>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row>
    <row r="392">
      <c r="A392" s="18"/>
      <c r="B392" s="2"/>
      <c r="C392" s="18"/>
      <c r="D392" s="18"/>
      <c r="E392" s="18"/>
      <c r="F392" s="2"/>
      <c r="G392" s="2"/>
      <c r="H392" s="2"/>
      <c r="I392" s="2"/>
      <c r="J392" s="2"/>
      <c r="K392" s="2"/>
      <c r="L392" s="18"/>
      <c r="M392" s="2"/>
      <c r="N392" s="18"/>
      <c r="O392" s="18"/>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row>
    <row r="393">
      <c r="A393" s="18"/>
      <c r="B393" s="2"/>
      <c r="C393" s="18"/>
      <c r="D393" s="18"/>
      <c r="E393" s="18"/>
      <c r="F393" s="2"/>
      <c r="G393" s="2"/>
      <c r="H393" s="2"/>
      <c r="I393" s="2"/>
      <c r="J393" s="2"/>
      <c r="K393" s="2"/>
      <c r="L393" s="18"/>
      <c r="M393" s="2"/>
      <c r="N393" s="18"/>
      <c r="O393" s="18"/>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row>
    <row r="394">
      <c r="A394" s="18"/>
      <c r="B394" s="2"/>
      <c r="C394" s="18"/>
      <c r="D394" s="18"/>
      <c r="E394" s="18"/>
      <c r="F394" s="2"/>
      <c r="G394" s="2"/>
      <c r="H394" s="2"/>
      <c r="I394" s="2"/>
      <c r="J394" s="2"/>
      <c r="K394" s="2"/>
      <c r="L394" s="18"/>
      <c r="M394" s="2"/>
      <c r="N394" s="18"/>
      <c r="O394" s="18"/>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row>
    <row r="395">
      <c r="A395" s="18"/>
      <c r="B395" s="2"/>
      <c r="C395" s="18"/>
      <c r="D395" s="18"/>
      <c r="E395" s="18"/>
      <c r="F395" s="2"/>
      <c r="G395" s="2"/>
      <c r="H395" s="2"/>
      <c r="I395" s="2"/>
      <c r="J395" s="2"/>
      <c r="K395" s="2"/>
      <c r="L395" s="18"/>
      <c r="M395" s="2"/>
      <c r="N395" s="18"/>
      <c r="O395" s="18"/>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row>
    <row r="396">
      <c r="A396" s="18"/>
      <c r="B396" s="2"/>
      <c r="C396" s="18"/>
      <c r="D396" s="18"/>
      <c r="E396" s="18"/>
      <c r="F396" s="2"/>
      <c r="G396" s="2"/>
      <c r="H396" s="2"/>
      <c r="I396" s="2"/>
      <c r="J396" s="2"/>
      <c r="K396" s="2"/>
      <c r="L396" s="18"/>
      <c r="M396" s="2"/>
      <c r="N396" s="18"/>
      <c r="O396" s="18"/>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row>
    <row r="397">
      <c r="A397" s="18"/>
      <c r="B397" s="2"/>
      <c r="C397" s="18"/>
      <c r="D397" s="18"/>
      <c r="E397" s="18"/>
      <c r="F397" s="2"/>
      <c r="G397" s="2"/>
      <c r="H397" s="2"/>
      <c r="I397" s="2"/>
      <c r="J397" s="2"/>
      <c r="K397" s="2"/>
      <c r="L397" s="18"/>
      <c r="M397" s="2"/>
      <c r="N397" s="18"/>
      <c r="O397" s="18"/>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row>
    <row r="398">
      <c r="A398" s="18"/>
      <c r="B398" s="2"/>
      <c r="C398" s="18"/>
      <c r="D398" s="18"/>
      <c r="E398" s="18"/>
      <c r="F398" s="2"/>
      <c r="G398" s="2"/>
      <c r="H398" s="2"/>
      <c r="I398" s="2"/>
      <c r="J398" s="2"/>
      <c r="K398" s="2"/>
      <c r="L398" s="18"/>
      <c r="M398" s="2"/>
      <c r="N398" s="18"/>
      <c r="O398" s="18"/>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row>
    <row r="399">
      <c r="A399" s="18"/>
      <c r="B399" s="2"/>
      <c r="C399" s="18"/>
      <c r="D399" s="18"/>
      <c r="E399" s="18"/>
      <c r="F399" s="2"/>
      <c r="G399" s="2"/>
      <c r="H399" s="2"/>
      <c r="I399" s="2"/>
      <c r="J399" s="2"/>
      <c r="K399" s="2"/>
      <c r="L399" s="18"/>
      <c r="M399" s="2"/>
      <c r="N399" s="18"/>
      <c r="O399" s="18"/>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row>
    <row r="400">
      <c r="A400" s="18"/>
      <c r="B400" s="2"/>
      <c r="C400" s="18"/>
      <c r="D400" s="18"/>
      <c r="E400" s="18"/>
      <c r="F400" s="2"/>
      <c r="G400" s="2"/>
      <c r="H400" s="2"/>
      <c r="I400" s="2"/>
      <c r="J400" s="2"/>
      <c r="K400" s="2"/>
      <c r="L400" s="18"/>
      <c r="M400" s="2"/>
      <c r="N400" s="18"/>
      <c r="O400" s="18"/>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row>
    <row r="401">
      <c r="A401" s="18"/>
      <c r="B401" s="2"/>
      <c r="C401" s="18"/>
      <c r="D401" s="18"/>
      <c r="E401" s="18"/>
      <c r="F401" s="2"/>
      <c r="G401" s="2"/>
      <c r="H401" s="2"/>
      <c r="I401" s="2"/>
      <c r="J401" s="2"/>
      <c r="K401" s="2"/>
      <c r="L401" s="18"/>
      <c r="M401" s="2"/>
      <c r="N401" s="18"/>
      <c r="O401" s="18"/>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row>
    <row r="402">
      <c r="A402" s="18"/>
      <c r="B402" s="2"/>
      <c r="C402" s="18"/>
      <c r="D402" s="18"/>
      <c r="E402" s="18"/>
      <c r="F402" s="2"/>
      <c r="G402" s="2"/>
      <c r="H402" s="2"/>
      <c r="I402" s="2"/>
      <c r="J402" s="2"/>
      <c r="K402" s="2"/>
      <c r="L402" s="18"/>
      <c r="M402" s="2"/>
      <c r="N402" s="18"/>
      <c r="O402" s="18"/>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row>
    <row r="403">
      <c r="A403" s="18"/>
      <c r="B403" s="2"/>
      <c r="C403" s="18"/>
      <c r="D403" s="18"/>
      <c r="E403" s="18"/>
      <c r="F403" s="2"/>
      <c r="G403" s="2"/>
      <c r="H403" s="2"/>
      <c r="I403" s="2"/>
      <c r="J403" s="2"/>
      <c r="K403" s="2"/>
      <c r="L403" s="18"/>
      <c r="M403" s="2"/>
      <c r="N403" s="18"/>
      <c r="O403" s="18"/>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row>
    <row r="404">
      <c r="A404" s="18"/>
      <c r="B404" s="2"/>
      <c r="C404" s="18"/>
      <c r="D404" s="18"/>
      <c r="E404" s="18"/>
      <c r="F404" s="2"/>
      <c r="G404" s="2"/>
      <c r="H404" s="2"/>
      <c r="I404" s="2"/>
      <c r="J404" s="2"/>
      <c r="K404" s="2"/>
      <c r="L404" s="18"/>
      <c r="M404" s="2"/>
      <c r="N404" s="18"/>
      <c r="O404" s="18"/>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row>
    <row r="405">
      <c r="A405" s="18"/>
      <c r="B405" s="2"/>
      <c r="C405" s="18"/>
      <c r="D405" s="18"/>
      <c r="E405" s="18"/>
      <c r="F405" s="2"/>
      <c r="G405" s="2"/>
      <c r="H405" s="2"/>
      <c r="I405" s="2"/>
      <c r="J405" s="2"/>
      <c r="K405" s="2"/>
      <c r="L405" s="18"/>
      <c r="M405" s="2"/>
      <c r="N405" s="18"/>
      <c r="O405" s="18"/>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row>
    <row r="406">
      <c r="A406" s="18"/>
      <c r="B406" s="2"/>
      <c r="C406" s="18"/>
      <c r="D406" s="18"/>
      <c r="E406" s="18"/>
      <c r="F406" s="2"/>
      <c r="G406" s="2"/>
      <c r="H406" s="2"/>
      <c r="I406" s="2"/>
      <c r="J406" s="2"/>
      <c r="K406" s="2"/>
      <c r="L406" s="18"/>
      <c r="M406" s="2"/>
      <c r="N406" s="18"/>
      <c r="O406" s="18"/>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row>
    <row r="407">
      <c r="A407" s="18"/>
      <c r="B407" s="2"/>
      <c r="C407" s="18"/>
      <c r="D407" s="18"/>
      <c r="E407" s="18"/>
      <c r="F407" s="2"/>
      <c r="G407" s="2"/>
      <c r="H407" s="2"/>
      <c r="I407" s="2"/>
      <c r="J407" s="2"/>
      <c r="K407" s="2"/>
      <c r="L407" s="18"/>
      <c r="M407" s="2"/>
      <c r="N407" s="18"/>
      <c r="O407" s="18"/>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row>
    <row r="408">
      <c r="A408" s="18"/>
      <c r="B408" s="2"/>
      <c r="C408" s="18"/>
      <c r="D408" s="18"/>
      <c r="E408" s="18"/>
      <c r="F408" s="2"/>
      <c r="G408" s="2"/>
      <c r="H408" s="2"/>
      <c r="I408" s="2"/>
      <c r="J408" s="2"/>
      <c r="K408" s="2"/>
      <c r="L408" s="18"/>
      <c r="M408" s="2"/>
      <c r="N408" s="18"/>
      <c r="O408" s="18"/>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row>
    <row r="409">
      <c r="A409" s="18"/>
      <c r="B409" s="2"/>
      <c r="C409" s="18"/>
      <c r="D409" s="18"/>
      <c r="E409" s="18"/>
      <c r="F409" s="2"/>
      <c r="G409" s="2"/>
      <c r="H409" s="2"/>
      <c r="I409" s="2"/>
      <c r="J409" s="2"/>
      <c r="K409" s="2"/>
      <c r="L409" s="18"/>
      <c r="M409" s="2"/>
      <c r="N409" s="18"/>
      <c r="O409" s="18"/>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row>
    <row r="410">
      <c r="A410" s="18"/>
      <c r="B410" s="2"/>
      <c r="C410" s="18"/>
      <c r="D410" s="18"/>
      <c r="E410" s="18"/>
      <c r="F410" s="2"/>
      <c r="G410" s="2"/>
      <c r="H410" s="2"/>
      <c r="I410" s="2"/>
      <c r="J410" s="2"/>
      <c r="K410" s="2"/>
      <c r="L410" s="18"/>
      <c r="M410" s="2"/>
      <c r="N410" s="18"/>
      <c r="O410" s="18"/>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row>
    <row r="411">
      <c r="A411" s="18"/>
      <c r="B411" s="2"/>
      <c r="C411" s="18"/>
      <c r="D411" s="18"/>
      <c r="E411" s="18"/>
      <c r="F411" s="2"/>
      <c r="G411" s="2"/>
      <c r="H411" s="2"/>
      <c r="I411" s="2"/>
      <c r="J411" s="2"/>
      <c r="K411" s="2"/>
      <c r="L411" s="18"/>
      <c r="M411" s="2"/>
      <c r="N411" s="18"/>
      <c r="O411" s="18"/>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row>
    <row r="412">
      <c r="A412" s="18"/>
      <c r="B412" s="2"/>
      <c r="C412" s="18"/>
      <c r="D412" s="18"/>
      <c r="E412" s="18"/>
      <c r="F412" s="2"/>
      <c r="G412" s="2"/>
      <c r="H412" s="2"/>
      <c r="I412" s="2"/>
      <c r="J412" s="2"/>
      <c r="K412" s="2"/>
      <c r="L412" s="18"/>
      <c r="M412" s="2"/>
      <c r="N412" s="18"/>
      <c r="O412" s="18"/>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row>
    <row r="413">
      <c r="A413" s="18"/>
      <c r="B413" s="2"/>
      <c r="C413" s="18"/>
      <c r="D413" s="18"/>
      <c r="E413" s="18"/>
      <c r="F413" s="2"/>
      <c r="G413" s="2"/>
      <c r="H413" s="2"/>
      <c r="I413" s="2"/>
      <c r="J413" s="2"/>
      <c r="K413" s="2"/>
      <c r="L413" s="18"/>
      <c r="M413" s="2"/>
      <c r="N413" s="18"/>
      <c r="O413" s="18"/>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row>
    <row r="414">
      <c r="A414" s="18"/>
      <c r="B414" s="2"/>
      <c r="C414" s="18"/>
      <c r="D414" s="18"/>
      <c r="E414" s="18"/>
      <c r="F414" s="2"/>
      <c r="G414" s="2"/>
      <c r="H414" s="2"/>
      <c r="I414" s="2"/>
      <c r="J414" s="2"/>
      <c r="K414" s="2"/>
      <c r="L414" s="18"/>
      <c r="M414" s="2"/>
      <c r="N414" s="18"/>
      <c r="O414" s="18"/>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row>
    <row r="415">
      <c r="A415" s="18"/>
      <c r="B415" s="2"/>
      <c r="C415" s="18"/>
      <c r="D415" s="18"/>
      <c r="E415" s="18"/>
      <c r="F415" s="2"/>
      <c r="G415" s="2"/>
      <c r="H415" s="2"/>
      <c r="I415" s="2"/>
      <c r="J415" s="2"/>
      <c r="K415" s="2"/>
      <c r="L415" s="18"/>
      <c r="M415" s="2"/>
      <c r="N415" s="18"/>
      <c r="O415" s="18"/>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row>
    <row r="416">
      <c r="A416" s="18"/>
      <c r="B416" s="2"/>
      <c r="C416" s="18"/>
      <c r="D416" s="18"/>
      <c r="E416" s="18"/>
      <c r="F416" s="2"/>
      <c r="G416" s="2"/>
      <c r="H416" s="2"/>
      <c r="I416" s="2"/>
      <c r="J416" s="2"/>
      <c r="K416" s="2"/>
      <c r="L416" s="18"/>
      <c r="M416" s="2"/>
      <c r="N416" s="18"/>
      <c r="O416" s="18"/>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row>
    <row r="417">
      <c r="A417" s="18"/>
      <c r="B417" s="2"/>
      <c r="C417" s="18"/>
      <c r="D417" s="18"/>
      <c r="E417" s="18"/>
      <c r="F417" s="2"/>
      <c r="G417" s="2"/>
      <c r="H417" s="2"/>
      <c r="I417" s="2"/>
      <c r="J417" s="2"/>
      <c r="K417" s="2"/>
      <c r="L417" s="18"/>
      <c r="M417" s="2"/>
      <c r="N417" s="18"/>
      <c r="O417" s="18"/>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row>
    <row r="418">
      <c r="A418" s="18"/>
      <c r="B418" s="2"/>
      <c r="C418" s="18"/>
      <c r="D418" s="18"/>
      <c r="E418" s="18"/>
      <c r="F418" s="2"/>
      <c r="G418" s="2"/>
      <c r="H418" s="2"/>
      <c r="I418" s="2"/>
      <c r="J418" s="2"/>
      <c r="K418" s="2"/>
      <c r="L418" s="18"/>
      <c r="M418" s="2"/>
      <c r="N418" s="18"/>
      <c r="O418" s="18"/>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row>
    <row r="419">
      <c r="A419" s="18"/>
      <c r="B419" s="2"/>
      <c r="C419" s="18"/>
      <c r="D419" s="18"/>
      <c r="E419" s="18"/>
      <c r="F419" s="2"/>
      <c r="G419" s="2"/>
      <c r="H419" s="2"/>
      <c r="I419" s="2"/>
      <c r="J419" s="2"/>
      <c r="K419" s="2"/>
      <c r="L419" s="18"/>
      <c r="M419" s="2"/>
      <c r="N419" s="18"/>
      <c r="O419" s="18"/>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row>
    <row r="420">
      <c r="A420" s="18"/>
      <c r="B420" s="2"/>
      <c r="C420" s="18"/>
      <c r="D420" s="18"/>
      <c r="E420" s="18"/>
      <c r="F420" s="2"/>
      <c r="G420" s="2"/>
      <c r="H420" s="2"/>
      <c r="I420" s="2"/>
      <c r="J420" s="2"/>
      <c r="K420" s="2"/>
      <c r="L420" s="18"/>
      <c r="M420" s="2"/>
      <c r="N420" s="18"/>
      <c r="O420" s="18"/>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row>
    <row r="421">
      <c r="A421" s="18"/>
      <c r="B421" s="2"/>
      <c r="C421" s="18"/>
      <c r="D421" s="18"/>
      <c r="E421" s="18"/>
      <c r="F421" s="2"/>
      <c r="G421" s="2"/>
      <c r="H421" s="2"/>
      <c r="I421" s="2"/>
      <c r="J421" s="2"/>
      <c r="K421" s="2"/>
      <c r="L421" s="18"/>
      <c r="M421" s="2"/>
      <c r="N421" s="18"/>
      <c r="O421" s="18"/>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row>
    <row r="422">
      <c r="A422" s="18"/>
      <c r="B422" s="2"/>
      <c r="C422" s="18"/>
      <c r="D422" s="18"/>
      <c r="E422" s="18"/>
      <c r="F422" s="2"/>
      <c r="G422" s="2"/>
      <c r="H422" s="2"/>
      <c r="I422" s="2"/>
      <c r="J422" s="2"/>
      <c r="K422" s="2"/>
      <c r="L422" s="18"/>
      <c r="M422" s="2"/>
      <c r="N422" s="18"/>
      <c r="O422" s="18"/>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row>
    <row r="423">
      <c r="A423" s="18"/>
      <c r="B423" s="2"/>
      <c r="C423" s="18"/>
      <c r="D423" s="18"/>
      <c r="E423" s="18"/>
      <c r="F423" s="2"/>
      <c r="G423" s="2"/>
      <c r="H423" s="2"/>
      <c r="I423" s="2"/>
      <c r="J423" s="2"/>
      <c r="K423" s="2"/>
      <c r="L423" s="18"/>
      <c r="M423" s="2"/>
      <c r="N423" s="18"/>
      <c r="O423" s="18"/>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row>
    <row r="424">
      <c r="A424" s="18"/>
      <c r="B424" s="2"/>
      <c r="C424" s="18"/>
      <c r="D424" s="18"/>
      <c r="E424" s="18"/>
      <c r="F424" s="2"/>
      <c r="G424" s="2"/>
      <c r="H424" s="2"/>
      <c r="I424" s="2"/>
      <c r="J424" s="2"/>
      <c r="K424" s="2"/>
      <c r="L424" s="18"/>
      <c r="M424" s="2"/>
      <c r="N424" s="18"/>
      <c r="O424" s="18"/>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row>
    <row r="425">
      <c r="A425" s="18"/>
      <c r="B425" s="2"/>
      <c r="C425" s="18"/>
      <c r="D425" s="18"/>
      <c r="E425" s="18"/>
      <c r="F425" s="2"/>
      <c r="G425" s="2"/>
      <c r="H425" s="2"/>
      <c r="I425" s="2"/>
      <c r="J425" s="2"/>
      <c r="K425" s="2"/>
      <c r="L425" s="18"/>
      <c r="M425" s="2"/>
      <c r="N425" s="18"/>
      <c r="O425" s="18"/>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row>
    <row r="426">
      <c r="A426" s="18"/>
      <c r="B426" s="2"/>
      <c r="C426" s="18"/>
      <c r="D426" s="18"/>
      <c r="E426" s="18"/>
      <c r="F426" s="2"/>
      <c r="G426" s="2"/>
      <c r="H426" s="2"/>
      <c r="I426" s="2"/>
      <c r="J426" s="2"/>
      <c r="K426" s="2"/>
      <c r="L426" s="18"/>
      <c r="M426" s="2"/>
      <c r="N426" s="18"/>
      <c r="O426" s="18"/>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row>
    <row r="427">
      <c r="A427" s="18"/>
      <c r="B427" s="2"/>
      <c r="C427" s="18"/>
      <c r="D427" s="18"/>
      <c r="E427" s="18"/>
      <c r="F427" s="2"/>
      <c r="G427" s="2"/>
      <c r="H427" s="2"/>
      <c r="I427" s="2"/>
      <c r="J427" s="2"/>
      <c r="K427" s="2"/>
      <c r="L427" s="18"/>
      <c r="M427" s="2"/>
      <c r="N427" s="18"/>
      <c r="O427" s="18"/>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row>
    <row r="428">
      <c r="A428" s="18"/>
      <c r="B428" s="2"/>
      <c r="C428" s="18"/>
      <c r="D428" s="18"/>
      <c r="E428" s="18"/>
      <c r="F428" s="2"/>
      <c r="G428" s="2"/>
      <c r="H428" s="2"/>
      <c r="I428" s="2"/>
      <c r="J428" s="2"/>
      <c r="K428" s="2"/>
      <c r="L428" s="18"/>
      <c r="M428" s="2"/>
      <c r="N428" s="18"/>
      <c r="O428" s="18"/>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row>
    <row r="429">
      <c r="A429" s="18"/>
      <c r="B429" s="2"/>
      <c r="C429" s="18"/>
      <c r="D429" s="18"/>
      <c r="E429" s="18"/>
      <c r="F429" s="2"/>
      <c r="G429" s="2"/>
      <c r="H429" s="2"/>
      <c r="I429" s="2"/>
      <c r="J429" s="2"/>
      <c r="K429" s="2"/>
      <c r="L429" s="18"/>
      <c r="M429" s="2"/>
      <c r="N429" s="18"/>
      <c r="O429" s="18"/>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row>
    <row r="430">
      <c r="A430" s="18"/>
      <c r="B430" s="2"/>
      <c r="C430" s="18"/>
      <c r="D430" s="18"/>
      <c r="E430" s="18"/>
      <c r="F430" s="2"/>
      <c r="G430" s="2"/>
      <c r="H430" s="2"/>
      <c r="I430" s="2"/>
      <c r="J430" s="2"/>
      <c r="K430" s="2"/>
      <c r="L430" s="18"/>
      <c r="M430" s="2"/>
      <c r="N430" s="18"/>
      <c r="O430" s="18"/>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row>
    <row r="431">
      <c r="A431" s="18"/>
      <c r="B431" s="2"/>
      <c r="C431" s="18"/>
      <c r="D431" s="18"/>
      <c r="E431" s="18"/>
      <c r="F431" s="2"/>
      <c r="G431" s="2"/>
      <c r="H431" s="2"/>
      <c r="I431" s="2"/>
      <c r="J431" s="2"/>
      <c r="K431" s="2"/>
      <c r="L431" s="18"/>
      <c r="M431" s="2"/>
      <c r="N431" s="18"/>
      <c r="O431" s="18"/>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row>
    <row r="432">
      <c r="A432" s="18"/>
      <c r="B432" s="2"/>
      <c r="C432" s="18"/>
      <c r="D432" s="18"/>
      <c r="E432" s="18"/>
      <c r="F432" s="2"/>
      <c r="G432" s="2"/>
      <c r="H432" s="2"/>
      <c r="I432" s="2"/>
      <c r="J432" s="2"/>
      <c r="K432" s="2"/>
      <c r="L432" s="18"/>
      <c r="M432" s="2"/>
      <c r="N432" s="18"/>
      <c r="O432" s="18"/>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row>
    <row r="433">
      <c r="A433" s="18"/>
      <c r="B433" s="2"/>
      <c r="C433" s="18"/>
      <c r="D433" s="18"/>
      <c r="E433" s="18"/>
      <c r="F433" s="2"/>
      <c r="G433" s="2"/>
      <c r="H433" s="2"/>
      <c r="I433" s="2"/>
      <c r="J433" s="2"/>
      <c r="K433" s="2"/>
      <c r="L433" s="18"/>
      <c r="M433" s="2"/>
      <c r="N433" s="18"/>
      <c r="O433" s="18"/>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row>
    <row r="434">
      <c r="A434" s="18"/>
      <c r="B434" s="2"/>
      <c r="C434" s="18"/>
      <c r="D434" s="18"/>
      <c r="E434" s="18"/>
      <c r="F434" s="2"/>
      <c r="G434" s="2"/>
      <c r="H434" s="2"/>
      <c r="I434" s="2"/>
      <c r="J434" s="2"/>
      <c r="K434" s="2"/>
      <c r="L434" s="18"/>
      <c r="M434" s="2"/>
      <c r="N434" s="18"/>
      <c r="O434" s="18"/>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row>
    <row r="435">
      <c r="A435" s="18"/>
      <c r="B435" s="2"/>
      <c r="C435" s="18"/>
      <c r="D435" s="18"/>
      <c r="E435" s="18"/>
      <c r="F435" s="2"/>
      <c r="G435" s="2"/>
      <c r="H435" s="2"/>
      <c r="I435" s="2"/>
      <c r="J435" s="2"/>
      <c r="K435" s="2"/>
      <c r="L435" s="18"/>
      <c r="M435" s="2"/>
      <c r="N435" s="18"/>
      <c r="O435" s="18"/>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row>
    <row r="436">
      <c r="A436" s="18"/>
      <c r="B436" s="2"/>
      <c r="C436" s="18"/>
      <c r="D436" s="18"/>
      <c r="E436" s="18"/>
      <c r="F436" s="2"/>
      <c r="G436" s="2"/>
      <c r="H436" s="2"/>
      <c r="I436" s="2"/>
      <c r="J436" s="2"/>
      <c r="K436" s="2"/>
      <c r="L436" s="18"/>
      <c r="M436" s="2"/>
      <c r="N436" s="18"/>
      <c r="O436" s="18"/>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row>
    <row r="437">
      <c r="A437" s="18"/>
      <c r="B437" s="2"/>
      <c r="C437" s="18"/>
      <c r="D437" s="18"/>
      <c r="E437" s="18"/>
      <c r="F437" s="2"/>
      <c r="G437" s="2"/>
      <c r="H437" s="2"/>
      <c r="I437" s="2"/>
      <c r="J437" s="2"/>
      <c r="K437" s="2"/>
      <c r="L437" s="18"/>
      <c r="M437" s="2"/>
      <c r="N437" s="18"/>
      <c r="O437" s="18"/>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row>
    <row r="438">
      <c r="A438" s="18"/>
      <c r="B438" s="2"/>
      <c r="C438" s="18"/>
      <c r="D438" s="18"/>
      <c r="E438" s="18"/>
      <c r="F438" s="2"/>
      <c r="G438" s="2"/>
      <c r="H438" s="2"/>
      <c r="I438" s="2"/>
      <c r="J438" s="2"/>
      <c r="K438" s="2"/>
      <c r="L438" s="18"/>
      <c r="M438" s="2"/>
      <c r="N438" s="18"/>
      <c r="O438" s="18"/>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row>
    <row r="439">
      <c r="A439" s="18"/>
      <c r="B439" s="2"/>
      <c r="C439" s="18"/>
      <c r="D439" s="18"/>
      <c r="E439" s="18"/>
      <c r="F439" s="2"/>
      <c r="G439" s="2"/>
      <c r="H439" s="2"/>
      <c r="I439" s="2"/>
      <c r="J439" s="2"/>
      <c r="K439" s="2"/>
      <c r="L439" s="18"/>
      <c r="M439" s="2"/>
      <c r="N439" s="18"/>
      <c r="O439" s="18"/>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row>
    <row r="440">
      <c r="A440" s="18"/>
      <c r="B440" s="2"/>
      <c r="C440" s="18"/>
      <c r="D440" s="18"/>
      <c r="E440" s="18"/>
      <c r="F440" s="2"/>
      <c r="G440" s="2"/>
      <c r="H440" s="2"/>
      <c r="I440" s="2"/>
      <c r="J440" s="2"/>
      <c r="K440" s="2"/>
      <c r="L440" s="18"/>
      <c r="M440" s="2"/>
      <c r="N440" s="18"/>
      <c r="O440" s="18"/>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row>
    <row r="441">
      <c r="A441" s="18"/>
      <c r="B441" s="2"/>
      <c r="C441" s="18"/>
      <c r="D441" s="18"/>
      <c r="E441" s="18"/>
      <c r="F441" s="2"/>
      <c r="G441" s="2"/>
      <c r="H441" s="2"/>
      <c r="I441" s="2"/>
      <c r="J441" s="2"/>
      <c r="K441" s="2"/>
      <c r="L441" s="18"/>
      <c r="M441" s="2"/>
      <c r="N441" s="18"/>
      <c r="O441" s="18"/>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row>
    <row r="442">
      <c r="A442" s="18"/>
      <c r="B442" s="2"/>
      <c r="C442" s="18"/>
      <c r="D442" s="18"/>
      <c r="E442" s="18"/>
      <c r="F442" s="2"/>
      <c r="G442" s="2"/>
      <c r="H442" s="2"/>
      <c r="I442" s="2"/>
      <c r="J442" s="2"/>
      <c r="K442" s="2"/>
      <c r="L442" s="18"/>
      <c r="M442" s="2"/>
      <c r="N442" s="18"/>
      <c r="O442" s="18"/>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row>
    <row r="443">
      <c r="A443" s="18"/>
      <c r="B443" s="2"/>
      <c r="C443" s="18"/>
      <c r="D443" s="18"/>
      <c r="E443" s="18"/>
      <c r="F443" s="2"/>
      <c r="G443" s="2"/>
      <c r="H443" s="2"/>
      <c r="I443" s="2"/>
      <c r="J443" s="2"/>
      <c r="K443" s="2"/>
      <c r="L443" s="18"/>
      <c r="M443" s="2"/>
      <c r="N443" s="18"/>
      <c r="O443" s="18"/>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row>
    <row r="444">
      <c r="A444" s="18"/>
      <c r="B444" s="2"/>
      <c r="C444" s="18"/>
      <c r="D444" s="18"/>
      <c r="E444" s="18"/>
      <c r="F444" s="2"/>
      <c r="G444" s="2"/>
      <c r="H444" s="2"/>
      <c r="I444" s="2"/>
      <c r="J444" s="2"/>
      <c r="K444" s="2"/>
      <c r="L444" s="18"/>
      <c r="M444" s="2"/>
      <c r="N444" s="18"/>
      <c r="O444" s="18"/>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row>
    <row r="445">
      <c r="A445" s="18"/>
      <c r="B445" s="2"/>
      <c r="C445" s="18"/>
      <c r="D445" s="18"/>
      <c r="E445" s="18"/>
      <c r="F445" s="2"/>
      <c r="G445" s="2"/>
      <c r="H445" s="2"/>
      <c r="I445" s="2"/>
      <c r="J445" s="2"/>
      <c r="K445" s="2"/>
      <c r="L445" s="18"/>
      <c r="M445" s="2"/>
      <c r="N445" s="18"/>
      <c r="O445" s="18"/>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row>
    <row r="446">
      <c r="A446" s="18"/>
      <c r="B446" s="2"/>
      <c r="C446" s="18"/>
      <c r="D446" s="18"/>
      <c r="E446" s="18"/>
      <c r="F446" s="2"/>
      <c r="G446" s="2"/>
      <c r="H446" s="2"/>
      <c r="I446" s="2"/>
      <c r="J446" s="2"/>
      <c r="K446" s="2"/>
      <c r="L446" s="18"/>
      <c r="M446" s="2"/>
      <c r="N446" s="18"/>
      <c r="O446" s="18"/>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row>
    <row r="447">
      <c r="A447" s="18"/>
      <c r="B447" s="2"/>
      <c r="C447" s="18"/>
      <c r="D447" s="18"/>
      <c r="E447" s="18"/>
      <c r="F447" s="2"/>
      <c r="G447" s="2"/>
      <c r="H447" s="2"/>
      <c r="I447" s="2"/>
      <c r="J447" s="2"/>
      <c r="K447" s="2"/>
      <c r="L447" s="18"/>
      <c r="M447" s="2"/>
      <c r="N447" s="18"/>
      <c r="O447" s="18"/>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row>
    <row r="448">
      <c r="A448" s="18"/>
      <c r="B448" s="2"/>
      <c r="C448" s="18"/>
      <c r="D448" s="18"/>
      <c r="E448" s="18"/>
      <c r="F448" s="2"/>
      <c r="G448" s="2"/>
      <c r="H448" s="2"/>
      <c r="I448" s="2"/>
      <c r="J448" s="2"/>
      <c r="K448" s="2"/>
      <c r="L448" s="18"/>
      <c r="M448" s="2"/>
      <c r="N448" s="18"/>
      <c r="O448" s="18"/>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row>
    <row r="449">
      <c r="A449" s="18"/>
      <c r="B449" s="2"/>
      <c r="C449" s="18"/>
      <c r="D449" s="18"/>
      <c r="E449" s="18"/>
      <c r="F449" s="2"/>
      <c r="G449" s="2"/>
      <c r="H449" s="2"/>
      <c r="I449" s="2"/>
      <c r="J449" s="2"/>
      <c r="K449" s="2"/>
      <c r="L449" s="18"/>
      <c r="M449" s="2"/>
      <c r="N449" s="18"/>
      <c r="O449" s="18"/>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row>
    <row r="450">
      <c r="A450" s="18"/>
      <c r="B450" s="2"/>
      <c r="C450" s="18"/>
      <c r="D450" s="18"/>
      <c r="E450" s="18"/>
      <c r="F450" s="2"/>
      <c r="G450" s="2"/>
      <c r="H450" s="2"/>
      <c r="I450" s="2"/>
      <c r="J450" s="2"/>
      <c r="K450" s="2"/>
      <c r="L450" s="18"/>
      <c r="M450" s="2"/>
      <c r="N450" s="18"/>
      <c r="O450" s="18"/>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row>
    <row r="451">
      <c r="A451" s="18"/>
      <c r="B451" s="2"/>
      <c r="C451" s="18"/>
      <c r="D451" s="18"/>
      <c r="E451" s="18"/>
      <c r="F451" s="2"/>
      <c r="G451" s="2"/>
      <c r="H451" s="2"/>
      <c r="I451" s="2"/>
      <c r="J451" s="2"/>
      <c r="K451" s="2"/>
      <c r="L451" s="18"/>
      <c r="M451" s="2"/>
      <c r="N451" s="18"/>
      <c r="O451" s="18"/>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row>
    <row r="452">
      <c r="A452" s="18"/>
      <c r="B452" s="2"/>
      <c r="C452" s="18"/>
      <c r="D452" s="18"/>
      <c r="E452" s="18"/>
      <c r="F452" s="2"/>
      <c r="G452" s="2"/>
      <c r="H452" s="2"/>
      <c r="I452" s="2"/>
      <c r="J452" s="2"/>
      <c r="K452" s="2"/>
      <c r="L452" s="18"/>
      <c r="M452" s="2"/>
      <c r="N452" s="18"/>
      <c r="O452" s="18"/>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row>
    <row r="453">
      <c r="A453" s="18"/>
      <c r="B453" s="2"/>
      <c r="C453" s="18"/>
      <c r="D453" s="18"/>
      <c r="E453" s="18"/>
      <c r="F453" s="2"/>
      <c r="G453" s="2"/>
      <c r="H453" s="2"/>
      <c r="I453" s="2"/>
      <c r="J453" s="2"/>
      <c r="K453" s="2"/>
      <c r="L453" s="18"/>
      <c r="M453" s="2"/>
      <c r="N453" s="18"/>
      <c r="O453" s="18"/>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row>
    <row r="454">
      <c r="A454" s="18"/>
      <c r="B454" s="2"/>
      <c r="C454" s="18"/>
      <c r="D454" s="18"/>
      <c r="E454" s="18"/>
      <c r="F454" s="2"/>
      <c r="G454" s="2"/>
      <c r="H454" s="2"/>
      <c r="I454" s="2"/>
      <c r="J454" s="2"/>
      <c r="K454" s="2"/>
      <c r="L454" s="18"/>
      <c r="M454" s="2"/>
      <c r="N454" s="18"/>
      <c r="O454" s="18"/>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row>
    <row r="455">
      <c r="A455" s="18"/>
      <c r="B455" s="2"/>
      <c r="C455" s="18"/>
      <c r="D455" s="18"/>
      <c r="E455" s="18"/>
      <c r="F455" s="2"/>
      <c r="G455" s="2"/>
      <c r="H455" s="2"/>
      <c r="I455" s="2"/>
      <c r="J455" s="2"/>
      <c r="K455" s="2"/>
      <c r="L455" s="18"/>
      <c r="M455" s="2"/>
      <c r="N455" s="18"/>
      <c r="O455" s="18"/>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row>
    <row r="456">
      <c r="A456" s="18"/>
      <c r="B456" s="2"/>
      <c r="C456" s="18"/>
      <c r="D456" s="18"/>
      <c r="E456" s="18"/>
      <c r="F456" s="2"/>
      <c r="G456" s="2"/>
      <c r="H456" s="2"/>
      <c r="I456" s="2"/>
      <c r="J456" s="2"/>
      <c r="K456" s="2"/>
      <c r="L456" s="18"/>
      <c r="M456" s="2"/>
      <c r="N456" s="18"/>
      <c r="O456" s="18"/>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row>
    <row r="457">
      <c r="A457" s="18"/>
      <c r="B457" s="2"/>
      <c r="C457" s="18"/>
      <c r="D457" s="18"/>
      <c r="E457" s="18"/>
      <c r="F457" s="2"/>
      <c r="G457" s="2"/>
      <c r="H457" s="2"/>
      <c r="I457" s="2"/>
      <c r="J457" s="2"/>
      <c r="K457" s="2"/>
      <c r="L457" s="18"/>
      <c r="M457" s="2"/>
      <c r="N457" s="18"/>
      <c r="O457" s="18"/>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row>
    <row r="458">
      <c r="A458" s="18"/>
      <c r="B458" s="2"/>
      <c r="C458" s="18"/>
      <c r="D458" s="18"/>
      <c r="E458" s="18"/>
      <c r="F458" s="2"/>
      <c r="G458" s="2"/>
      <c r="H458" s="2"/>
      <c r="I458" s="2"/>
      <c r="J458" s="2"/>
      <c r="K458" s="2"/>
      <c r="L458" s="18"/>
      <c r="M458" s="2"/>
      <c r="N458" s="18"/>
      <c r="O458" s="18"/>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row>
    <row r="459">
      <c r="A459" s="18"/>
      <c r="B459" s="2"/>
      <c r="C459" s="18"/>
      <c r="D459" s="18"/>
      <c r="E459" s="18"/>
      <c r="F459" s="2"/>
      <c r="G459" s="2"/>
      <c r="H459" s="2"/>
      <c r="I459" s="2"/>
      <c r="J459" s="2"/>
      <c r="K459" s="2"/>
      <c r="L459" s="18"/>
      <c r="M459" s="2"/>
      <c r="N459" s="18"/>
      <c r="O459" s="18"/>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row>
    <row r="460">
      <c r="A460" s="18"/>
      <c r="B460" s="2"/>
      <c r="C460" s="18"/>
      <c r="D460" s="18"/>
      <c r="E460" s="18"/>
      <c r="F460" s="2"/>
      <c r="G460" s="2"/>
      <c r="H460" s="2"/>
      <c r="I460" s="2"/>
      <c r="J460" s="2"/>
      <c r="K460" s="2"/>
      <c r="L460" s="18"/>
      <c r="M460" s="2"/>
      <c r="N460" s="18"/>
      <c r="O460" s="18"/>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row>
    <row r="461">
      <c r="A461" s="18"/>
      <c r="B461" s="2"/>
      <c r="C461" s="18"/>
      <c r="D461" s="18"/>
      <c r="E461" s="18"/>
      <c r="F461" s="2"/>
      <c r="G461" s="2"/>
      <c r="H461" s="2"/>
      <c r="I461" s="2"/>
      <c r="J461" s="2"/>
      <c r="K461" s="2"/>
      <c r="L461" s="18"/>
      <c r="M461" s="2"/>
      <c r="N461" s="18"/>
      <c r="O461" s="18"/>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row>
    <row r="462">
      <c r="A462" s="18"/>
      <c r="B462" s="2"/>
      <c r="C462" s="18"/>
      <c r="D462" s="18"/>
      <c r="E462" s="18"/>
      <c r="F462" s="2"/>
      <c r="G462" s="2"/>
      <c r="H462" s="2"/>
      <c r="I462" s="2"/>
      <c r="J462" s="2"/>
      <c r="K462" s="2"/>
      <c r="L462" s="18"/>
      <c r="M462" s="2"/>
      <c r="N462" s="18"/>
      <c r="O462" s="18"/>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row>
    <row r="463">
      <c r="A463" s="18"/>
      <c r="B463" s="2"/>
      <c r="C463" s="18"/>
      <c r="D463" s="18"/>
      <c r="E463" s="18"/>
      <c r="F463" s="2"/>
      <c r="G463" s="2"/>
      <c r="H463" s="2"/>
      <c r="I463" s="2"/>
      <c r="J463" s="2"/>
      <c r="K463" s="2"/>
      <c r="L463" s="18"/>
      <c r="M463" s="2"/>
      <c r="N463" s="18"/>
      <c r="O463" s="18"/>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row>
    <row r="464">
      <c r="A464" s="18"/>
      <c r="B464" s="2"/>
      <c r="C464" s="18"/>
      <c r="D464" s="18"/>
      <c r="E464" s="18"/>
      <c r="F464" s="2"/>
      <c r="G464" s="2"/>
      <c r="H464" s="2"/>
      <c r="I464" s="2"/>
      <c r="J464" s="2"/>
      <c r="K464" s="2"/>
      <c r="L464" s="18"/>
      <c r="M464" s="2"/>
      <c r="N464" s="18"/>
      <c r="O464" s="18"/>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row>
    <row r="465">
      <c r="A465" s="18"/>
      <c r="B465" s="2"/>
      <c r="C465" s="18"/>
      <c r="D465" s="18"/>
      <c r="E465" s="18"/>
      <c r="F465" s="2"/>
      <c r="G465" s="2"/>
      <c r="H465" s="2"/>
      <c r="I465" s="2"/>
      <c r="J465" s="2"/>
      <c r="K465" s="2"/>
      <c r="L465" s="18"/>
      <c r="M465" s="2"/>
      <c r="N465" s="18"/>
      <c r="O465" s="18"/>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row>
    <row r="466">
      <c r="A466" s="18"/>
      <c r="B466" s="2"/>
      <c r="C466" s="18"/>
      <c r="D466" s="18"/>
      <c r="E466" s="18"/>
      <c r="F466" s="2"/>
      <c r="G466" s="2"/>
      <c r="H466" s="2"/>
      <c r="I466" s="2"/>
      <c r="J466" s="2"/>
      <c r="K466" s="2"/>
      <c r="L466" s="18"/>
      <c r="M466" s="2"/>
      <c r="N466" s="18"/>
      <c r="O466" s="18"/>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row>
    <row r="467">
      <c r="A467" s="18"/>
      <c r="B467" s="2"/>
      <c r="C467" s="18"/>
      <c r="D467" s="18"/>
      <c r="E467" s="18"/>
      <c r="F467" s="2"/>
      <c r="G467" s="2"/>
      <c r="H467" s="2"/>
      <c r="I467" s="2"/>
      <c r="J467" s="2"/>
      <c r="K467" s="2"/>
      <c r="L467" s="18"/>
      <c r="M467" s="2"/>
      <c r="N467" s="18"/>
      <c r="O467" s="18"/>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row>
    <row r="468">
      <c r="A468" s="18"/>
      <c r="B468" s="2"/>
      <c r="C468" s="18"/>
      <c r="D468" s="18"/>
      <c r="E468" s="18"/>
      <c r="F468" s="2"/>
      <c r="G468" s="2"/>
      <c r="H468" s="2"/>
      <c r="I468" s="2"/>
      <c r="J468" s="2"/>
      <c r="K468" s="2"/>
      <c r="L468" s="18"/>
      <c r="M468" s="2"/>
      <c r="N468" s="18"/>
      <c r="O468" s="18"/>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row>
    <row r="469">
      <c r="A469" s="18"/>
      <c r="B469" s="2"/>
      <c r="C469" s="18"/>
      <c r="D469" s="18"/>
      <c r="E469" s="18"/>
      <c r="F469" s="2"/>
      <c r="G469" s="2"/>
      <c r="H469" s="2"/>
      <c r="I469" s="2"/>
      <c r="J469" s="2"/>
      <c r="K469" s="2"/>
      <c r="L469" s="18"/>
      <c r="M469" s="2"/>
      <c r="N469" s="18"/>
      <c r="O469" s="18"/>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row>
    <row r="470">
      <c r="A470" s="18"/>
      <c r="B470" s="2"/>
      <c r="C470" s="18"/>
      <c r="D470" s="18"/>
      <c r="E470" s="18"/>
      <c r="F470" s="2"/>
      <c r="G470" s="2"/>
      <c r="H470" s="2"/>
      <c r="I470" s="2"/>
      <c r="J470" s="2"/>
      <c r="K470" s="2"/>
      <c r="L470" s="18"/>
      <c r="M470" s="2"/>
      <c r="N470" s="18"/>
      <c r="O470" s="18"/>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row>
    <row r="471">
      <c r="A471" s="18"/>
      <c r="B471" s="2"/>
      <c r="C471" s="18"/>
      <c r="D471" s="18"/>
      <c r="E471" s="18"/>
      <c r="F471" s="2"/>
      <c r="G471" s="2"/>
      <c r="H471" s="2"/>
      <c r="I471" s="2"/>
      <c r="J471" s="2"/>
      <c r="K471" s="2"/>
      <c r="L471" s="18"/>
      <c r="M471" s="2"/>
      <c r="N471" s="18"/>
      <c r="O471" s="18"/>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row>
    <row r="472">
      <c r="A472" s="18"/>
      <c r="B472" s="2"/>
      <c r="C472" s="18"/>
      <c r="D472" s="18"/>
      <c r="E472" s="18"/>
      <c r="F472" s="2"/>
      <c r="G472" s="2"/>
      <c r="H472" s="2"/>
      <c r="I472" s="2"/>
      <c r="J472" s="2"/>
      <c r="K472" s="2"/>
      <c r="L472" s="18"/>
      <c r="M472" s="2"/>
      <c r="N472" s="18"/>
      <c r="O472" s="18"/>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row>
    <row r="473">
      <c r="A473" s="18"/>
      <c r="B473" s="2"/>
      <c r="C473" s="18"/>
      <c r="D473" s="18"/>
      <c r="E473" s="18"/>
      <c r="F473" s="2"/>
      <c r="G473" s="2"/>
      <c r="H473" s="2"/>
      <c r="I473" s="2"/>
      <c r="J473" s="2"/>
      <c r="K473" s="2"/>
      <c r="L473" s="18"/>
      <c r="M473" s="2"/>
      <c r="N473" s="18"/>
      <c r="O473" s="18"/>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row>
    <row r="474">
      <c r="A474" s="18"/>
      <c r="B474" s="2"/>
      <c r="C474" s="18"/>
      <c r="D474" s="18"/>
      <c r="E474" s="18"/>
      <c r="F474" s="2"/>
      <c r="G474" s="2"/>
      <c r="H474" s="2"/>
      <c r="I474" s="2"/>
      <c r="J474" s="2"/>
      <c r="K474" s="2"/>
      <c r="L474" s="18"/>
      <c r="M474" s="2"/>
      <c r="N474" s="18"/>
      <c r="O474" s="18"/>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row>
    <row r="475">
      <c r="A475" s="18"/>
      <c r="B475" s="2"/>
      <c r="C475" s="18"/>
      <c r="D475" s="18"/>
      <c r="E475" s="18"/>
      <c r="F475" s="2"/>
      <c r="G475" s="2"/>
      <c r="H475" s="2"/>
      <c r="I475" s="2"/>
      <c r="J475" s="2"/>
      <c r="K475" s="2"/>
      <c r="L475" s="18"/>
      <c r="M475" s="2"/>
      <c r="N475" s="18"/>
      <c r="O475" s="18"/>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row>
    <row r="476">
      <c r="A476" s="18"/>
      <c r="B476" s="2"/>
      <c r="C476" s="18"/>
      <c r="D476" s="18"/>
      <c r="E476" s="18"/>
      <c r="F476" s="2"/>
      <c r="G476" s="2"/>
      <c r="H476" s="2"/>
      <c r="I476" s="2"/>
      <c r="J476" s="2"/>
      <c r="K476" s="2"/>
      <c r="L476" s="18"/>
      <c r="M476" s="2"/>
      <c r="N476" s="18"/>
      <c r="O476" s="18"/>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row>
    <row r="477">
      <c r="A477" s="18"/>
      <c r="B477" s="2"/>
      <c r="C477" s="18"/>
      <c r="D477" s="18"/>
      <c r="E477" s="18"/>
      <c r="F477" s="2"/>
      <c r="G477" s="2"/>
      <c r="H477" s="2"/>
      <c r="I477" s="2"/>
      <c r="J477" s="2"/>
      <c r="K477" s="2"/>
      <c r="L477" s="18"/>
      <c r="M477" s="2"/>
      <c r="N477" s="18"/>
      <c r="O477" s="18"/>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row>
    <row r="478">
      <c r="A478" s="18"/>
      <c r="B478" s="2"/>
      <c r="C478" s="18"/>
      <c r="D478" s="18"/>
      <c r="E478" s="18"/>
      <c r="F478" s="2"/>
      <c r="G478" s="2"/>
      <c r="H478" s="2"/>
      <c r="I478" s="2"/>
      <c r="J478" s="2"/>
      <c r="K478" s="2"/>
      <c r="L478" s="18"/>
      <c r="M478" s="2"/>
      <c r="N478" s="18"/>
      <c r="O478" s="18"/>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row>
    <row r="479">
      <c r="A479" s="18"/>
      <c r="B479" s="2"/>
      <c r="C479" s="18"/>
      <c r="D479" s="18"/>
      <c r="E479" s="18"/>
      <c r="F479" s="2"/>
      <c r="G479" s="2"/>
      <c r="H479" s="2"/>
      <c r="I479" s="2"/>
      <c r="J479" s="2"/>
      <c r="K479" s="2"/>
      <c r="L479" s="18"/>
      <c r="M479" s="2"/>
      <c r="N479" s="18"/>
      <c r="O479" s="18"/>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row>
    <row r="480">
      <c r="A480" s="18"/>
      <c r="B480" s="2"/>
      <c r="C480" s="18"/>
      <c r="D480" s="18"/>
      <c r="E480" s="18"/>
      <c r="F480" s="2"/>
      <c r="G480" s="2"/>
      <c r="H480" s="2"/>
      <c r="I480" s="2"/>
      <c r="J480" s="2"/>
      <c r="K480" s="2"/>
      <c r="L480" s="18"/>
      <c r="M480" s="2"/>
      <c r="N480" s="18"/>
      <c r="O480" s="18"/>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row>
    <row r="481">
      <c r="A481" s="18"/>
      <c r="B481" s="2"/>
      <c r="C481" s="18"/>
      <c r="D481" s="18"/>
      <c r="E481" s="18"/>
      <c r="F481" s="2"/>
      <c r="G481" s="2"/>
      <c r="H481" s="2"/>
      <c r="I481" s="2"/>
      <c r="J481" s="2"/>
      <c r="K481" s="2"/>
      <c r="L481" s="18"/>
      <c r="M481" s="2"/>
      <c r="N481" s="18"/>
      <c r="O481" s="18"/>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row>
    <row r="482">
      <c r="A482" s="18"/>
      <c r="B482" s="2"/>
      <c r="C482" s="18"/>
      <c r="D482" s="18"/>
      <c r="E482" s="18"/>
      <c r="F482" s="2"/>
      <c r="G482" s="2"/>
      <c r="H482" s="2"/>
      <c r="I482" s="2"/>
      <c r="J482" s="2"/>
      <c r="K482" s="2"/>
      <c r="L482" s="18"/>
      <c r="M482" s="2"/>
      <c r="N482" s="18"/>
      <c r="O482" s="18"/>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row>
    <row r="483">
      <c r="A483" s="18"/>
      <c r="B483" s="2"/>
      <c r="C483" s="18"/>
      <c r="D483" s="18"/>
      <c r="E483" s="18"/>
      <c r="F483" s="2"/>
      <c r="G483" s="2"/>
      <c r="H483" s="2"/>
      <c r="I483" s="2"/>
      <c r="J483" s="2"/>
      <c r="K483" s="2"/>
      <c r="L483" s="18"/>
      <c r="M483" s="2"/>
      <c r="N483" s="18"/>
      <c r="O483" s="18"/>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row>
    <row r="484">
      <c r="A484" s="18"/>
      <c r="B484" s="2"/>
      <c r="C484" s="18"/>
      <c r="D484" s="18"/>
      <c r="E484" s="18"/>
      <c r="F484" s="2"/>
      <c r="G484" s="2"/>
      <c r="H484" s="2"/>
      <c r="I484" s="2"/>
      <c r="J484" s="2"/>
      <c r="K484" s="2"/>
      <c r="L484" s="18"/>
      <c r="M484" s="2"/>
      <c r="N484" s="18"/>
      <c r="O484" s="18"/>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row>
    <row r="485">
      <c r="A485" s="18"/>
      <c r="B485" s="2"/>
      <c r="C485" s="18"/>
      <c r="D485" s="18"/>
      <c r="E485" s="18"/>
      <c r="F485" s="2"/>
      <c r="G485" s="2"/>
      <c r="H485" s="2"/>
      <c r="I485" s="2"/>
      <c r="J485" s="2"/>
      <c r="K485" s="2"/>
      <c r="L485" s="18"/>
      <c r="M485" s="2"/>
      <c r="N485" s="18"/>
      <c r="O485" s="18"/>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row>
    <row r="486">
      <c r="A486" s="18"/>
      <c r="B486" s="2"/>
      <c r="C486" s="18"/>
      <c r="D486" s="18"/>
      <c r="E486" s="18"/>
      <c r="F486" s="2"/>
      <c r="G486" s="2"/>
      <c r="H486" s="2"/>
      <c r="I486" s="2"/>
      <c r="J486" s="2"/>
      <c r="K486" s="2"/>
      <c r="L486" s="18"/>
      <c r="M486" s="2"/>
      <c r="N486" s="18"/>
      <c r="O486" s="18"/>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row>
    <row r="487">
      <c r="A487" s="18"/>
      <c r="B487" s="2"/>
      <c r="C487" s="18"/>
      <c r="D487" s="18"/>
      <c r="E487" s="18"/>
      <c r="F487" s="2"/>
      <c r="G487" s="2"/>
      <c r="H487" s="2"/>
      <c r="I487" s="2"/>
      <c r="J487" s="2"/>
      <c r="K487" s="2"/>
      <c r="L487" s="18"/>
      <c r="M487" s="2"/>
      <c r="N487" s="18"/>
      <c r="O487" s="18"/>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row>
    <row r="488">
      <c r="A488" s="18"/>
      <c r="B488" s="2"/>
      <c r="C488" s="18"/>
      <c r="D488" s="18"/>
      <c r="E488" s="18"/>
      <c r="F488" s="2"/>
      <c r="G488" s="2"/>
      <c r="H488" s="2"/>
      <c r="I488" s="2"/>
      <c r="J488" s="2"/>
      <c r="K488" s="2"/>
      <c r="L488" s="18"/>
      <c r="M488" s="2"/>
      <c r="N488" s="18"/>
      <c r="O488" s="18"/>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row>
    <row r="489">
      <c r="A489" s="18"/>
      <c r="B489" s="2"/>
      <c r="C489" s="18"/>
      <c r="D489" s="18"/>
      <c r="E489" s="18"/>
      <c r="F489" s="2"/>
      <c r="G489" s="2"/>
      <c r="H489" s="2"/>
      <c r="I489" s="2"/>
      <c r="J489" s="2"/>
      <c r="K489" s="2"/>
      <c r="L489" s="18"/>
      <c r="M489" s="2"/>
      <c r="N489" s="18"/>
      <c r="O489" s="18"/>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row>
    <row r="490">
      <c r="A490" s="18"/>
      <c r="B490" s="2"/>
      <c r="C490" s="18"/>
      <c r="D490" s="18"/>
      <c r="E490" s="18"/>
      <c r="F490" s="2"/>
      <c r="G490" s="2"/>
      <c r="H490" s="2"/>
      <c r="I490" s="2"/>
      <c r="J490" s="2"/>
      <c r="K490" s="2"/>
      <c r="L490" s="18"/>
      <c r="M490" s="2"/>
      <c r="N490" s="18"/>
      <c r="O490" s="18"/>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row>
    <row r="491">
      <c r="A491" s="18"/>
      <c r="B491" s="2"/>
      <c r="C491" s="18"/>
      <c r="D491" s="18"/>
      <c r="E491" s="18"/>
      <c r="F491" s="2"/>
      <c r="G491" s="2"/>
      <c r="H491" s="2"/>
      <c r="I491" s="2"/>
      <c r="J491" s="2"/>
      <c r="K491" s="2"/>
      <c r="L491" s="18"/>
      <c r="M491" s="2"/>
      <c r="N491" s="18"/>
      <c r="O491" s="18"/>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row>
    <row r="492">
      <c r="A492" s="18"/>
      <c r="B492" s="2"/>
      <c r="C492" s="18"/>
      <c r="D492" s="18"/>
      <c r="E492" s="18"/>
      <c r="F492" s="2"/>
      <c r="G492" s="2"/>
      <c r="H492" s="2"/>
      <c r="I492" s="2"/>
      <c r="J492" s="2"/>
      <c r="K492" s="2"/>
      <c r="L492" s="18"/>
      <c r="M492" s="2"/>
      <c r="N492" s="18"/>
      <c r="O492" s="18"/>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row>
    <row r="493">
      <c r="A493" s="18"/>
      <c r="B493" s="2"/>
      <c r="C493" s="18"/>
      <c r="D493" s="18"/>
      <c r="E493" s="18"/>
      <c r="F493" s="2"/>
      <c r="G493" s="2"/>
      <c r="H493" s="2"/>
      <c r="I493" s="2"/>
      <c r="J493" s="2"/>
      <c r="K493" s="2"/>
      <c r="L493" s="18"/>
      <c r="M493" s="2"/>
      <c r="N493" s="18"/>
      <c r="O493" s="18"/>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row>
    <row r="494">
      <c r="A494" s="18"/>
      <c r="B494" s="2"/>
      <c r="C494" s="18"/>
      <c r="D494" s="18"/>
      <c r="E494" s="18"/>
      <c r="F494" s="2"/>
      <c r="G494" s="2"/>
      <c r="H494" s="2"/>
      <c r="I494" s="2"/>
      <c r="J494" s="2"/>
      <c r="K494" s="2"/>
      <c r="L494" s="18"/>
      <c r="M494" s="2"/>
      <c r="N494" s="18"/>
      <c r="O494" s="18"/>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row>
    <row r="495">
      <c r="A495" s="18"/>
      <c r="B495" s="2"/>
      <c r="C495" s="18"/>
      <c r="D495" s="18"/>
      <c r="E495" s="18"/>
      <c r="F495" s="2"/>
      <c r="G495" s="2"/>
      <c r="H495" s="2"/>
      <c r="I495" s="2"/>
      <c r="J495" s="2"/>
      <c r="K495" s="2"/>
      <c r="L495" s="18"/>
      <c r="M495" s="2"/>
      <c r="N495" s="18"/>
      <c r="O495" s="18"/>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row>
    <row r="496">
      <c r="A496" s="18"/>
      <c r="B496" s="2"/>
      <c r="C496" s="18"/>
      <c r="D496" s="18"/>
      <c r="E496" s="18"/>
      <c r="F496" s="2"/>
      <c r="G496" s="2"/>
      <c r="H496" s="2"/>
      <c r="I496" s="2"/>
      <c r="J496" s="2"/>
      <c r="K496" s="2"/>
      <c r="L496" s="18"/>
      <c r="M496" s="2"/>
      <c r="N496" s="18"/>
      <c r="O496" s="18"/>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row>
    <row r="497">
      <c r="A497" s="18"/>
      <c r="B497" s="2"/>
      <c r="C497" s="18"/>
      <c r="D497" s="18"/>
      <c r="E497" s="18"/>
      <c r="F497" s="2"/>
      <c r="G497" s="2"/>
      <c r="H497" s="2"/>
      <c r="I497" s="2"/>
      <c r="J497" s="2"/>
      <c r="K497" s="2"/>
      <c r="L497" s="18"/>
      <c r="M497" s="2"/>
      <c r="N497" s="18"/>
      <c r="O497" s="18"/>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row>
    <row r="498">
      <c r="A498" s="18"/>
      <c r="B498" s="2"/>
      <c r="C498" s="18"/>
      <c r="D498" s="18"/>
      <c r="E498" s="18"/>
      <c r="F498" s="2"/>
      <c r="G498" s="2"/>
      <c r="H498" s="2"/>
      <c r="I498" s="2"/>
      <c r="J498" s="2"/>
      <c r="K498" s="2"/>
      <c r="L498" s="18"/>
      <c r="M498" s="2"/>
      <c r="N498" s="18"/>
      <c r="O498" s="18"/>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row>
    <row r="499">
      <c r="A499" s="18"/>
      <c r="B499" s="2"/>
      <c r="C499" s="18"/>
      <c r="D499" s="18"/>
      <c r="E499" s="18"/>
      <c r="F499" s="2"/>
      <c r="G499" s="2"/>
      <c r="H499" s="2"/>
      <c r="I499" s="2"/>
      <c r="J499" s="2"/>
      <c r="K499" s="2"/>
      <c r="L499" s="18"/>
      <c r="M499" s="2"/>
      <c r="N499" s="18"/>
      <c r="O499" s="18"/>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row>
    <row r="500">
      <c r="A500" s="18"/>
      <c r="B500" s="2"/>
      <c r="C500" s="18"/>
      <c r="D500" s="18"/>
      <c r="E500" s="18"/>
      <c r="F500" s="2"/>
      <c r="G500" s="2"/>
      <c r="H500" s="2"/>
      <c r="I500" s="2"/>
      <c r="J500" s="2"/>
      <c r="K500" s="2"/>
      <c r="L500" s="18"/>
      <c r="M500" s="2"/>
      <c r="N500" s="18"/>
      <c r="O500" s="18"/>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row>
    <row r="501">
      <c r="A501" s="18"/>
      <c r="B501" s="2"/>
      <c r="C501" s="18"/>
      <c r="D501" s="18"/>
      <c r="E501" s="18"/>
      <c r="F501" s="2"/>
      <c r="G501" s="2"/>
      <c r="H501" s="2"/>
      <c r="I501" s="2"/>
      <c r="J501" s="2"/>
      <c r="K501" s="2"/>
      <c r="L501" s="18"/>
      <c r="M501" s="2"/>
      <c r="N501" s="18"/>
      <c r="O501" s="18"/>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row>
    <row r="502">
      <c r="A502" s="18"/>
      <c r="B502" s="2"/>
      <c r="C502" s="18"/>
      <c r="D502" s="18"/>
      <c r="E502" s="18"/>
      <c r="F502" s="2"/>
      <c r="G502" s="2"/>
      <c r="H502" s="2"/>
      <c r="I502" s="2"/>
      <c r="J502" s="2"/>
      <c r="K502" s="2"/>
      <c r="L502" s="18"/>
      <c r="M502" s="2"/>
      <c r="N502" s="18"/>
      <c r="O502" s="18"/>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row>
    <row r="503">
      <c r="A503" s="18"/>
      <c r="B503" s="2"/>
      <c r="C503" s="18"/>
      <c r="D503" s="18"/>
      <c r="E503" s="18"/>
      <c r="F503" s="2"/>
      <c r="G503" s="2"/>
      <c r="H503" s="2"/>
      <c r="I503" s="2"/>
      <c r="J503" s="2"/>
      <c r="K503" s="2"/>
      <c r="L503" s="18"/>
      <c r="M503" s="2"/>
      <c r="N503" s="18"/>
      <c r="O503" s="18"/>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row>
    <row r="504">
      <c r="A504" s="18"/>
      <c r="B504" s="2"/>
      <c r="C504" s="18"/>
      <c r="D504" s="18"/>
      <c r="E504" s="18"/>
      <c r="F504" s="2"/>
      <c r="G504" s="2"/>
      <c r="H504" s="2"/>
      <c r="I504" s="2"/>
      <c r="J504" s="2"/>
      <c r="K504" s="2"/>
      <c r="L504" s="18"/>
      <c r="M504" s="2"/>
      <c r="N504" s="18"/>
      <c r="O504" s="18"/>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row>
    <row r="505">
      <c r="A505" s="18"/>
      <c r="B505" s="2"/>
      <c r="C505" s="18"/>
      <c r="D505" s="18"/>
      <c r="E505" s="18"/>
      <c r="F505" s="2"/>
      <c r="G505" s="2"/>
      <c r="H505" s="2"/>
      <c r="I505" s="2"/>
      <c r="J505" s="2"/>
      <c r="K505" s="2"/>
      <c r="L505" s="18"/>
      <c r="M505" s="2"/>
      <c r="N505" s="18"/>
      <c r="O505" s="18"/>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row>
    <row r="506">
      <c r="A506" s="18"/>
      <c r="B506" s="2"/>
      <c r="C506" s="18"/>
      <c r="D506" s="18"/>
      <c r="E506" s="18"/>
      <c r="F506" s="2"/>
      <c r="G506" s="2"/>
      <c r="H506" s="2"/>
      <c r="I506" s="2"/>
      <c r="J506" s="2"/>
      <c r="K506" s="2"/>
      <c r="L506" s="18"/>
      <c r="M506" s="2"/>
      <c r="N506" s="18"/>
      <c r="O506" s="18"/>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row>
    <row r="507">
      <c r="A507" s="18"/>
      <c r="B507" s="2"/>
      <c r="C507" s="18"/>
      <c r="D507" s="18"/>
      <c r="E507" s="18"/>
      <c r="F507" s="2"/>
      <c r="G507" s="2"/>
      <c r="H507" s="2"/>
      <c r="I507" s="2"/>
      <c r="J507" s="2"/>
      <c r="K507" s="2"/>
      <c r="L507" s="18"/>
      <c r="M507" s="2"/>
      <c r="N507" s="18"/>
      <c r="O507" s="18"/>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row>
    <row r="508">
      <c r="A508" s="18"/>
      <c r="B508" s="2"/>
      <c r="C508" s="18"/>
      <c r="D508" s="18"/>
      <c r="E508" s="18"/>
      <c r="F508" s="2"/>
      <c r="G508" s="2"/>
      <c r="H508" s="2"/>
      <c r="I508" s="2"/>
      <c r="J508" s="2"/>
      <c r="K508" s="2"/>
      <c r="L508" s="18"/>
      <c r="M508" s="2"/>
      <c r="N508" s="18"/>
      <c r="O508" s="18"/>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row>
    <row r="509">
      <c r="A509" s="18"/>
      <c r="B509" s="2"/>
      <c r="C509" s="18"/>
      <c r="D509" s="18"/>
      <c r="E509" s="18"/>
      <c r="F509" s="2"/>
      <c r="G509" s="2"/>
      <c r="H509" s="2"/>
      <c r="I509" s="2"/>
      <c r="J509" s="2"/>
      <c r="K509" s="2"/>
      <c r="L509" s="18"/>
      <c r="M509" s="2"/>
      <c r="N509" s="18"/>
      <c r="O509" s="18"/>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row>
    <row r="510">
      <c r="A510" s="18"/>
      <c r="B510" s="2"/>
      <c r="C510" s="18"/>
      <c r="D510" s="18"/>
      <c r="E510" s="18"/>
      <c r="F510" s="2"/>
      <c r="G510" s="2"/>
      <c r="H510" s="2"/>
      <c r="I510" s="2"/>
      <c r="J510" s="2"/>
      <c r="K510" s="2"/>
      <c r="L510" s="18"/>
      <c r="M510" s="2"/>
      <c r="N510" s="18"/>
      <c r="O510" s="18"/>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row>
    <row r="511">
      <c r="A511" s="18"/>
      <c r="B511" s="2"/>
      <c r="C511" s="18"/>
      <c r="D511" s="18"/>
      <c r="E511" s="18"/>
      <c r="F511" s="2"/>
      <c r="G511" s="2"/>
      <c r="H511" s="2"/>
      <c r="I511" s="2"/>
      <c r="J511" s="2"/>
      <c r="K511" s="2"/>
      <c r="L511" s="18"/>
      <c r="M511" s="2"/>
      <c r="N511" s="18"/>
      <c r="O511" s="18"/>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row>
    <row r="512">
      <c r="A512" s="18"/>
      <c r="B512" s="2"/>
      <c r="C512" s="18"/>
      <c r="D512" s="18"/>
      <c r="E512" s="18"/>
      <c r="F512" s="2"/>
      <c r="G512" s="2"/>
      <c r="H512" s="2"/>
      <c r="I512" s="2"/>
      <c r="J512" s="2"/>
      <c r="K512" s="2"/>
      <c r="L512" s="18"/>
      <c r="M512" s="2"/>
      <c r="N512" s="18"/>
      <c r="O512" s="18"/>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row>
    <row r="513">
      <c r="A513" s="18"/>
      <c r="B513" s="2"/>
      <c r="C513" s="18"/>
      <c r="D513" s="18"/>
      <c r="E513" s="18"/>
      <c r="F513" s="2"/>
      <c r="G513" s="2"/>
      <c r="H513" s="2"/>
      <c r="I513" s="2"/>
      <c r="J513" s="2"/>
      <c r="K513" s="2"/>
      <c r="L513" s="18"/>
      <c r="M513" s="2"/>
      <c r="N513" s="18"/>
      <c r="O513" s="18"/>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row>
    <row r="514">
      <c r="A514" s="18"/>
      <c r="B514" s="2"/>
      <c r="C514" s="18"/>
      <c r="D514" s="18"/>
      <c r="E514" s="18"/>
      <c r="F514" s="2"/>
      <c r="G514" s="2"/>
      <c r="H514" s="2"/>
      <c r="I514" s="2"/>
      <c r="J514" s="2"/>
      <c r="K514" s="2"/>
      <c r="L514" s="18"/>
      <c r="M514" s="2"/>
      <c r="N514" s="18"/>
      <c r="O514" s="18"/>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row>
    <row r="515">
      <c r="A515" s="18"/>
      <c r="B515" s="2"/>
      <c r="C515" s="18"/>
      <c r="D515" s="18"/>
      <c r="E515" s="18"/>
      <c r="F515" s="2"/>
      <c r="G515" s="2"/>
      <c r="H515" s="2"/>
      <c r="I515" s="2"/>
      <c r="J515" s="2"/>
      <c r="K515" s="2"/>
      <c r="L515" s="18"/>
      <c r="M515" s="2"/>
      <c r="N515" s="18"/>
      <c r="O515" s="18"/>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row>
    <row r="516">
      <c r="A516" s="18"/>
      <c r="B516" s="2"/>
      <c r="C516" s="18"/>
      <c r="D516" s="18"/>
      <c r="E516" s="18"/>
      <c r="F516" s="2"/>
      <c r="G516" s="2"/>
      <c r="H516" s="2"/>
      <c r="I516" s="2"/>
      <c r="J516" s="2"/>
      <c r="K516" s="2"/>
      <c r="L516" s="18"/>
      <c r="M516" s="2"/>
      <c r="N516" s="18"/>
      <c r="O516" s="18"/>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row>
    <row r="517">
      <c r="A517" s="18"/>
      <c r="B517" s="2"/>
      <c r="C517" s="18"/>
      <c r="D517" s="18"/>
      <c r="E517" s="18"/>
      <c r="F517" s="2"/>
      <c r="G517" s="2"/>
      <c r="H517" s="2"/>
      <c r="I517" s="2"/>
      <c r="J517" s="2"/>
      <c r="K517" s="2"/>
      <c r="L517" s="18"/>
      <c r="M517" s="2"/>
      <c r="N517" s="18"/>
      <c r="O517" s="18"/>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row>
    <row r="518">
      <c r="A518" s="18"/>
      <c r="B518" s="2"/>
      <c r="C518" s="18"/>
      <c r="D518" s="18"/>
      <c r="E518" s="18"/>
      <c r="F518" s="2"/>
      <c r="G518" s="2"/>
      <c r="H518" s="2"/>
      <c r="I518" s="2"/>
      <c r="J518" s="2"/>
      <c r="K518" s="2"/>
      <c r="L518" s="18"/>
      <c r="M518" s="2"/>
      <c r="N518" s="18"/>
      <c r="O518" s="18"/>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row>
    <row r="519">
      <c r="A519" s="18"/>
      <c r="B519" s="2"/>
      <c r="C519" s="18"/>
      <c r="D519" s="18"/>
      <c r="E519" s="18"/>
      <c r="F519" s="2"/>
      <c r="G519" s="2"/>
      <c r="H519" s="2"/>
      <c r="I519" s="2"/>
      <c r="J519" s="2"/>
      <c r="K519" s="2"/>
      <c r="L519" s="18"/>
      <c r="M519" s="2"/>
      <c r="N519" s="18"/>
      <c r="O519" s="18"/>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row>
    <row r="520">
      <c r="A520" s="18"/>
      <c r="B520" s="2"/>
      <c r="C520" s="18"/>
      <c r="D520" s="18"/>
      <c r="E520" s="18"/>
      <c r="F520" s="2"/>
      <c r="G520" s="2"/>
      <c r="H520" s="2"/>
      <c r="I520" s="2"/>
      <c r="J520" s="2"/>
      <c r="K520" s="2"/>
      <c r="L520" s="18"/>
      <c r="M520" s="2"/>
      <c r="N520" s="18"/>
      <c r="O520" s="18"/>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row>
    <row r="521">
      <c r="A521" s="18"/>
      <c r="B521" s="2"/>
      <c r="C521" s="18"/>
      <c r="D521" s="18"/>
      <c r="E521" s="18"/>
      <c r="F521" s="2"/>
      <c r="G521" s="2"/>
      <c r="H521" s="2"/>
      <c r="I521" s="2"/>
      <c r="J521" s="2"/>
      <c r="K521" s="2"/>
      <c r="L521" s="18"/>
      <c r="M521" s="2"/>
      <c r="N521" s="18"/>
      <c r="O521" s="18"/>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row>
    <row r="522">
      <c r="A522" s="18"/>
      <c r="B522" s="2"/>
      <c r="C522" s="18"/>
      <c r="D522" s="18"/>
      <c r="E522" s="18"/>
      <c r="F522" s="2"/>
      <c r="G522" s="2"/>
      <c r="H522" s="2"/>
      <c r="I522" s="2"/>
      <c r="J522" s="2"/>
      <c r="K522" s="2"/>
      <c r="L522" s="18"/>
      <c r="M522" s="2"/>
      <c r="N522" s="18"/>
      <c r="O522" s="18"/>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row>
    <row r="523">
      <c r="A523" s="18"/>
      <c r="B523" s="2"/>
      <c r="C523" s="18"/>
      <c r="D523" s="18"/>
      <c r="E523" s="18"/>
      <c r="F523" s="2"/>
      <c r="G523" s="2"/>
      <c r="H523" s="2"/>
      <c r="I523" s="2"/>
      <c r="J523" s="2"/>
      <c r="K523" s="2"/>
      <c r="L523" s="18"/>
      <c r="M523" s="2"/>
      <c r="N523" s="18"/>
      <c r="O523" s="18"/>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row>
    <row r="524">
      <c r="A524" s="18"/>
      <c r="B524" s="2"/>
      <c r="C524" s="18"/>
      <c r="D524" s="18"/>
      <c r="E524" s="18"/>
      <c r="F524" s="2"/>
      <c r="G524" s="2"/>
      <c r="H524" s="2"/>
      <c r="I524" s="2"/>
      <c r="J524" s="2"/>
      <c r="K524" s="2"/>
      <c r="L524" s="18"/>
      <c r="M524" s="2"/>
      <c r="N524" s="18"/>
      <c r="O524" s="18"/>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row>
    <row r="525">
      <c r="A525" s="18"/>
      <c r="B525" s="2"/>
      <c r="C525" s="18"/>
      <c r="D525" s="18"/>
      <c r="E525" s="18"/>
      <c r="F525" s="2"/>
      <c r="G525" s="2"/>
      <c r="H525" s="2"/>
      <c r="I525" s="2"/>
      <c r="J525" s="2"/>
      <c r="K525" s="2"/>
      <c r="L525" s="18"/>
      <c r="M525" s="2"/>
      <c r="N525" s="18"/>
      <c r="O525" s="18"/>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row>
    <row r="526">
      <c r="A526" s="18"/>
      <c r="B526" s="2"/>
      <c r="C526" s="18"/>
      <c r="D526" s="18"/>
      <c r="E526" s="18"/>
      <c r="F526" s="2"/>
      <c r="G526" s="2"/>
      <c r="H526" s="2"/>
      <c r="I526" s="2"/>
      <c r="J526" s="2"/>
      <c r="K526" s="2"/>
      <c r="L526" s="18"/>
      <c r="M526" s="2"/>
      <c r="N526" s="18"/>
      <c r="O526" s="18"/>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row>
    <row r="527">
      <c r="A527" s="18"/>
      <c r="B527" s="2"/>
      <c r="C527" s="18"/>
      <c r="D527" s="18"/>
      <c r="E527" s="18"/>
      <c r="F527" s="2"/>
      <c r="G527" s="2"/>
      <c r="H527" s="2"/>
      <c r="I527" s="2"/>
      <c r="J527" s="2"/>
      <c r="K527" s="2"/>
      <c r="L527" s="18"/>
      <c r="M527" s="2"/>
      <c r="N527" s="18"/>
      <c r="O527" s="18"/>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row>
    <row r="528">
      <c r="A528" s="18"/>
      <c r="B528" s="2"/>
      <c r="C528" s="18"/>
      <c r="D528" s="18"/>
      <c r="E528" s="18"/>
      <c r="F528" s="2"/>
      <c r="G528" s="2"/>
      <c r="H528" s="2"/>
      <c r="I528" s="2"/>
      <c r="J528" s="2"/>
      <c r="K528" s="2"/>
      <c r="L528" s="18"/>
      <c r="M528" s="2"/>
      <c r="N528" s="18"/>
      <c r="O528" s="18"/>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row>
    <row r="529">
      <c r="A529" s="18"/>
      <c r="B529" s="2"/>
      <c r="C529" s="18"/>
      <c r="D529" s="18"/>
      <c r="E529" s="18"/>
      <c r="F529" s="2"/>
      <c r="G529" s="2"/>
      <c r="H529" s="2"/>
      <c r="I529" s="2"/>
      <c r="J529" s="2"/>
      <c r="K529" s="2"/>
      <c r="L529" s="18"/>
      <c r="M529" s="2"/>
      <c r="N529" s="18"/>
      <c r="O529" s="18"/>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row>
    <row r="530">
      <c r="A530" s="18"/>
      <c r="B530" s="2"/>
      <c r="C530" s="18"/>
      <c r="D530" s="18"/>
      <c r="E530" s="18"/>
      <c r="F530" s="2"/>
      <c r="G530" s="2"/>
      <c r="H530" s="2"/>
      <c r="I530" s="2"/>
      <c r="J530" s="2"/>
      <c r="K530" s="2"/>
      <c r="L530" s="18"/>
      <c r="M530" s="2"/>
      <c r="N530" s="18"/>
      <c r="O530" s="18"/>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row>
    <row r="531">
      <c r="A531" s="18"/>
      <c r="B531" s="2"/>
      <c r="C531" s="18"/>
      <c r="D531" s="18"/>
      <c r="E531" s="18"/>
      <c r="F531" s="2"/>
      <c r="G531" s="2"/>
      <c r="H531" s="2"/>
      <c r="I531" s="2"/>
      <c r="J531" s="2"/>
      <c r="K531" s="2"/>
      <c r="L531" s="18"/>
      <c r="M531" s="2"/>
      <c r="N531" s="18"/>
      <c r="O531" s="18"/>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row>
    <row r="532">
      <c r="A532" s="18"/>
      <c r="B532" s="2"/>
      <c r="C532" s="18"/>
      <c r="D532" s="18"/>
      <c r="E532" s="18"/>
      <c r="F532" s="2"/>
      <c r="G532" s="2"/>
      <c r="H532" s="2"/>
      <c r="I532" s="2"/>
      <c r="J532" s="2"/>
      <c r="K532" s="2"/>
      <c r="L532" s="18"/>
      <c r="M532" s="2"/>
      <c r="N532" s="18"/>
      <c r="O532" s="18"/>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row>
    <row r="533">
      <c r="A533" s="18"/>
      <c r="B533" s="2"/>
      <c r="C533" s="18"/>
      <c r="D533" s="18"/>
      <c r="E533" s="18"/>
      <c r="F533" s="2"/>
      <c r="G533" s="2"/>
      <c r="H533" s="2"/>
      <c r="I533" s="2"/>
      <c r="J533" s="2"/>
      <c r="K533" s="2"/>
      <c r="L533" s="18"/>
      <c r="M533" s="2"/>
      <c r="N533" s="18"/>
      <c r="O533" s="18"/>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row>
    <row r="534">
      <c r="A534" s="18"/>
      <c r="B534" s="2"/>
      <c r="C534" s="18"/>
      <c r="D534" s="18"/>
      <c r="E534" s="18"/>
      <c r="F534" s="2"/>
      <c r="G534" s="2"/>
      <c r="H534" s="2"/>
      <c r="I534" s="2"/>
      <c r="J534" s="2"/>
      <c r="K534" s="2"/>
      <c r="L534" s="18"/>
      <c r="M534" s="2"/>
      <c r="N534" s="18"/>
      <c r="O534" s="18"/>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row>
    <row r="535">
      <c r="A535" s="18"/>
      <c r="B535" s="2"/>
      <c r="C535" s="18"/>
      <c r="D535" s="18"/>
      <c r="E535" s="18"/>
      <c r="F535" s="2"/>
      <c r="G535" s="2"/>
      <c r="H535" s="2"/>
      <c r="I535" s="2"/>
      <c r="J535" s="2"/>
      <c r="K535" s="2"/>
      <c r="L535" s="18"/>
      <c r="M535" s="2"/>
      <c r="N535" s="18"/>
      <c r="O535" s="18"/>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row>
    <row r="536">
      <c r="A536" s="18"/>
      <c r="B536" s="2"/>
      <c r="C536" s="18"/>
      <c r="D536" s="18"/>
      <c r="E536" s="18"/>
      <c r="F536" s="2"/>
      <c r="G536" s="2"/>
      <c r="H536" s="2"/>
      <c r="I536" s="2"/>
      <c r="J536" s="2"/>
      <c r="K536" s="2"/>
      <c r="L536" s="18"/>
      <c r="M536" s="2"/>
      <c r="N536" s="18"/>
      <c r="O536" s="18"/>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row>
    <row r="537">
      <c r="A537" s="18"/>
      <c r="B537" s="2"/>
      <c r="C537" s="18"/>
      <c r="D537" s="18"/>
      <c r="E537" s="18"/>
      <c r="F537" s="2"/>
      <c r="G537" s="2"/>
      <c r="H537" s="2"/>
      <c r="I537" s="2"/>
      <c r="J537" s="2"/>
      <c r="K537" s="2"/>
      <c r="L537" s="18"/>
      <c r="M537" s="2"/>
      <c r="N537" s="18"/>
      <c r="O537" s="18"/>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row>
    <row r="538">
      <c r="A538" s="18"/>
      <c r="B538" s="2"/>
      <c r="C538" s="18"/>
      <c r="D538" s="18"/>
      <c r="E538" s="18"/>
      <c r="F538" s="2"/>
      <c r="G538" s="2"/>
      <c r="H538" s="2"/>
      <c r="I538" s="2"/>
      <c r="J538" s="2"/>
      <c r="K538" s="2"/>
      <c r="L538" s="18"/>
      <c r="M538" s="2"/>
      <c r="N538" s="18"/>
      <c r="O538" s="18"/>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row>
    <row r="539">
      <c r="A539" s="18"/>
      <c r="B539" s="2"/>
      <c r="C539" s="18"/>
      <c r="D539" s="18"/>
      <c r="E539" s="18"/>
      <c r="F539" s="2"/>
      <c r="G539" s="2"/>
      <c r="H539" s="2"/>
      <c r="I539" s="2"/>
      <c r="J539" s="2"/>
      <c r="K539" s="2"/>
      <c r="L539" s="18"/>
      <c r="M539" s="2"/>
      <c r="N539" s="18"/>
      <c r="O539" s="18"/>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row>
    <row r="540">
      <c r="A540" s="18"/>
      <c r="B540" s="2"/>
      <c r="C540" s="18"/>
      <c r="D540" s="18"/>
      <c r="E540" s="18"/>
      <c r="F540" s="2"/>
      <c r="G540" s="2"/>
      <c r="H540" s="2"/>
      <c r="I540" s="2"/>
      <c r="J540" s="2"/>
      <c r="K540" s="2"/>
      <c r="L540" s="18"/>
      <c r="M540" s="2"/>
      <c r="N540" s="18"/>
      <c r="O540" s="18"/>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row>
    <row r="541">
      <c r="A541" s="18"/>
      <c r="B541" s="2"/>
      <c r="C541" s="18"/>
      <c r="D541" s="18"/>
      <c r="E541" s="18"/>
      <c r="F541" s="2"/>
      <c r="G541" s="2"/>
      <c r="H541" s="2"/>
      <c r="I541" s="2"/>
      <c r="J541" s="2"/>
      <c r="K541" s="2"/>
      <c r="L541" s="18"/>
      <c r="M541" s="2"/>
      <c r="N541" s="18"/>
      <c r="O541" s="18"/>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row>
    <row r="542">
      <c r="A542" s="18"/>
      <c r="B542" s="2"/>
      <c r="C542" s="18"/>
      <c r="D542" s="18"/>
      <c r="E542" s="18"/>
      <c r="F542" s="2"/>
      <c r="G542" s="2"/>
      <c r="H542" s="2"/>
      <c r="I542" s="2"/>
      <c r="J542" s="2"/>
      <c r="K542" s="2"/>
      <c r="L542" s="18"/>
      <c r="M542" s="2"/>
      <c r="N542" s="18"/>
      <c r="O542" s="18"/>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row>
    <row r="543">
      <c r="A543" s="18"/>
      <c r="B543" s="2"/>
      <c r="C543" s="18"/>
      <c r="D543" s="18"/>
      <c r="E543" s="18"/>
      <c r="F543" s="2"/>
      <c r="G543" s="2"/>
      <c r="H543" s="2"/>
      <c r="I543" s="2"/>
      <c r="J543" s="2"/>
      <c r="K543" s="2"/>
      <c r="L543" s="18"/>
      <c r="M543" s="2"/>
      <c r="N543" s="18"/>
      <c r="O543" s="18"/>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row>
    <row r="544">
      <c r="A544" s="18"/>
      <c r="B544" s="2"/>
      <c r="C544" s="18"/>
      <c r="D544" s="18"/>
      <c r="E544" s="18"/>
      <c r="F544" s="2"/>
      <c r="G544" s="2"/>
      <c r="H544" s="2"/>
      <c r="I544" s="2"/>
      <c r="J544" s="2"/>
      <c r="K544" s="2"/>
      <c r="L544" s="18"/>
      <c r="M544" s="2"/>
      <c r="N544" s="18"/>
      <c r="O544" s="18"/>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row>
    <row r="545">
      <c r="A545" s="18"/>
      <c r="B545" s="2"/>
      <c r="C545" s="18"/>
      <c r="D545" s="18"/>
      <c r="E545" s="18"/>
      <c r="F545" s="2"/>
      <c r="G545" s="2"/>
      <c r="H545" s="2"/>
      <c r="I545" s="2"/>
      <c r="J545" s="2"/>
      <c r="K545" s="2"/>
      <c r="L545" s="18"/>
      <c r="M545" s="2"/>
      <c r="N545" s="18"/>
      <c r="O545" s="18"/>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row>
    <row r="546">
      <c r="A546" s="18"/>
      <c r="B546" s="2"/>
      <c r="C546" s="18"/>
      <c r="D546" s="18"/>
      <c r="E546" s="18"/>
      <c r="F546" s="2"/>
      <c r="G546" s="2"/>
      <c r="H546" s="2"/>
      <c r="I546" s="2"/>
      <c r="J546" s="2"/>
      <c r="K546" s="2"/>
      <c r="L546" s="18"/>
      <c r="M546" s="2"/>
      <c r="N546" s="18"/>
      <c r="O546" s="18"/>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row>
    <row r="547">
      <c r="A547" s="18"/>
      <c r="B547" s="2"/>
      <c r="C547" s="18"/>
      <c r="D547" s="18"/>
      <c r="E547" s="18"/>
      <c r="F547" s="2"/>
      <c r="G547" s="2"/>
      <c r="H547" s="2"/>
      <c r="I547" s="2"/>
      <c r="J547" s="2"/>
      <c r="K547" s="2"/>
      <c r="L547" s="18"/>
      <c r="M547" s="2"/>
      <c r="N547" s="18"/>
      <c r="O547" s="18"/>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row>
    <row r="548">
      <c r="A548" s="18"/>
      <c r="B548" s="2"/>
      <c r="C548" s="18"/>
      <c r="D548" s="18"/>
      <c r="E548" s="18"/>
      <c r="F548" s="2"/>
      <c r="G548" s="2"/>
      <c r="H548" s="2"/>
      <c r="I548" s="2"/>
      <c r="J548" s="2"/>
      <c r="K548" s="2"/>
      <c r="L548" s="18"/>
      <c r="M548" s="2"/>
      <c r="N548" s="18"/>
      <c r="O548" s="18"/>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row>
    <row r="549">
      <c r="A549" s="18"/>
      <c r="B549" s="2"/>
      <c r="C549" s="18"/>
      <c r="D549" s="18"/>
      <c r="E549" s="18"/>
      <c r="F549" s="2"/>
      <c r="G549" s="2"/>
      <c r="H549" s="2"/>
      <c r="I549" s="2"/>
      <c r="J549" s="2"/>
      <c r="K549" s="2"/>
      <c r="L549" s="18"/>
      <c r="M549" s="2"/>
      <c r="N549" s="18"/>
      <c r="O549" s="18"/>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row>
    <row r="550">
      <c r="A550" s="18"/>
      <c r="B550" s="2"/>
      <c r="C550" s="18"/>
      <c r="D550" s="18"/>
      <c r="E550" s="18"/>
      <c r="F550" s="2"/>
      <c r="G550" s="2"/>
      <c r="H550" s="2"/>
      <c r="I550" s="2"/>
      <c r="J550" s="2"/>
      <c r="K550" s="2"/>
      <c r="L550" s="18"/>
      <c r="M550" s="2"/>
      <c r="N550" s="18"/>
      <c r="O550" s="18"/>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row>
    <row r="551">
      <c r="A551" s="18"/>
      <c r="B551" s="2"/>
      <c r="C551" s="18"/>
      <c r="D551" s="18"/>
      <c r="E551" s="18"/>
      <c r="F551" s="2"/>
      <c r="G551" s="2"/>
      <c r="H551" s="2"/>
      <c r="I551" s="2"/>
      <c r="J551" s="2"/>
      <c r="K551" s="2"/>
      <c r="L551" s="18"/>
      <c r="M551" s="2"/>
      <c r="N551" s="18"/>
      <c r="O551" s="18"/>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row>
    <row r="552">
      <c r="A552" s="18"/>
      <c r="B552" s="2"/>
      <c r="C552" s="18"/>
      <c r="D552" s="18"/>
      <c r="E552" s="18"/>
      <c r="F552" s="2"/>
      <c r="G552" s="2"/>
      <c r="H552" s="2"/>
      <c r="I552" s="2"/>
      <c r="J552" s="2"/>
      <c r="K552" s="2"/>
      <c r="L552" s="18"/>
      <c r="M552" s="2"/>
      <c r="N552" s="18"/>
      <c r="O552" s="18"/>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row>
    <row r="553">
      <c r="A553" s="18"/>
      <c r="B553" s="2"/>
      <c r="C553" s="18"/>
      <c r="D553" s="18"/>
      <c r="E553" s="18"/>
      <c r="F553" s="2"/>
      <c r="G553" s="2"/>
      <c r="H553" s="2"/>
      <c r="I553" s="2"/>
      <c r="J553" s="2"/>
      <c r="K553" s="2"/>
      <c r="L553" s="18"/>
      <c r="M553" s="2"/>
      <c r="N553" s="18"/>
      <c r="O553" s="18"/>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row>
    <row r="554">
      <c r="A554" s="18"/>
      <c r="B554" s="2"/>
      <c r="C554" s="18"/>
      <c r="D554" s="18"/>
      <c r="E554" s="18"/>
      <c r="F554" s="2"/>
      <c r="G554" s="2"/>
      <c r="H554" s="2"/>
      <c r="I554" s="2"/>
      <c r="J554" s="2"/>
      <c r="K554" s="2"/>
      <c r="L554" s="18"/>
      <c r="M554" s="2"/>
      <c r="N554" s="18"/>
      <c r="O554" s="18"/>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row>
    <row r="555">
      <c r="A555" s="18"/>
      <c r="B555" s="2"/>
      <c r="C555" s="18"/>
      <c r="D555" s="18"/>
      <c r="E555" s="18"/>
      <c r="F555" s="2"/>
      <c r="G555" s="2"/>
      <c r="H555" s="2"/>
      <c r="I555" s="2"/>
      <c r="J555" s="2"/>
      <c r="K555" s="2"/>
      <c r="L555" s="18"/>
      <c r="M555" s="2"/>
      <c r="N555" s="18"/>
      <c r="O555" s="18"/>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row>
    <row r="556">
      <c r="A556" s="18"/>
      <c r="B556" s="2"/>
      <c r="C556" s="18"/>
      <c r="D556" s="18"/>
      <c r="E556" s="18"/>
      <c r="F556" s="2"/>
      <c r="G556" s="2"/>
      <c r="H556" s="2"/>
      <c r="I556" s="2"/>
      <c r="J556" s="2"/>
      <c r="K556" s="2"/>
      <c r="L556" s="18"/>
      <c r="M556" s="2"/>
      <c r="N556" s="18"/>
      <c r="O556" s="18"/>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row>
    <row r="557">
      <c r="A557" s="18"/>
      <c r="B557" s="2"/>
      <c r="C557" s="18"/>
      <c r="D557" s="18"/>
      <c r="E557" s="18"/>
      <c r="F557" s="2"/>
      <c r="G557" s="2"/>
      <c r="H557" s="2"/>
      <c r="I557" s="2"/>
      <c r="J557" s="2"/>
      <c r="K557" s="2"/>
      <c r="L557" s="18"/>
      <c r="M557" s="2"/>
      <c r="N557" s="18"/>
      <c r="O557" s="18"/>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row>
    <row r="558">
      <c r="A558" s="18"/>
      <c r="B558" s="2"/>
      <c r="C558" s="18"/>
      <c r="D558" s="18"/>
      <c r="E558" s="18"/>
      <c r="F558" s="2"/>
      <c r="G558" s="2"/>
      <c r="H558" s="2"/>
      <c r="I558" s="2"/>
      <c r="J558" s="2"/>
      <c r="K558" s="2"/>
      <c r="L558" s="18"/>
      <c r="M558" s="2"/>
      <c r="N558" s="18"/>
      <c r="O558" s="18"/>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row>
    <row r="559">
      <c r="A559" s="18"/>
      <c r="B559" s="2"/>
      <c r="C559" s="18"/>
      <c r="D559" s="18"/>
      <c r="E559" s="18"/>
      <c r="F559" s="2"/>
      <c r="G559" s="2"/>
      <c r="H559" s="2"/>
      <c r="I559" s="2"/>
      <c r="J559" s="2"/>
      <c r="K559" s="2"/>
      <c r="L559" s="18"/>
      <c r="M559" s="2"/>
      <c r="N559" s="18"/>
      <c r="O559" s="18"/>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row>
    <row r="560">
      <c r="A560" s="18"/>
      <c r="B560" s="2"/>
      <c r="C560" s="18"/>
      <c r="D560" s="18"/>
      <c r="E560" s="18"/>
      <c r="F560" s="2"/>
      <c r="G560" s="2"/>
      <c r="H560" s="2"/>
      <c r="I560" s="2"/>
      <c r="J560" s="2"/>
      <c r="K560" s="2"/>
      <c r="L560" s="18"/>
      <c r="M560" s="2"/>
      <c r="N560" s="18"/>
      <c r="O560" s="18"/>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row>
    <row r="561">
      <c r="A561" s="18"/>
      <c r="B561" s="2"/>
      <c r="C561" s="18"/>
      <c r="D561" s="18"/>
      <c r="E561" s="18"/>
      <c r="F561" s="2"/>
      <c r="G561" s="2"/>
      <c r="H561" s="2"/>
      <c r="I561" s="2"/>
      <c r="J561" s="2"/>
      <c r="K561" s="2"/>
      <c r="L561" s="18"/>
      <c r="M561" s="2"/>
      <c r="N561" s="18"/>
      <c r="O561" s="18"/>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row>
    <row r="562">
      <c r="A562" s="18"/>
      <c r="B562" s="2"/>
      <c r="C562" s="18"/>
      <c r="D562" s="18"/>
      <c r="E562" s="18"/>
      <c r="F562" s="2"/>
      <c r="G562" s="2"/>
      <c r="H562" s="2"/>
      <c r="I562" s="2"/>
      <c r="J562" s="2"/>
      <c r="K562" s="2"/>
      <c r="L562" s="18"/>
      <c r="M562" s="2"/>
      <c r="N562" s="18"/>
      <c r="O562" s="18"/>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row>
    <row r="563">
      <c r="A563" s="18"/>
      <c r="B563" s="2"/>
      <c r="C563" s="18"/>
      <c r="D563" s="18"/>
      <c r="E563" s="18"/>
      <c r="F563" s="2"/>
      <c r="G563" s="2"/>
      <c r="H563" s="2"/>
      <c r="I563" s="2"/>
      <c r="J563" s="2"/>
      <c r="K563" s="2"/>
      <c r="L563" s="18"/>
      <c r="M563" s="2"/>
      <c r="N563" s="18"/>
      <c r="O563" s="18"/>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row>
    <row r="564">
      <c r="A564" s="18"/>
      <c r="B564" s="2"/>
      <c r="C564" s="18"/>
      <c r="D564" s="18"/>
      <c r="E564" s="18"/>
      <c r="F564" s="2"/>
      <c r="G564" s="2"/>
      <c r="H564" s="2"/>
      <c r="I564" s="2"/>
      <c r="J564" s="2"/>
      <c r="K564" s="2"/>
      <c r="L564" s="18"/>
      <c r="M564" s="2"/>
      <c r="N564" s="18"/>
      <c r="O564" s="18"/>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row>
    <row r="565">
      <c r="A565" s="18"/>
      <c r="B565" s="2"/>
      <c r="C565" s="18"/>
      <c r="D565" s="18"/>
      <c r="E565" s="18"/>
      <c r="F565" s="2"/>
      <c r="G565" s="2"/>
      <c r="H565" s="2"/>
      <c r="I565" s="2"/>
      <c r="J565" s="2"/>
      <c r="K565" s="2"/>
      <c r="L565" s="18"/>
      <c r="M565" s="2"/>
      <c r="N565" s="18"/>
      <c r="O565" s="18"/>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row>
    <row r="566">
      <c r="A566" s="18"/>
      <c r="B566" s="2"/>
      <c r="C566" s="18"/>
      <c r="D566" s="18"/>
      <c r="E566" s="18"/>
      <c r="F566" s="2"/>
      <c r="G566" s="2"/>
      <c r="H566" s="2"/>
      <c r="I566" s="2"/>
      <c r="J566" s="2"/>
      <c r="K566" s="2"/>
      <c r="L566" s="18"/>
      <c r="M566" s="2"/>
      <c r="N566" s="18"/>
      <c r="O566" s="18"/>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row>
    <row r="567">
      <c r="A567" s="18"/>
      <c r="B567" s="2"/>
      <c r="C567" s="18"/>
      <c r="D567" s="18"/>
      <c r="E567" s="18"/>
      <c r="F567" s="2"/>
      <c r="G567" s="2"/>
      <c r="H567" s="2"/>
      <c r="I567" s="2"/>
      <c r="J567" s="2"/>
      <c r="K567" s="2"/>
      <c r="L567" s="18"/>
      <c r="M567" s="2"/>
      <c r="N567" s="18"/>
      <c r="O567" s="18"/>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row>
    <row r="568">
      <c r="A568" s="18"/>
      <c r="B568" s="2"/>
      <c r="C568" s="18"/>
      <c r="D568" s="18"/>
      <c r="E568" s="18"/>
      <c r="F568" s="2"/>
      <c r="G568" s="2"/>
      <c r="H568" s="2"/>
      <c r="I568" s="2"/>
      <c r="J568" s="2"/>
      <c r="K568" s="2"/>
      <c r="L568" s="18"/>
      <c r="M568" s="2"/>
      <c r="N568" s="18"/>
      <c r="O568" s="18"/>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row>
    <row r="569">
      <c r="A569" s="18"/>
      <c r="B569" s="2"/>
      <c r="C569" s="18"/>
      <c r="D569" s="18"/>
      <c r="E569" s="18"/>
      <c r="F569" s="2"/>
      <c r="G569" s="2"/>
      <c r="H569" s="2"/>
      <c r="I569" s="2"/>
      <c r="J569" s="2"/>
      <c r="K569" s="2"/>
      <c r="L569" s="18"/>
      <c r="M569" s="2"/>
      <c r="N569" s="18"/>
      <c r="O569" s="18"/>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row>
    <row r="570">
      <c r="A570" s="18"/>
      <c r="B570" s="2"/>
      <c r="C570" s="18"/>
      <c r="D570" s="18"/>
      <c r="E570" s="18"/>
      <c r="F570" s="2"/>
      <c r="G570" s="2"/>
      <c r="H570" s="2"/>
      <c r="I570" s="2"/>
      <c r="J570" s="2"/>
      <c r="K570" s="2"/>
      <c r="L570" s="18"/>
      <c r="M570" s="2"/>
      <c r="N570" s="18"/>
      <c r="O570" s="18"/>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row>
    <row r="571">
      <c r="A571" s="18"/>
      <c r="B571" s="2"/>
      <c r="C571" s="18"/>
      <c r="D571" s="18"/>
      <c r="E571" s="18"/>
      <c r="F571" s="2"/>
      <c r="G571" s="2"/>
      <c r="H571" s="2"/>
      <c r="I571" s="2"/>
      <c r="J571" s="2"/>
      <c r="K571" s="2"/>
      <c r="L571" s="18"/>
      <c r="M571" s="2"/>
      <c r="N571" s="18"/>
      <c r="O571" s="18"/>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row>
    <row r="572">
      <c r="A572" s="18"/>
      <c r="B572" s="2"/>
      <c r="C572" s="18"/>
      <c r="D572" s="18"/>
      <c r="E572" s="18"/>
      <c r="F572" s="2"/>
      <c r="G572" s="2"/>
      <c r="H572" s="2"/>
      <c r="I572" s="2"/>
      <c r="J572" s="2"/>
      <c r="K572" s="2"/>
      <c r="L572" s="18"/>
      <c r="M572" s="2"/>
      <c r="N572" s="18"/>
      <c r="O572" s="18"/>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row>
    <row r="573">
      <c r="A573" s="18"/>
      <c r="B573" s="2"/>
      <c r="C573" s="18"/>
      <c r="D573" s="18"/>
      <c r="E573" s="18"/>
      <c r="F573" s="2"/>
      <c r="G573" s="2"/>
      <c r="H573" s="2"/>
      <c r="I573" s="2"/>
      <c r="J573" s="2"/>
      <c r="K573" s="2"/>
      <c r="L573" s="18"/>
      <c r="M573" s="2"/>
      <c r="N573" s="18"/>
      <c r="O573" s="18"/>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row>
    <row r="574">
      <c r="A574" s="18"/>
      <c r="B574" s="2"/>
      <c r="C574" s="18"/>
      <c r="D574" s="18"/>
      <c r="E574" s="18"/>
      <c r="F574" s="2"/>
      <c r="G574" s="2"/>
      <c r="H574" s="2"/>
      <c r="I574" s="2"/>
      <c r="J574" s="2"/>
      <c r="K574" s="2"/>
      <c r="L574" s="18"/>
      <c r="M574" s="2"/>
      <c r="N574" s="18"/>
      <c r="O574" s="18"/>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row>
    <row r="575">
      <c r="A575" s="18"/>
      <c r="B575" s="2"/>
      <c r="C575" s="18"/>
      <c r="D575" s="18"/>
      <c r="E575" s="18"/>
      <c r="F575" s="2"/>
      <c r="G575" s="2"/>
      <c r="H575" s="2"/>
      <c r="I575" s="2"/>
      <c r="J575" s="2"/>
      <c r="K575" s="2"/>
      <c r="L575" s="18"/>
      <c r="M575" s="2"/>
      <c r="N575" s="18"/>
      <c r="O575" s="18"/>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row>
    <row r="576">
      <c r="A576" s="18"/>
      <c r="B576" s="2"/>
      <c r="C576" s="18"/>
      <c r="D576" s="18"/>
      <c r="E576" s="18"/>
      <c r="F576" s="2"/>
      <c r="G576" s="2"/>
      <c r="H576" s="2"/>
      <c r="I576" s="2"/>
      <c r="J576" s="2"/>
      <c r="K576" s="2"/>
      <c r="L576" s="18"/>
      <c r="M576" s="2"/>
      <c r="N576" s="18"/>
      <c r="O576" s="18"/>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row>
    <row r="577">
      <c r="A577" s="18"/>
      <c r="B577" s="2"/>
      <c r="C577" s="18"/>
      <c r="D577" s="18"/>
      <c r="E577" s="18"/>
      <c r="F577" s="2"/>
      <c r="G577" s="2"/>
      <c r="H577" s="2"/>
      <c r="I577" s="2"/>
      <c r="J577" s="2"/>
      <c r="K577" s="2"/>
      <c r="L577" s="18"/>
      <c r="M577" s="2"/>
      <c r="N577" s="18"/>
      <c r="O577" s="18"/>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row>
    <row r="578">
      <c r="A578" s="18"/>
      <c r="B578" s="2"/>
      <c r="C578" s="18"/>
      <c r="D578" s="18"/>
      <c r="E578" s="18"/>
      <c r="F578" s="2"/>
      <c r="G578" s="2"/>
      <c r="H578" s="2"/>
      <c r="I578" s="2"/>
      <c r="J578" s="2"/>
      <c r="K578" s="2"/>
      <c r="L578" s="18"/>
      <c r="M578" s="2"/>
      <c r="N578" s="18"/>
      <c r="O578" s="18"/>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row>
    <row r="579">
      <c r="A579" s="18"/>
      <c r="B579" s="2"/>
      <c r="C579" s="18"/>
      <c r="D579" s="18"/>
      <c r="E579" s="18"/>
      <c r="F579" s="2"/>
      <c r="G579" s="2"/>
      <c r="H579" s="2"/>
      <c r="I579" s="2"/>
      <c r="J579" s="2"/>
      <c r="K579" s="2"/>
      <c r="L579" s="18"/>
      <c r="M579" s="2"/>
      <c r="N579" s="18"/>
      <c r="O579" s="18"/>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row>
    <row r="580">
      <c r="A580" s="18"/>
      <c r="B580" s="2"/>
      <c r="C580" s="18"/>
      <c r="D580" s="18"/>
      <c r="E580" s="18"/>
      <c r="F580" s="2"/>
      <c r="G580" s="2"/>
      <c r="H580" s="2"/>
      <c r="I580" s="2"/>
      <c r="J580" s="2"/>
      <c r="K580" s="2"/>
      <c r="L580" s="18"/>
      <c r="M580" s="2"/>
      <c r="N580" s="18"/>
      <c r="O580" s="18"/>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row>
    <row r="581">
      <c r="A581" s="18"/>
      <c r="B581" s="2"/>
      <c r="C581" s="18"/>
      <c r="D581" s="18"/>
      <c r="E581" s="18"/>
      <c r="F581" s="2"/>
      <c r="G581" s="2"/>
      <c r="H581" s="2"/>
      <c r="I581" s="2"/>
      <c r="J581" s="2"/>
      <c r="K581" s="2"/>
      <c r="L581" s="18"/>
      <c r="M581" s="2"/>
      <c r="N581" s="18"/>
      <c r="O581" s="18"/>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row>
    <row r="582">
      <c r="A582" s="18"/>
      <c r="B582" s="2"/>
      <c r="C582" s="18"/>
      <c r="D582" s="18"/>
      <c r="E582" s="18"/>
      <c r="F582" s="2"/>
      <c r="G582" s="2"/>
      <c r="H582" s="2"/>
      <c r="I582" s="2"/>
      <c r="J582" s="2"/>
      <c r="K582" s="2"/>
      <c r="L582" s="18"/>
      <c r="M582" s="2"/>
      <c r="N582" s="18"/>
      <c r="O582" s="18"/>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row>
    <row r="583">
      <c r="A583" s="18"/>
      <c r="B583" s="2"/>
      <c r="C583" s="18"/>
      <c r="D583" s="18"/>
      <c r="E583" s="18"/>
      <c r="F583" s="2"/>
      <c r="G583" s="2"/>
      <c r="H583" s="2"/>
      <c r="I583" s="2"/>
      <c r="J583" s="2"/>
      <c r="K583" s="2"/>
      <c r="L583" s="18"/>
      <c r="M583" s="2"/>
      <c r="N583" s="18"/>
      <c r="O583" s="18"/>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row>
    <row r="584">
      <c r="A584" s="18"/>
      <c r="B584" s="2"/>
      <c r="C584" s="18"/>
      <c r="D584" s="18"/>
      <c r="E584" s="18"/>
      <c r="F584" s="2"/>
      <c r="G584" s="2"/>
      <c r="H584" s="2"/>
      <c r="I584" s="2"/>
      <c r="J584" s="2"/>
      <c r="K584" s="2"/>
      <c r="L584" s="18"/>
      <c r="M584" s="2"/>
      <c r="N584" s="18"/>
      <c r="O584" s="18"/>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row>
    <row r="585">
      <c r="A585" s="18"/>
      <c r="B585" s="2"/>
      <c r="C585" s="18"/>
      <c r="D585" s="18"/>
      <c r="E585" s="18"/>
      <c r="F585" s="2"/>
      <c r="G585" s="2"/>
      <c r="H585" s="2"/>
      <c r="I585" s="2"/>
      <c r="J585" s="2"/>
      <c r="K585" s="2"/>
      <c r="L585" s="18"/>
      <c r="M585" s="2"/>
      <c r="N585" s="18"/>
      <c r="O585" s="18"/>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row>
    <row r="586">
      <c r="A586" s="18"/>
      <c r="B586" s="2"/>
      <c r="C586" s="18"/>
      <c r="D586" s="18"/>
      <c r="E586" s="18"/>
      <c r="F586" s="2"/>
      <c r="G586" s="2"/>
      <c r="H586" s="2"/>
      <c r="I586" s="2"/>
      <c r="J586" s="2"/>
      <c r="K586" s="2"/>
      <c r="L586" s="18"/>
      <c r="M586" s="2"/>
      <c r="N586" s="18"/>
      <c r="O586" s="18"/>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row>
    <row r="587">
      <c r="A587" s="18"/>
      <c r="B587" s="2"/>
      <c r="C587" s="18"/>
      <c r="D587" s="18"/>
      <c r="E587" s="18"/>
      <c r="F587" s="2"/>
      <c r="G587" s="2"/>
      <c r="H587" s="2"/>
      <c r="I587" s="2"/>
      <c r="J587" s="2"/>
      <c r="K587" s="2"/>
      <c r="L587" s="18"/>
      <c r="M587" s="2"/>
      <c r="N587" s="18"/>
      <c r="O587" s="18"/>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row>
    <row r="588">
      <c r="A588" s="18"/>
      <c r="B588" s="2"/>
      <c r="C588" s="18"/>
      <c r="D588" s="18"/>
      <c r="E588" s="18"/>
      <c r="F588" s="2"/>
      <c r="G588" s="2"/>
      <c r="H588" s="2"/>
      <c r="I588" s="2"/>
      <c r="J588" s="2"/>
      <c r="K588" s="2"/>
      <c r="L588" s="18"/>
      <c r="M588" s="2"/>
      <c r="N588" s="18"/>
      <c r="O588" s="18"/>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row>
    <row r="589">
      <c r="A589" s="18"/>
      <c r="B589" s="2"/>
      <c r="C589" s="18"/>
      <c r="D589" s="18"/>
      <c r="E589" s="18"/>
      <c r="F589" s="2"/>
      <c r="G589" s="2"/>
      <c r="H589" s="2"/>
      <c r="I589" s="2"/>
      <c r="J589" s="2"/>
      <c r="K589" s="2"/>
      <c r="L589" s="18"/>
      <c r="M589" s="2"/>
      <c r="N589" s="18"/>
      <c r="O589" s="18"/>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row>
    <row r="590">
      <c r="A590" s="18"/>
      <c r="B590" s="2"/>
      <c r="C590" s="18"/>
      <c r="D590" s="18"/>
      <c r="E590" s="18"/>
      <c r="F590" s="2"/>
      <c r="G590" s="2"/>
      <c r="H590" s="2"/>
      <c r="I590" s="2"/>
      <c r="J590" s="2"/>
      <c r="K590" s="2"/>
      <c r="L590" s="18"/>
      <c r="M590" s="2"/>
      <c r="N590" s="18"/>
      <c r="O590" s="18"/>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row>
    <row r="591">
      <c r="A591" s="18"/>
      <c r="B591" s="2"/>
      <c r="C591" s="18"/>
      <c r="D591" s="18"/>
      <c r="E591" s="18"/>
      <c r="F591" s="2"/>
      <c r="G591" s="2"/>
      <c r="H591" s="2"/>
      <c r="I591" s="2"/>
      <c r="J591" s="2"/>
      <c r="K591" s="2"/>
      <c r="L591" s="18"/>
      <c r="M591" s="2"/>
      <c r="N591" s="18"/>
      <c r="O591" s="18"/>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row>
    <row r="592">
      <c r="A592" s="18"/>
      <c r="B592" s="2"/>
      <c r="C592" s="18"/>
      <c r="D592" s="18"/>
      <c r="E592" s="18"/>
      <c r="F592" s="2"/>
      <c r="G592" s="2"/>
      <c r="H592" s="2"/>
      <c r="I592" s="2"/>
      <c r="J592" s="2"/>
      <c r="K592" s="2"/>
      <c r="L592" s="18"/>
      <c r="M592" s="2"/>
      <c r="N592" s="18"/>
      <c r="O592" s="18"/>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row>
    <row r="593">
      <c r="A593" s="18"/>
      <c r="B593" s="2"/>
      <c r="C593" s="18"/>
      <c r="D593" s="18"/>
      <c r="E593" s="18"/>
      <c r="F593" s="2"/>
      <c r="G593" s="2"/>
      <c r="H593" s="2"/>
      <c r="I593" s="2"/>
      <c r="J593" s="2"/>
      <c r="K593" s="2"/>
      <c r="L593" s="18"/>
      <c r="M593" s="2"/>
      <c r="N593" s="18"/>
      <c r="O593" s="18"/>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row>
    <row r="594">
      <c r="A594" s="18"/>
      <c r="B594" s="2"/>
      <c r="C594" s="18"/>
      <c r="D594" s="18"/>
      <c r="E594" s="18"/>
      <c r="F594" s="2"/>
      <c r="G594" s="2"/>
      <c r="H594" s="2"/>
      <c r="I594" s="2"/>
      <c r="J594" s="2"/>
      <c r="K594" s="2"/>
      <c r="L594" s="18"/>
      <c r="M594" s="2"/>
      <c r="N594" s="18"/>
      <c r="O594" s="18"/>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row>
    <row r="595">
      <c r="A595" s="18"/>
      <c r="B595" s="2"/>
      <c r="C595" s="18"/>
      <c r="D595" s="18"/>
      <c r="E595" s="18"/>
      <c r="F595" s="2"/>
      <c r="G595" s="2"/>
      <c r="H595" s="2"/>
      <c r="I595" s="2"/>
      <c r="J595" s="2"/>
      <c r="K595" s="2"/>
      <c r="L595" s="18"/>
      <c r="M595" s="2"/>
      <c r="N595" s="18"/>
      <c r="O595" s="18"/>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row>
    <row r="596">
      <c r="A596" s="18"/>
      <c r="B596" s="2"/>
      <c r="C596" s="18"/>
      <c r="D596" s="18"/>
      <c r="E596" s="18"/>
      <c r="F596" s="2"/>
      <c r="G596" s="2"/>
      <c r="H596" s="2"/>
      <c r="I596" s="2"/>
      <c r="J596" s="2"/>
      <c r="K596" s="2"/>
      <c r="L596" s="18"/>
      <c r="M596" s="2"/>
      <c r="N596" s="18"/>
      <c r="O596" s="18"/>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row>
    <row r="597">
      <c r="A597" s="18"/>
      <c r="B597" s="2"/>
      <c r="C597" s="18"/>
      <c r="D597" s="18"/>
      <c r="E597" s="18"/>
      <c r="F597" s="2"/>
      <c r="G597" s="2"/>
      <c r="H597" s="2"/>
      <c r="I597" s="2"/>
      <c r="J597" s="2"/>
      <c r="K597" s="2"/>
      <c r="L597" s="18"/>
      <c r="M597" s="2"/>
      <c r="N597" s="18"/>
      <c r="O597" s="18"/>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row>
    <row r="598">
      <c r="A598" s="18"/>
      <c r="B598" s="2"/>
      <c r="C598" s="18"/>
      <c r="D598" s="18"/>
      <c r="E598" s="18"/>
      <c r="F598" s="2"/>
      <c r="G598" s="2"/>
      <c r="H598" s="2"/>
      <c r="I598" s="2"/>
      <c r="J598" s="2"/>
      <c r="K598" s="2"/>
      <c r="L598" s="18"/>
      <c r="M598" s="2"/>
      <c r="N598" s="18"/>
      <c r="O598" s="18"/>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row>
    <row r="599">
      <c r="A599" s="18"/>
      <c r="B599" s="2"/>
      <c r="C599" s="18"/>
      <c r="D599" s="18"/>
      <c r="E599" s="18"/>
      <c r="F599" s="2"/>
      <c r="G599" s="2"/>
      <c r="H599" s="2"/>
      <c r="I599" s="2"/>
      <c r="J599" s="2"/>
      <c r="K599" s="2"/>
      <c r="L599" s="18"/>
      <c r="M599" s="2"/>
      <c r="N599" s="18"/>
      <c r="O599" s="18"/>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row>
    <row r="600">
      <c r="A600" s="18"/>
      <c r="B600" s="2"/>
      <c r="C600" s="18"/>
      <c r="D600" s="18"/>
      <c r="E600" s="18"/>
      <c r="F600" s="2"/>
      <c r="G600" s="2"/>
      <c r="H600" s="2"/>
      <c r="I600" s="2"/>
      <c r="J600" s="2"/>
      <c r="K600" s="2"/>
      <c r="L600" s="18"/>
      <c r="M600" s="2"/>
      <c r="N600" s="18"/>
      <c r="O600" s="18"/>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row>
    <row r="601">
      <c r="A601" s="18"/>
      <c r="B601" s="2"/>
      <c r="C601" s="18"/>
      <c r="D601" s="18"/>
      <c r="E601" s="18"/>
      <c r="F601" s="2"/>
      <c r="G601" s="2"/>
      <c r="H601" s="2"/>
      <c r="I601" s="2"/>
      <c r="J601" s="2"/>
      <c r="K601" s="2"/>
      <c r="L601" s="18"/>
      <c r="M601" s="2"/>
      <c r="N601" s="18"/>
      <c r="O601" s="18"/>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row>
    <row r="602">
      <c r="A602" s="18"/>
      <c r="B602" s="2"/>
      <c r="C602" s="18"/>
      <c r="D602" s="18"/>
      <c r="E602" s="18"/>
      <c r="F602" s="2"/>
      <c r="G602" s="2"/>
      <c r="H602" s="2"/>
      <c r="I602" s="2"/>
      <c r="J602" s="2"/>
      <c r="K602" s="2"/>
      <c r="L602" s="18"/>
      <c r="M602" s="2"/>
      <c r="N602" s="18"/>
      <c r="O602" s="18"/>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row>
    <row r="603">
      <c r="A603" s="18"/>
      <c r="B603" s="2"/>
      <c r="C603" s="18"/>
      <c r="D603" s="18"/>
      <c r="E603" s="18"/>
      <c r="F603" s="2"/>
      <c r="G603" s="2"/>
      <c r="H603" s="2"/>
      <c r="I603" s="2"/>
      <c r="J603" s="2"/>
      <c r="K603" s="2"/>
      <c r="L603" s="18"/>
      <c r="M603" s="2"/>
      <c r="N603" s="18"/>
      <c r="O603" s="18"/>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row>
    <row r="604">
      <c r="A604" s="18"/>
      <c r="B604" s="2"/>
      <c r="C604" s="18"/>
      <c r="D604" s="18"/>
      <c r="E604" s="18"/>
      <c r="F604" s="2"/>
      <c r="G604" s="2"/>
      <c r="H604" s="2"/>
      <c r="I604" s="2"/>
      <c r="J604" s="2"/>
      <c r="K604" s="2"/>
      <c r="L604" s="18"/>
      <c r="M604" s="2"/>
      <c r="N604" s="18"/>
      <c r="O604" s="18"/>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row>
    <row r="605">
      <c r="A605" s="18"/>
      <c r="B605" s="2"/>
      <c r="C605" s="18"/>
      <c r="D605" s="18"/>
      <c r="E605" s="18"/>
      <c r="F605" s="2"/>
      <c r="G605" s="2"/>
      <c r="H605" s="2"/>
      <c r="I605" s="2"/>
      <c r="J605" s="2"/>
      <c r="K605" s="2"/>
      <c r="L605" s="18"/>
      <c r="M605" s="2"/>
      <c r="N605" s="18"/>
      <c r="O605" s="18"/>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row>
    <row r="606">
      <c r="A606" s="18"/>
      <c r="B606" s="2"/>
      <c r="C606" s="18"/>
      <c r="D606" s="18"/>
      <c r="E606" s="18"/>
      <c r="F606" s="2"/>
      <c r="G606" s="2"/>
      <c r="H606" s="2"/>
      <c r="I606" s="2"/>
      <c r="J606" s="2"/>
      <c r="K606" s="2"/>
      <c r="L606" s="18"/>
      <c r="M606" s="2"/>
      <c r="N606" s="18"/>
      <c r="O606" s="18"/>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row>
    <row r="607">
      <c r="A607" s="18"/>
      <c r="B607" s="2"/>
      <c r="C607" s="18"/>
      <c r="D607" s="18"/>
      <c r="E607" s="18"/>
      <c r="F607" s="2"/>
      <c r="G607" s="2"/>
      <c r="H607" s="2"/>
      <c r="I607" s="2"/>
      <c r="J607" s="2"/>
      <c r="K607" s="2"/>
      <c r="L607" s="18"/>
      <c r="M607" s="2"/>
      <c r="N607" s="18"/>
      <c r="O607" s="18"/>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row>
    <row r="608">
      <c r="A608" s="18"/>
      <c r="B608" s="2"/>
      <c r="C608" s="18"/>
      <c r="D608" s="18"/>
      <c r="E608" s="18"/>
      <c r="F608" s="2"/>
      <c r="G608" s="2"/>
      <c r="H608" s="2"/>
      <c r="I608" s="2"/>
      <c r="J608" s="2"/>
      <c r="K608" s="2"/>
      <c r="L608" s="18"/>
      <c r="M608" s="2"/>
      <c r="N608" s="18"/>
      <c r="O608" s="18"/>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row>
    <row r="609">
      <c r="A609" s="18"/>
      <c r="B609" s="2"/>
      <c r="C609" s="18"/>
      <c r="D609" s="18"/>
      <c r="E609" s="18"/>
      <c r="F609" s="2"/>
      <c r="G609" s="2"/>
      <c r="H609" s="2"/>
      <c r="I609" s="2"/>
      <c r="J609" s="2"/>
      <c r="K609" s="2"/>
      <c r="L609" s="18"/>
      <c r="M609" s="2"/>
      <c r="N609" s="18"/>
      <c r="O609" s="18"/>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row>
    <row r="610">
      <c r="A610" s="18"/>
      <c r="B610" s="2"/>
      <c r="C610" s="18"/>
      <c r="D610" s="18"/>
      <c r="E610" s="18"/>
      <c r="F610" s="2"/>
      <c r="G610" s="2"/>
      <c r="H610" s="2"/>
      <c r="I610" s="2"/>
      <c r="J610" s="2"/>
      <c r="K610" s="2"/>
      <c r="L610" s="18"/>
      <c r="M610" s="2"/>
      <c r="N610" s="18"/>
      <c r="O610" s="18"/>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row>
    <row r="611">
      <c r="A611" s="18"/>
      <c r="B611" s="2"/>
      <c r="C611" s="18"/>
      <c r="D611" s="18"/>
      <c r="E611" s="18"/>
      <c r="F611" s="2"/>
      <c r="G611" s="2"/>
      <c r="H611" s="2"/>
      <c r="I611" s="2"/>
      <c r="J611" s="2"/>
      <c r="K611" s="2"/>
      <c r="L611" s="18"/>
      <c r="M611" s="2"/>
      <c r="N611" s="18"/>
      <c r="O611" s="18"/>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row>
    <row r="612">
      <c r="A612" s="18"/>
      <c r="B612" s="2"/>
      <c r="C612" s="18"/>
      <c r="D612" s="18"/>
      <c r="E612" s="18"/>
      <c r="F612" s="2"/>
      <c r="G612" s="2"/>
      <c r="H612" s="2"/>
      <c r="I612" s="2"/>
      <c r="J612" s="2"/>
      <c r="K612" s="2"/>
      <c r="L612" s="18"/>
      <c r="M612" s="2"/>
      <c r="N612" s="18"/>
      <c r="O612" s="18"/>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row>
    <row r="613">
      <c r="A613" s="18"/>
      <c r="B613" s="2"/>
      <c r="C613" s="18"/>
      <c r="D613" s="18"/>
      <c r="E613" s="18"/>
      <c r="F613" s="2"/>
      <c r="G613" s="2"/>
      <c r="H613" s="2"/>
      <c r="I613" s="2"/>
      <c r="J613" s="2"/>
      <c r="K613" s="2"/>
      <c r="L613" s="18"/>
      <c r="M613" s="2"/>
      <c r="N613" s="18"/>
      <c r="O613" s="18"/>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row>
    <row r="614">
      <c r="A614" s="18"/>
      <c r="B614" s="2"/>
      <c r="C614" s="18"/>
      <c r="D614" s="18"/>
      <c r="E614" s="18"/>
      <c r="F614" s="2"/>
      <c r="G614" s="2"/>
      <c r="H614" s="2"/>
      <c r="I614" s="2"/>
      <c r="J614" s="2"/>
      <c r="K614" s="2"/>
      <c r="L614" s="18"/>
      <c r="M614" s="2"/>
      <c r="N614" s="18"/>
      <c r="O614" s="18"/>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row>
    <row r="615">
      <c r="A615" s="18"/>
      <c r="B615" s="2"/>
      <c r="C615" s="18"/>
      <c r="D615" s="18"/>
      <c r="E615" s="18"/>
      <c r="F615" s="2"/>
      <c r="G615" s="2"/>
      <c r="H615" s="2"/>
      <c r="I615" s="2"/>
      <c r="J615" s="2"/>
      <c r="K615" s="2"/>
      <c r="L615" s="18"/>
      <c r="M615" s="2"/>
      <c r="N615" s="18"/>
      <c r="O615" s="18"/>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row>
    <row r="616">
      <c r="A616" s="18"/>
      <c r="B616" s="2"/>
      <c r="C616" s="18"/>
      <c r="D616" s="18"/>
      <c r="E616" s="18"/>
      <c r="F616" s="2"/>
      <c r="G616" s="2"/>
      <c r="H616" s="2"/>
      <c r="I616" s="2"/>
      <c r="J616" s="2"/>
      <c r="K616" s="2"/>
      <c r="L616" s="18"/>
      <c r="M616" s="2"/>
      <c r="N616" s="18"/>
      <c r="O616" s="18"/>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row>
    <row r="617">
      <c r="A617" s="18"/>
      <c r="B617" s="2"/>
      <c r="C617" s="18"/>
      <c r="D617" s="18"/>
      <c r="E617" s="18"/>
      <c r="F617" s="2"/>
      <c r="G617" s="2"/>
      <c r="H617" s="2"/>
      <c r="I617" s="2"/>
      <c r="J617" s="2"/>
      <c r="K617" s="2"/>
      <c r="L617" s="18"/>
      <c r="M617" s="2"/>
      <c r="N617" s="18"/>
      <c r="O617" s="18"/>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row>
    <row r="618">
      <c r="A618" s="18"/>
      <c r="B618" s="2"/>
      <c r="C618" s="18"/>
      <c r="D618" s="18"/>
      <c r="E618" s="18"/>
      <c r="F618" s="2"/>
      <c r="G618" s="2"/>
      <c r="H618" s="2"/>
      <c r="I618" s="2"/>
      <c r="J618" s="2"/>
      <c r="K618" s="2"/>
      <c r="L618" s="18"/>
      <c r="M618" s="2"/>
      <c r="N618" s="18"/>
      <c r="O618" s="18"/>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row>
    <row r="619">
      <c r="A619" s="18"/>
      <c r="B619" s="2"/>
      <c r="C619" s="18"/>
      <c r="D619" s="18"/>
      <c r="E619" s="18"/>
      <c r="F619" s="2"/>
      <c r="G619" s="2"/>
      <c r="H619" s="2"/>
      <c r="I619" s="2"/>
      <c r="J619" s="2"/>
      <c r="K619" s="2"/>
      <c r="L619" s="18"/>
      <c r="M619" s="2"/>
      <c r="N619" s="18"/>
      <c r="O619" s="18"/>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row>
    <row r="620">
      <c r="A620" s="18"/>
      <c r="B620" s="2"/>
      <c r="C620" s="18"/>
      <c r="D620" s="18"/>
      <c r="E620" s="18"/>
      <c r="F620" s="2"/>
      <c r="G620" s="2"/>
      <c r="H620" s="2"/>
      <c r="I620" s="2"/>
      <c r="J620" s="2"/>
      <c r="K620" s="2"/>
      <c r="L620" s="18"/>
      <c r="M620" s="2"/>
      <c r="N620" s="18"/>
      <c r="O620" s="18"/>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row>
    <row r="621">
      <c r="A621" s="18"/>
      <c r="B621" s="2"/>
      <c r="C621" s="18"/>
      <c r="D621" s="18"/>
      <c r="E621" s="18"/>
      <c r="F621" s="2"/>
      <c r="G621" s="2"/>
      <c r="H621" s="2"/>
      <c r="I621" s="2"/>
      <c r="J621" s="2"/>
      <c r="K621" s="2"/>
      <c r="L621" s="18"/>
      <c r="M621" s="2"/>
      <c r="N621" s="18"/>
      <c r="O621" s="18"/>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row>
    <row r="622">
      <c r="A622" s="18"/>
      <c r="B622" s="2"/>
      <c r="C622" s="18"/>
      <c r="D622" s="18"/>
      <c r="E622" s="18"/>
      <c r="F622" s="2"/>
      <c r="G622" s="2"/>
      <c r="H622" s="2"/>
      <c r="I622" s="2"/>
      <c r="J622" s="2"/>
      <c r="K622" s="2"/>
      <c r="L622" s="18"/>
      <c r="M622" s="2"/>
      <c r="N622" s="18"/>
      <c r="O622" s="18"/>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row>
    <row r="623">
      <c r="A623" s="18"/>
      <c r="B623" s="2"/>
      <c r="C623" s="18"/>
      <c r="D623" s="18"/>
      <c r="E623" s="18"/>
      <c r="F623" s="2"/>
      <c r="G623" s="2"/>
      <c r="H623" s="2"/>
      <c r="I623" s="2"/>
      <c r="J623" s="2"/>
      <c r="K623" s="2"/>
      <c r="L623" s="18"/>
      <c r="M623" s="2"/>
      <c r="N623" s="18"/>
      <c r="O623" s="18"/>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row>
    <row r="624">
      <c r="A624" s="18"/>
      <c r="B624" s="2"/>
      <c r="C624" s="18"/>
      <c r="D624" s="18"/>
      <c r="E624" s="18"/>
      <c r="F624" s="2"/>
      <c r="G624" s="2"/>
      <c r="H624" s="2"/>
      <c r="I624" s="2"/>
      <c r="J624" s="2"/>
      <c r="K624" s="2"/>
      <c r="L624" s="18"/>
      <c r="M624" s="2"/>
      <c r="N624" s="18"/>
      <c r="O624" s="18"/>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row>
    <row r="625">
      <c r="A625" s="18"/>
      <c r="B625" s="2"/>
      <c r="C625" s="18"/>
      <c r="D625" s="18"/>
      <c r="E625" s="18"/>
      <c r="F625" s="2"/>
      <c r="G625" s="2"/>
      <c r="H625" s="2"/>
      <c r="I625" s="2"/>
      <c r="J625" s="2"/>
      <c r="K625" s="2"/>
      <c r="L625" s="18"/>
      <c r="M625" s="2"/>
      <c r="N625" s="18"/>
      <c r="O625" s="18"/>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row>
    <row r="626">
      <c r="A626" s="18"/>
      <c r="B626" s="2"/>
      <c r="C626" s="18"/>
      <c r="D626" s="18"/>
      <c r="E626" s="18"/>
      <c r="F626" s="2"/>
      <c r="G626" s="2"/>
      <c r="H626" s="2"/>
      <c r="I626" s="2"/>
      <c r="J626" s="2"/>
      <c r="K626" s="2"/>
      <c r="L626" s="18"/>
      <c r="M626" s="2"/>
      <c r="N626" s="18"/>
      <c r="O626" s="18"/>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row>
    <row r="627">
      <c r="A627" s="18"/>
      <c r="B627" s="2"/>
      <c r="C627" s="18"/>
      <c r="D627" s="18"/>
      <c r="E627" s="18"/>
      <c r="F627" s="2"/>
      <c r="G627" s="2"/>
      <c r="H627" s="2"/>
      <c r="I627" s="2"/>
      <c r="J627" s="2"/>
      <c r="K627" s="2"/>
      <c r="L627" s="18"/>
      <c r="M627" s="2"/>
      <c r="N627" s="18"/>
      <c r="O627" s="18"/>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row>
    <row r="628">
      <c r="A628" s="18"/>
      <c r="B628" s="2"/>
      <c r="C628" s="18"/>
      <c r="D628" s="18"/>
      <c r="E628" s="18"/>
      <c r="F628" s="2"/>
      <c r="G628" s="2"/>
      <c r="H628" s="2"/>
      <c r="I628" s="2"/>
      <c r="J628" s="2"/>
      <c r="K628" s="2"/>
      <c r="L628" s="18"/>
      <c r="M628" s="2"/>
      <c r="N628" s="18"/>
      <c r="O628" s="18"/>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row>
    <row r="629">
      <c r="A629" s="18"/>
      <c r="B629" s="2"/>
      <c r="C629" s="18"/>
      <c r="D629" s="18"/>
      <c r="E629" s="18"/>
      <c r="F629" s="2"/>
      <c r="G629" s="2"/>
      <c r="H629" s="2"/>
      <c r="I629" s="2"/>
      <c r="J629" s="2"/>
      <c r="K629" s="2"/>
      <c r="L629" s="18"/>
      <c r="M629" s="2"/>
      <c r="N629" s="18"/>
      <c r="O629" s="18"/>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row>
    <row r="630">
      <c r="A630" s="18"/>
      <c r="B630" s="2"/>
      <c r="C630" s="18"/>
      <c r="D630" s="18"/>
      <c r="E630" s="18"/>
      <c r="F630" s="2"/>
      <c r="G630" s="2"/>
      <c r="H630" s="2"/>
      <c r="I630" s="2"/>
      <c r="J630" s="2"/>
      <c r="K630" s="2"/>
      <c r="L630" s="18"/>
      <c r="M630" s="2"/>
      <c r="N630" s="18"/>
      <c r="O630" s="18"/>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row>
    <row r="631">
      <c r="A631" s="18"/>
      <c r="B631" s="2"/>
      <c r="C631" s="18"/>
      <c r="D631" s="18"/>
      <c r="E631" s="18"/>
      <c r="F631" s="2"/>
      <c r="G631" s="2"/>
      <c r="H631" s="2"/>
      <c r="I631" s="2"/>
      <c r="J631" s="2"/>
      <c r="K631" s="2"/>
      <c r="L631" s="18"/>
      <c r="M631" s="2"/>
      <c r="N631" s="18"/>
      <c r="O631" s="18"/>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row>
    <row r="632">
      <c r="A632" s="18"/>
      <c r="B632" s="2"/>
      <c r="C632" s="18"/>
      <c r="D632" s="18"/>
      <c r="E632" s="18"/>
      <c r="F632" s="2"/>
      <c r="G632" s="2"/>
      <c r="H632" s="2"/>
      <c r="I632" s="2"/>
      <c r="J632" s="2"/>
      <c r="K632" s="2"/>
      <c r="L632" s="18"/>
      <c r="M632" s="2"/>
      <c r="N632" s="18"/>
      <c r="O632" s="18"/>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row>
    <row r="633">
      <c r="A633" s="18"/>
      <c r="B633" s="2"/>
      <c r="C633" s="18"/>
      <c r="D633" s="18"/>
      <c r="E633" s="18"/>
      <c r="F633" s="2"/>
      <c r="G633" s="2"/>
      <c r="H633" s="2"/>
      <c r="I633" s="2"/>
      <c r="J633" s="2"/>
      <c r="K633" s="2"/>
      <c r="L633" s="18"/>
      <c r="M633" s="2"/>
      <c r="N633" s="18"/>
      <c r="O633" s="18"/>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row>
    <row r="634">
      <c r="A634" s="18"/>
      <c r="B634" s="2"/>
      <c r="C634" s="18"/>
      <c r="D634" s="18"/>
      <c r="E634" s="18"/>
      <c r="F634" s="2"/>
      <c r="G634" s="2"/>
      <c r="H634" s="2"/>
      <c r="I634" s="2"/>
      <c r="J634" s="2"/>
      <c r="K634" s="2"/>
      <c r="L634" s="18"/>
      <c r="M634" s="2"/>
      <c r="N634" s="18"/>
      <c r="O634" s="18"/>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row>
    <row r="635">
      <c r="A635" s="18"/>
      <c r="B635" s="2"/>
      <c r="C635" s="18"/>
      <c r="D635" s="18"/>
      <c r="E635" s="18"/>
      <c r="F635" s="2"/>
      <c r="G635" s="2"/>
      <c r="H635" s="2"/>
      <c r="I635" s="2"/>
      <c r="J635" s="2"/>
      <c r="K635" s="2"/>
      <c r="L635" s="18"/>
      <c r="M635" s="2"/>
      <c r="N635" s="18"/>
      <c r="O635" s="18"/>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row>
    <row r="636">
      <c r="A636" s="18"/>
      <c r="B636" s="2"/>
      <c r="C636" s="18"/>
      <c r="D636" s="18"/>
      <c r="E636" s="18"/>
      <c r="F636" s="2"/>
      <c r="G636" s="2"/>
      <c r="H636" s="2"/>
      <c r="I636" s="2"/>
      <c r="J636" s="2"/>
      <c r="K636" s="2"/>
      <c r="L636" s="18"/>
      <c r="M636" s="2"/>
      <c r="N636" s="18"/>
      <c r="O636" s="18"/>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row>
    <row r="637">
      <c r="A637" s="18"/>
      <c r="B637" s="2"/>
      <c r="C637" s="18"/>
      <c r="D637" s="18"/>
      <c r="E637" s="18"/>
      <c r="F637" s="2"/>
      <c r="G637" s="2"/>
      <c r="H637" s="2"/>
      <c r="I637" s="2"/>
      <c r="J637" s="2"/>
      <c r="K637" s="2"/>
      <c r="L637" s="18"/>
      <c r="M637" s="2"/>
      <c r="N637" s="18"/>
      <c r="O637" s="18"/>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row>
    <row r="638">
      <c r="A638" s="18"/>
      <c r="B638" s="2"/>
      <c r="C638" s="18"/>
      <c r="D638" s="18"/>
      <c r="E638" s="18"/>
      <c r="F638" s="2"/>
      <c r="G638" s="2"/>
      <c r="H638" s="2"/>
      <c r="I638" s="2"/>
      <c r="J638" s="2"/>
      <c r="K638" s="2"/>
      <c r="L638" s="18"/>
      <c r="M638" s="2"/>
      <c r="N638" s="18"/>
      <c r="O638" s="18"/>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row>
    <row r="639">
      <c r="A639" s="18"/>
      <c r="B639" s="2"/>
      <c r="C639" s="18"/>
      <c r="D639" s="18"/>
      <c r="E639" s="18"/>
      <c r="F639" s="2"/>
      <c r="G639" s="2"/>
      <c r="H639" s="2"/>
      <c r="I639" s="2"/>
      <c r="J639" s="2"/>
      <c r="K639" s="2"/>
      <c r="L639" s="18"/>
      <c r="M639" s="2"/>
      <c r="N639" s="18"/>
      <c r="O639" s="18"/>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row>
    <row r="640">
      <c r="A640" s="18"/>
      <c r="B640" s="2"/>
      <c r="C640" s="18"/>
      <c r="D640" s="18"/>
      <c r="E640" s="18"/>
      <c r="F640" s="2"/>
      <c r="G640" s="2"/>
      <c r="H640" s="2"/>
      <c r="I640" s="2"/>
      <c r="J640" s="2"/>
      <c r="K640" s="2"/>
      <c r="L640" s="18"/>
      <c r="M640" s="2"/>
      <c r="N640" s="18"/>
      <c r="O640" s="18"/>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row>
    <row r="641">
      <c r="A641" s="18"/>
      <c r="B641" s="2"/>
      <c r="C641" s="18"/>
      <c r="D641" s="18"/>
      <c r="E641" s="18"/>
      <c r="F641" s="2"/>
      <c r="G641" s="2"/>
      <c r="H641" s="2"/>
      <c r="I641" s="2"/>
      <c r="J641" s="2"/>
      <c r="K641" s="2"/>
      <c r="L641" s="18"/>
      <c r="M641" s="2"/>
      <c r="N641" s="18"/>
      <c r="O641" s="18"/>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row>
    <row r="642">
      <c r="A642" s="18"/>
      <c r="B642" s="2"/>
      <c r="C642" s="18"/>
      <c r="D642" s="18"/>
      <c r="E642" s="18"/>
      <c r="F642" s="2"/>
      <c r="G642" s="2"/>
      <c r="H642" s="2"/>
      <c r="I642" s="2"/>
      <c r="J642" s="2"/>
      <c r="K642" s="2"/>
      <c r="L642" s="18"/>
      <c r="M642" s="2"/>
      <c r="N642" s="18"/>
      <c r="O642" s="18"/>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row>
    <row r="643">
      <c r="A643" s="18"/>
      <c r="B643" s="2"/>
      <c r="C643" s="18"/>
      <c r="D643" s="18"/>
      <c r="E643" s="18"/>
      <c r="F643" s="2"/>
      <c r="G643" s="2"/>
      <c r="H643" s="2"/>
      <c r="I643" s="2"/>
      <c r="J643" s="2"/>
      <c r="K643" s="2"/>
      <c r="L643" s="18"/>
      <c r="M643" s="2"/>
      <c r="N643" s="18"/>
      <c r="O643" s="18"/>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row>
    <row r="644">
      <c r="A644" s="18"/>
      <c r="B644" s="2"/>
      <c r="C644" s="18"/>
      <c r="D644" s="18"/>
      <c r="E644" s="18"/>
      <c r="F644" s="2"/>
      <c r="G644" s="2"/>
      <c r="H644" s="2"/>
      <c r="I644" s="2"/>
      <c r="J644" s="2"/>
      <c r="K644" s="2"/>
      <c r="L644" s="18"/>
      <c r="M644" s="2"/>
      <c r="N644" s="18"/>
      <c r="O644" s="18"/>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row>
    <row r="645">
      <c r="A645" s="18"/>
      <c r="B645" s="2"/>
      <c r="C645" s="18"/>
      <c r="D645" s="18"/>
      <c r="E645" s="18"/>
      <c r="F645" s="2"/>
      <c r="G645" s="2"/>
      <c r="H645" s="2"/>
      <c r="I645" s="2"/>
      <c r="J645" s="2"/>
      <c r="K645" s="2"/>
      <c r="L645" s="18"/>
      <c r="M645" s="2"/>
      <c r="N645" s="18"/>
      <c r="O645" s="18"/>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row>
    <row r="646">
      <c r="A646" s="18"/>
      <c r="B646" s="2"/>
      <c r="C646" s="18"/>
      <c r="D646" s="18"/>
      <c r="E646" s="18"/>
      <c r="F646" s="2"/>
      <c r="G646" s="2"/>
      <c r="H646" s="2"/>
      <c r="I646" s="2"/>
      <c r="J646" s="2"/>
      <c r="K646" s="2"/>
      <c r="L646" s="18"/>
      <c r="M646" s="2"/>
      <c r="N646" s="18"/>
      <c r="O646" s="18"/>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row>
    <row r="647">
      <c r="A647" s="18"/>
      <c r="B647" s="2"/>
      <c r="C647" s="18"/>
      <c r="D647" s="18"/>
      <c r="E647" s="18"/>
      <c r="F647" s="2"/>
      <c r="G647" s="2"/>
      <c r="H647" s="2"/>
      <c r="I647" s="2"/>
      <c r="J647" s="2"/>
      <c r="K647" s="2"/>
      <c r="L647" s="18"/>
      <c r="M647" s="2"/>
      <c r="N647" s="18"/>
      <c r="O647" s="18"/>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row>
    <row r="648">
      <c r="A648" s="18"/>
      <c r="B648" s="2"/>
      <c r="C648" s="18"/>
      <c r="D648" s="18"/>
      <c r="E648" s="18"/>
      <c r="F648" s="2"/>
      <c r="G648" s="2"/>
      <c r="H648" s="2"/>
      <c r="I648" s="2"/>
      <c r="J648" s="2"/>
      <c r="K648" s="2"/>
      <c r="L648" s="18"/>
      <c r="M648" s="2"/>
      <c r="N648" s="18"/>
      <c r="O648" s="18"/>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row>
    <row r="649">
      <c r="A649" s="18"/>
      <c r="B649" s="2"/>
      <c r="C649" s="18"/>
      <c r="D649" s="18"/>
      <c r="E649" s="18"/>
      <c r="F649" s="2"/>
      <c r="G649" s="2"/>
      <c r="H649" s="2"/>
      <c r="I649" s="2"/>
      <c r="J649" s="2"/>
      <c r="K649" s="2"/>
      <c r="L649" s="18"/>
      <c r="M649" s="2"/>
      <c r="N649" s="18"/>
      <c r="O649" s="18"/>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row>
    <row r="650">
      <c r="A650" s="18"/>
      <c r="B650" s="2"/>
      <c r="C650" s="18"/>
      <c r="D650" s="18"/>
      <c r="E650" s="18"/>
      <c r="F650" s="2"/>
      <c r="G650" s="2"/>
      <c r="H650" s="2"/>
      <c r="I650" s="2"/>
      <c r="J650" s="2"/>
      <c r="K650" s="2"/>
      <c r="L650" s="18"/>
      <c r="M650" s="2"/>
      <c r="N650" s="18"/>
      <c r="O650" s="18"/>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row>
    <row r="651">
      <c r="A651" s="18"/>
      <c r="B651" s="2"/>
      <c r="C651" s="18"/>
      <c r="D651" s="18"/>
      <c r="E651" s="18"/>
      <c r="F651" s="2"/>
      <c r="G651" s="2"/>
      <c r="H651" s="2"/>
      <c r="I651" s="2"/>
      <c r="J651" s="2"/>
      <c r="K651" s="2"/>
      <c r="L651" s="18"/>
      <c r="M651" s="2"/>
      <c r="N651" s="18"/>
      <c r="O651" s="18"/>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row>
    <row r="652">
      <c r="A652" s="18"/>
      <c r="B652" s="2"/>
      <c r="C652" s="18"/>
      <c r="D652" s="18"/>
      <c r="E652" s="18"/>
      <c r="F652" s="2"/>
      <c r="G652" s="2"/>
      <c r="H652" s="2"/>
      <c r="I652" s="2"/>
      <c r="J652" s="2"/>
      <c r="K652" s="2"/>
      <c r="L652" s="18"/>
      <c r="M652" s="2"/>
      <c r="N652" s="18"/>
      <c r="O652" s="18"/>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row>
    <row r="653">
      <c r="A653" s="18"/>
      <c r="B653" s="2"/>
      <c r="C653" s="18"/>
      <c r="D653" s="18"/>
      <c r="E653" s="18"/>
      <c r="F653" s="2"/>
      <c r="G653" s="2"/>
      <c r="H653" s="2"/>
      <c r="I653" s="2"/>
      <c r="J653" s="2"/>
      <c r="K653" s="2"/>
      <c r="L653" s="18"/>
      <c r="M653" s="2"/>
      <c r="N653" s="18"/>
      <c r="O653" s="18"/>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row>
    <row r="654">
      <c r="A654" s="18"/>
      <c r="B654" s="2"/>
      <c r="C654" s="18"/>
      <c r="D654" s="18"/>
      <c r="E654" s="18"/>
      <c r="F654" s="2"/>
      <c r="G654" s="2"/>
      <c r="H654" s="2"/>
      <c r="I654" s="2"/>
      <c r="J654" s="2"/>
      <c r="K654" s="2"/>
      <c r="L654" s="18"/>
      <c r="M654" s="2"/>
      <c r="N654" s="18"/>
      <c r="O654" s="18"/>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row>
    <row r="655">
      <c r="A655" s="18"/>
      <c r="B655" s="2"/>
      <c r="C655" s="18"/>
      <c r="D655" s="18"/>
      <c r="E655" s="18"/>
      <c r="F655" s="2"/>
      <c r="G655" s="2"/>
      <c r="H655" s="2"/>
      <c r="I655" s="2"/>
      <c r="J655" s="2"/>
      <c r="K655" s="2"/>
      <c r="L655" s="18"/>
      <c r="M655" s="2"/>
      <c r="N655" s="18"/>
      <c r="O655" s="18"/>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row>
    <row r="656">
      <c r="A656" s="18"/>
      <c r="B656" s="2"/>
      <c r="C656" s="18"/>
      <c r="D656" s="18"/>
      <c r="E656" s="18"/>
      <c r="F656" s="2"/>
      <c r="G656" s="2"/>
      <c r="H656" s="2"/>
      <c r="I656" s="2"/>
      <c r="J656" s="2"/>
      <c r="K656" s="2"/>
      <c r="L656" s="18"/>
      <c r="M656" s="2"/>
      <c r="N656" s="18"/>
      <c r="O656" s="18"/>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row>
    <row r="657">
      <c r="A657" s="18"/>
      <c r="B657" s="2"/>
      <c r="C657" s="18"/>
      <c r="D657" s="18"/>
      <c r="E657" s="18"/>
      <c r="F657" s="2"/>
      <c r="G657" s="2"/>
      <c r="H657" s="2"/>
      <c r="I657" s="2"/>
      <c r="J657" s="2"/>
      <c r="K657" s="2"/>
      <c r="L657" s="18"/>
      <c r="M657" s="2"/>
      <c r="N657" s="18"/>
      <c r="O657" s="18"/>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row>
    <row r="658">
      <c r="A658" s="18"/>
      <c r="B658" s="2"/>
      <c r="C658" s="18"/>
      <c r="D658" s="18"/>
      <c r="E658" s="18"/>
      <c r="F658" s="2"/>
      <c r="G658" s="2"/>
      <c r="H658" s="2"/>
      <c r="I658" s="2"/>
      <c r="J658" s="2"/>
      <c r="K658" s="2"/>
      <c r="L658" s="18"/>
      <c r="M658" s="2"/>
      <c r="N658" s="18"/>
      <c r="O658" s="18"/>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row>
    <row r="659">
      <c r="A659" s="18"/>
      <c r="B659" s="2"/>
      <c r="C659" s="18"/>
      <c r="D659" s="18"/>
      <c r="E659" s="18"/>
      <c r="F659" s="2"/>
      <c r="G659" s="2"/>
      <c r="H659" s="2"/>
      <c r="I659" s="2"/>
      <c r="J659" s="2"/>
      <c r="K659" s="2"/>
      <c r="L659" s="18"/>
      <c r="M659" s="2"/>
      <c r="N659" s="18"/>
      <c r="O659" s="18"/>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row>
    <row r="660">
      <c r="A660" s="18"/>
      <c r="B660" s="2"/>
      <c r="C660" s="18"/>
      <c r="D660" s="18"/>
      <c r="E660" s="18"/>
      <c r="F660" s="2"/>
      <c r="G660" s="2"/>
      <c r="H660" s="2"/>
      <c r="I660" s="2"/>
      <c r="J660" s="2"/>
      <c r="K660" s="2"/>
      <c r="L660" s="18"/>
      <c r="M660" s="2"/>
      <c r="N660" s="18"/>
      <c r="O660" s="18"/>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row>
    <row r="661">
      <c r="A661" s="18"/>
      <c r="B661" s="2"/>
      <c r="C661" s="18"/>
      <c r="D661" s="18"/>
      <c r="E661" s="18"/>
      <c r="F661" s="2"/>
      <c r="G661" s="2"/>
      <c r="H661" s="2"/>
      <c r="I661" s="2"/>
      <c r="J661" s="2"/>
      <c r="K661" s="2"/>
      <c r="L661" s="18"/>
      <c r="M661" s="2"/>
      <c r="N661" s="18"/>
      <c r="O661" s="18"/>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row>
    <row r="662">
      <c r="A662" s="18"/>
      <c r="B662" s="2"/>
      <c r="C662" s="18"/>
      <c r="D662" s="18"/>
      <c r="E662" s="18"/>
      <c r="F662" s="2"/>
      <c r="G662" s="2"/>
      <c r="H662" s="2"/>
      <c r="I662" s="2"/>
      <c r="J662" s="2"/>
      <c r="K662" s="2"/>
      <c r="L662" s="18"/>
      <c r="M662" s="2"/>
      <c r="N662" s="18"/>
      <c r="O662" s="18"/>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row>
    <row r="663">
      <c r="A663" s="18"/>
      <c r="B663" s="2"/>
      <c r="C663" s="18"/>
      <c r="D663" s="18"/>
      <c r="E663" s="18"/>
      <c r="F663" s="2"/>
      <c r="G663" s="2"/>
      <c r="H663" s="2"/>
      <c r="I663" s="2"/>
      <c r="J663" s="2"/>
      <c r="K663" s="2"/>
      <c r="L663" s="18"/>
      <c r="M663" s="2"/>
      <c r="N663" s="18"/>
      <c r="O663" s="18"/>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row>
    <row r="664">
      <c r="A664" s="18"/>
      <c r="B664" s="2"/>
      <c r="C664" s="18"/>
      <c r="D664" s="18"/>
      <c r="E664" s="18"/>
      <c r="F664" s="2"/>
      <c r="G664" s="2"/>
      <c r="H664" s="2"/>
      <c r="I664" s="2"/>
      <c r="J664" s="2"/>
      <c r="K664" s="2"/>
      <c r="L664" s="18"/>
      <c r="M664" s="2"/>
      <c r="N664" s="18"/>
      <c r="O664" s="18"/>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row>
    <row r="665">
      <c r="A665" s="18"/>
      <c r="B665" s="2"/>
      <c r="C665" s="18"/>
      <c r="D665" s="18"/>
      <c r="E665" s="18"/>
      <c r="F665" s="2"/>
      <c r="G665" s="2"/>
      <c r="H665" s="2"/>
      <c r="I665" s="2"/>
      <c r="J665" s="2"/>
      <c r="K665" s="2"/>
      <c r="L665" s="18"/>
      <c r="M665" s="2"/>
      <c r="N665" s="18"/>
      <c r="O665" s="18"/>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row>
    <row r="666">
      <c r="A666" s="18"/>
      <c r="B666" s="2"/>
      <c r="C666" s="18"/>
      <c r="D666" s="18"/>
      <c r="E666" s="18"/>
      <c r="F666" s="2"/>
      <c r="G666" s="2"/>
      <c r="H666" s="2"/>
      <c r="I666" s="2"/>
      <c r="J666" s="2"/>
      <c r="K666" s="2"/>
      <c r="L666" s="18"/>
      <c r="M666" s="2"/>
      <c r="N666" s="18"/>
      <c r="O666" s="18"/>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row>
    <row r="667">
      <c r="A667" s="18"/>
      <c r="B667" s="2"/>
      <c r="C667" s="18"/>
      <c r="D667" s="18"/>
      <c r="E667" s="18"/>
      <c r="F667" s="2"/>
      <c r="G667" s="2"/>
      <c r="H667" s="2"/>
      <c r="I667" s="2"/>
      <c r="J667" s="2"/>
      <c r="K667" s="2"/>
      <c r="L667" s="18"/>
      <c r="M667" s="2"/>
      <c r="N667" s="18"/>
      <c r="O667" s="18"/>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row>
    <row r="668">
      <c r="A668" s="18"/>
      <c r="B668" s="2"/>
      <c r="C668" s="18"/>
      <c r="D668" s="18"/>
      <c r="E668" s="18"/>
      <c r="F668" s="2"/>
      <c r="G668" s="2"/>
      <c r="H668" s="2"/>
      <c r="I668" s="2"/>
      <c r="J668" s="2"/>
      <c r="K668" s="2"/>
      <c r="L668" s="18"/>
      <c r="M668" s="2"/>
      <c r="N668" s="18"/>
      <c r="O668" s="18"/>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row>
    <row r="669">
      <c r="A669" s="18"/>
      <c r="B669" s="2"/>
      <c r="C669" s="18"/>
      <c r="D669" s="18"/>
      <c r="E669" s="18"/>
      <c r="F669" s="2"/>
      <c r="G669" s="2"/>
      <c r="H669" s="2"/>
      <c r="I669" s="2"/>
      <c r="J669" s="2"/>
      <c r="K669" s="2"/>
      <c r="L669" s="18"/>
      <c r="M669" s="2"/>
      <c r="N669" s="18"/>
      <c r="O669" s="18"/>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row>
    <row r="670">
      <c r="A670" s="18"/>
      <c r="B670" s="2"/>
      <c r="C670" s="18"/>
      <c r="D670" s="18"/>
      <c r="E670" s="18"/>
      <c r="F670" s="2"/>
      <c r="G670" s="2"/>
      <c r="H670" s="2"/>
      <c r="I670" s="2"/>
      <c r="J670" s="2"/>
      <c r="K670" s="2"/>
      <c r="L670" s="18"/>
      <c r="M670" s="2"/>
      <c r="N670" s="18"/>
      <c r="O670" s="18"/>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row>
    <row r="671">
      <c r="A671" s="18"/>
      <c r="B671" s="2"/>
      <c r="C671" s="18"/>
      <c r="D671" s="18"/>
      <c r="E671" s="18"/>
      <c r="F671" s="2"/>
      <c r="G671" s="2"/>
      <c r="H671" s="2"/>
      <c r="I671" s="2"/>
      <c r="J671" s="2"/>
      <c r="K671" s="2"/>
      <c r="L671" s="18"/>
      <c r="M671" s="2"/>
      <c r="N671" s="18"/>
      <c r="O671" s="18"/>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row>
    <row r="672">
      <c r="A672" s="18"/>
      <c r="B672" s="2"/>
      <c r="C672" s="18"/>
      <c r="D672" s="18"/>
      <c r="E672" s="18"/>
      <c r="F672" s="2"/>
      <c r="G672" s="2"/>
      <c r="H672" s="2"/>
      <c r="I672" s="2"/>
      <c r="J672" s="2"/>
      <c r="K672" s="2"/>
      <c r="L672" s="18"/>
      <c r="M672" s="2"/>
      <c r="N672" s="18"/>
      <c r="O672" s="18"/>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row>
    <row r="673">
      <c r="A673" s="18"/>
      <c r="B673" s="2"/>
      <c r="C673" s="18"/>
      <c r="D673" s="18"/>
      <c r="E673" s="18"/>
      <c r="F673" s="2"/>
      <c r="G673" s="2"/>
      <c r="H673" s="2"/>
      <c r="I673" s="2"/>
      <c r="J673" s="2"/>
      <c r="K673" s="2"/>
      <c r="L673" s="18"/>
      <c r="M673" s="2"/>
      <c r="N673" s="18"/>
      <c r="O673" s="18"/>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row>
    <row r="674">
      <c r="A674" s="18"/>
      <c r="B674" s="2"/>
      <c r="C674" s="18"/>
      <c r="D674" s="18"/>
      <c r="E674" s="18"/>
      <c r="F674" s="2"/>
      <c r="G674" s="2"/>
      <c r="H674" s="2"/>
      <c r="I674" s="2"/>
      <c r="J674" s="2"/>
      <c r="K674" s="2"/>
      <c r="L674" s="18"/>
      <c r="M674" s="2"/>
      <c r="N674" s="18"/>
      <c r="O674" s="18"/>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row>
    <row r="675">
      <c r="A675" s="18"/>
      <c r="B675" s="2"/>
      <c r="C675" s="18"/>
      <c r="D675" s="18"/>
      <c r="E675" s="18"/>
      <c r="F675" s="2"/>
      <c r="G675" s="2"/>
      <c r="H675" s="2"/>
      <c r="I675" s="2"/>
      <c r="J675" s="2"/>
      <c r="K675" s="2"/>
      <c r="L675" s="18"/>
      <c r="M675" s="2"/>
      <c r="N675" s="18"/>
      <c r="O675" s="18"/>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row>
    <row r="676">
      <c r="A676" s="18"/>
      <c r="B676" s="2"/>
      <c r="C676" s="18"/>
      <c r="D676" s="18"/>
      <c r="E676" s="18"/>
      <c r="F676" s="2"/>
      <c r="G676" s="2"/>
      <c r="H676" s="2"/>
      <c r="I676" s="2"/>
      <c r="J676" s="2"/>
      <c r="K676" s="2"/>
      <c r="L676" s="18"/>
      <c r="M676" s="2"/>
      <c r="N676" s="18"/>
      <c r="O676" s="18"/>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row>
    <row r="677">
      <c r="A677" s="18"/>
      <c r="B677" s="2"/>
      <c r="C677" s="18"/>
      <c r="D677" s="18"/>
      <c r="E677" s="18"/>
      <c r="F677" s="2"/>
      <c r="G677" s="2"/>
      <c r="H677" s="2"/>
      <c r="I677" s="2"/>
      <c r="J677" s="2"/>
      <c r="K677" s="2"/>
      <c r="L677" s="18"/>
      <c r="M677" s="2"/>
      <c r="N677" s="18"/>
      <c r="O677" s="18"/>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row>
    <row r="678">
      <c r="A678" s="18"/>
      <c r="B678" s="2"/>
      <c r="C678" s="18"/>
      <c r="D678" s="18"/>
      <c r="E678" s="18"/>
      <c r="F678" s="2"/>
      <c r="G678" s="2"/>
      <c r="H678" s="2"/>
      <c r="I678" s="2"/>
      <c r="J678" s="2"/>
      <c r="K678" s="2"/>
      <c r="L678" s="18"/>
      <c r="M678" s="2"/>
      <c r="N678" s="18"/>
      <c r="O678" s="18"/>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row>
    <row r="679">
      <c r="A679" s="18"/>
      <c r="B679" s="2"/>
      <c r="C679" s="18"/>
      <c r="D679" s="18"/>
      <c r="E679" s="18"/>
      <c r="F679" s="2"/>
      <c r="G679" s="2"/>
      <c r="H679" s="2"/>
      <c r="I679" s="2"/>
      <c r="J679" s="2"/>
      <c r="K679" s="2"/>
      <c r="L679" s="18"/>
      <c r="M679" s="2"/>
      <c r="N679" s="18"/>
      <c r="O679" s="18"/>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row>
    <row r="680">
      <c r="A680" s="18"/>
      <c r="B680" s="2"/>
      <c r="C680" s="18"/>
      <c r="D680" s="18"/>
      <c r="E680" s="18"/>
      <c r="F680" s="2"/>
      <c r="G680" s="2"/>
      <c r="H680" s="2"/>
      <c r="I680" s="2"/>
      <c r="J680" s="2"/>
      <c r="K680" s="2"/>
      <c r="L680" s="18"/>
      <c r="M680" s="2"/>
      <c r="N680" s="18"/>
      <c r="O680" s="18"/>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row>
    <row r="681">
      <c r="A681" s="18"/>
      <c r="B681" s="2"/>
      <c r="C681" s="18"/>
      <c r="D681" s="18"/>
      <c r="E681" s="18"/>
      <c r="F681" s="2"/>
      <c r="G681" s="2"/>
      <c r="H681" s="2"/>
      <c r="I681" s="2"/>
      <c r="J681" s="2"/>
      <c r="K681" s="2"/>
      <c r="L681" s="18"/>
      <c r="M681" s="2"/>
      <c r="N681" s="18"/>
      <c r="O681" s="18"/>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row>
    <row r="682">
      <c r="A682" s="18"/>
      <c r="B682" s="2"/>
      <c r="C682" s="18"/>
      <c r="D682" s="18"/>
      <c r="E682" s="18"/>
      <c r="F682" s="2"/>
      <c r="G682" s="2"/>
      <c r="H682" s="2"/>
      <c r="I682" s="2"/>
      <c r="J682" s="2"/>
      <c r="K682" s="2"/>
      <c r="L682" s="18"/>
      <c r="M682" s="2"/>
      <c r="N682" s="18"/>
      <c r="O682" s="18"/>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row>
    <row r="683">
      <c r="A683" s="18"/>
      <c r="B683" s="2"/>
      <c r="C683" s="18"/>
      <c r="D683" s="18"/>
      <c r="E683" s="18"/>
      <c r="F683" s="2"/>
      <c r="G683" s="2"/>
      <c r="H683" s="2"/>
      <c r="I683" s="2"/>
      <c r="J683" s="2"/>
      <c r="K683" s="2"/>
      <c r="L683" s="18"/>
      <c r="M683" s="2"/>
      <c r="N683" s="18"/>
      <c r="O683" s="18"/>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row>
    <row r="684">
      <c r="A684" s="18"/>
      <c r="B684" s="2"/>
      <c r="C684" s="18"/>
      <c r="D684" s="18"/>
      <c r="E684" s="18"/>
      <c r="F684" s="2"/>
      <c r="G684" s="2"/>
      <c r="H684" s="2"/>
      <c r="I684" s="2"/>
      <c r="J684" s="2"/>
      <c r="K684" s="2"/>
      <c r="L684" s="18"/>
      <c r="M684" s="2"/>
      <c r="N684" s="18"/>
      <c r="O684" s="18"/>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row>
    <row r="685">
      <c r="A685" s="18"/>
      <c r="B685" s="2"/>
      <c r="C685" s="18"/>
      <c r="D685" s="18"/>
      <c r="E685" s="18"/>
      <c r="F685" s="2"/>
      <c r="G685" s="2"/>
      <c r="H685" s="2"/>
      <c r="I685" s="2"/>
      <c r="J685" s="2"/>
      <c r="K685" s="2"/>
      <c r="L685" s="18"/>
      <c r="M685" s="2"/>
      <c r="N685" s="18"/>
      <c r="O685" s="18"/>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row>
    <row r="686">
      <c r="A686" s="18"/>
      <c r="B686" s="2"/>
      <c r="C686" s="18"/>
      <c r="D686" s="18"/>
      <c r="E686" s="18"/>
      <c r="F686" s="2"/>
      <c r="G686" s="2"/>
      <c r="H686" s="2"/>
      <c r="I686" s="2"/>
      <c r="J686" s="2"/>
      <c r="K686" s="2"/>
      <c r="L686" s="18"/>
      <c r="M686" s="2"/>
      <c r="N686" s="18"/>
      <c r="O686" s="18"/>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row>
    <row r="687">
      <c r="A687" s="18"/>
      <c r="B687" s="2"/>
      <c r="C687" s="18"/>
      <c r="D687" s="18"/>
      <c r="E687" s="18"/>
      <c r="F687" s="2"/>
      <c r="G687" s="2"/>
      <c r="H687" s="2"/>
      <c r="I687" s="2"/>
      <c r="J687" s="2"/>
      <c r="K687" s="2"/>
      <c r="L687" s="18"/>
      <c r="M687" s="2"/>
      <c r="N687" s="18"/>
      <c r="O687" s="18"/>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row>
    <row r="688">
      <c r="A688" s="18"/>
      <c r="B688" s="2"/>
      <c r="C688" s="18"/>
      <c r="D688" s="18"/>
      <c r="E688" s="18"/>
      <c r="F688" s="2"/>
      <c r="G688" s="2"/>
      <c r="H688" s="2"/>
      <c r="I688" s="2"/>
      <c r="J688" s="2"/>
      <c r="K688" s="2"/>
      <c r="L688" s="18"/>
      <c r="M688" s="2"/>
      <c r="N688" s="18"/>
      <c r="O688" s="18"/>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row>
    <row r="689">
      <c r="A689" s="18"/>
      <c r="B689" s="2"/>
      <c r="C689" s="18"/>
      <c r="D689" s="18"/>
      <c r="E689" s="18"/>
      <c r="F689" s="2"/>
      <c r="G689" s="2"/>
      <c r="H689" s="2"/>
      <c r="I689" s="2"/>
      <c r="J689" s="2"/>
      <c r="K689" s="2"/>
      <c r="L689" s="18"/>
      <c r="M689" s="2"/>
      <c r="N689" s="18"/>
      <c r="O689" s="18"/>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row>
    <row r="690">
      <c r="A690" s="18"/>
      <c r="B690" s="2"/>
      <c r="C690" s="18"/>
      <c r="D690" s="18"/>
      <c r="E690" s="18"/>
      <c r="F690" s="2"/>
      <c r="G690" s="2"/>
      <c r="H690" s="2"/>
      <c r="I690" s="2"/>
      <c r="J690" s="2"/>
      <c r="K690" s="2"/>
      <c r="L690" s="18"/>
      <c r="M690" s="2"/>
      <c r="N690" s="18"/>
      <c r="O690" s="18"/>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row>
    <row r="691">
      <c r="A691" s="18"/>
      <c r="B691" s="2"/>
      <c r="C691" s="18"/>
      <c r="D691" s="18"/>
      <c r="E691" s="18"/>
      <c r="F691" s="2"/>
      <c r="G691" s="2"/>
      <c r="H691" s="2"/>
      <c r="I691" s="2"/>
      <c r="J691" s="2"/>
      <c r="K691" s="2"/>
      <c r="L691" s="18"/>
      <c r="M691" s="2"/>
      <c r="N691" s="18"/>
      <c r="O691" s="18"/>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row>
    <row r="692">
      <c r="A692" s="18"/>
      <c r="B692" s="2"/>
      <c r="C692" s="18"/>
      <c r="D692" s="18"/>
      <c r="E692" s="18"/>
      <c r="F692" s="2"/>
      <c r="G692" s="2"/>
      <c r="H692" s="2"/>
      <c r="I692" s="2"/>
      <c r="J692" s="2"/>
      <c r="K692" s="2"/>
      <c r="L692" s="18"/>
      <c r="M692" s="2"/>
      <c r="N692" s="18"/>
      <c r="O692" s="18"/>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row>
    <row r="693">
      <c r="A693" s="18"/>
      <c r="B693" s="2"/>
      <c r="C693" s="18"/>
      <c r="D693" s="18"/>
      <c r="E693" s="18"/>
      <c r="F693" s="2"/>
      <c r="G693" s="2"/>
      <c r="H693" s="2"/>
      <c r="I693" s="2"/>
      <c r="J693" s="2"/>
      <c r="K693" s="2"/>
      <c r="L693" s="18"/>
      <c r="M693" s="2"/>
      <c r="N693" s="18"/>
      <c r="O693" s="18"/>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row>
    <row r="694">
      <c r="A694" s="18"/>
      <c r="B694" s="2"/>
      <c r="C694" s="18"/>
      <c r="D694" s="18"/>
      <c r="E694" s="18"/>
      <c r="F694" s="2"/>
      <c r="G694" s="2"/>
      <c r="H694" s="2"/>
      <c r="I694" s="2"/>
      <c r="J694" s="2"/>
      <c r="K694" s="2"/>
      <c r="L694" s="18"/>
      <c r="M694" s="2"/>
      <c r="N694" s="18"/>
      <c r="O694" s="18"/>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row>
    <row r="695">
      <c r="A695" s="18"/>
      <c r="B695" s="2"/>
      <c r="C695" s="18"/>
      <c r="D695" s="18"/>
      <c r="E695" s="18"/>
      <c r="F695" s="2"/>
      <c r="G695" s="2"/>
      <c r="H695" s="2"/>
      <c r="I695" s="2"/>
      <c r="J695" s="2"/>
      <c r="K695" s="2"/>
      <c r="L695" s="18"/>
      <c r="M695" s="2"/>
      <c r="N695" s="18"/>
      <c r="O695" s="18"/>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row>
    <row r="696">
      <c r="A696" s="18"/>
      <c r="B696" s="2"/>
      <c r="C696" s="18"/>
      <c r="D696" s="18"/>
      <c r="E696" s="18"/>
      <c r="F696" s="2"/>
      <c r="G696" s="2"/>
      <c r="H696" s="2"/>
      <c r="I696" s="2"/>
      <c r="J696" s="2"/>
      <c r="K696" s="2"/>
      <c r="L696" s="18"/>
      <c r="M696" s="2"/>
      <c r="N696" s="18"/>
      <c r="O696" s="18"/>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row>
    <row r="697">
      <c r="A697" s="18"/>
      <c r="B697" s="2"/>
      <c r="C697" s="18"/>
      <c r="D697" s="18"/>
      <c r="E697" s="18"/>
      <c r="F697" s="2"/>
      <c r="G697" s="2"/>
      <c r="H697" s="2"/>
      <c r="I697" s="2"/>
      <c r="J697" s="2"/>
      <c r="K697" s="2"/>
      <c r="L697" s="18"/>
      <c r="M697" s="2"/>
      <c r="N697" s="18"/>
      <c r="O697" s="18"/>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row>
    <row r="698">
      <c r="A698" s="18"/>
      <c r="B698" s="2"/>
      <c r="C698" s="18"/>
      <c r="D698" s="18"/>
      <c r="E698" s="18"/>
      <c r="F698" s="2"/>
      <c r="G698" s="2"/>
      <c r="H698" s="2"/>
      <c r="I698" s="2"/>
      <c r="J698" s="2"/>
      <c r="K698" s="2"/>
      <c r="L698" s="18"/>
      <c r="M698" s="2"/>
      <c r="N698" s="18"/>
      <c r="O698" s="18"/>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row>
    <row r="699">
      <c r="A699" s="18"/>
      <c r="B699" s="2"/>
      <c r="C699" s="18"/>
      <c r="D699" s="18"/>
      <c r="E699" s="18"/>
      <c r="F699" s="2"/>
      <c r="G699" s="2"/>
      <c r="H699" s="2"/>
      <c r="I699" s="2"/>
      <c r="J699" s="2"/>
      <c r="K699" s="2"/>
      <c r="L699" s="18"/>
      <c r="M699" s="2"/>
      <c r="N699" s="18"/>
      <c r="O699" s="18"/>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row>
    <row r="700">
      <c r="A700" s="18"/>
      <c r="B700" s="2"/>
      <c r="C700" s="18"/>
      <c r="D700" s="18"/>
      <c r="E700" s="18"/>
      <c r="F700" s="2"/>
      <c r="G700" s="2"/>
      <c r="H700" s="2"/>
      <c r="I700" s="2"/>
      <c r="J700" s="2"/>
      <c r="K700" s="2"/>
      <c r="L700" s="18"/>
      <c r="M700" s="2"/>
      <c r="N700" s="18"/>
      <c r="O700" s="18"/>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row>
    <row r="701">
      <c r="A701" s="18"/>
      <c r="B701" s="2"/>
      <c r="C701" s="18"/>
      <c r="D701" s="18"/>
      <c r="E701" s="18"/>
      <c r="F701" s="2"/>
      <c r="G701" s="2"/>
      <c r="H701" s="2"/>
      <c r="I701" s="2"/>
      <c r="J701" s="2"/>
      <c r="K701" s="2"/>
      <c r="L701" s="18"/>
      <c r="M701" s="2"/>
      <c r="N701" s="18"/>
      <c r="O701" s="18"/>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row>
    <row r="702">
      <c r="A702" s="18"/>
      <c r="B702" s="2"/>
      <c r="C702" s="18"/>
      <c r="D702" s="18"/>
      <c r="E702" s="18"/>
      <c r="F702" s="2"/>
      <c r="G702" s="2"/>
      <c r="H702" s="2"/>
      <c r="I702" s="2"/>
      <c r="J702" s="2"/>
      <c r="K702" s="2"/>
      <c r="L702" s="18"/>
      <c r="M702" s="2"/>
      <c r="N702" s="18"/>
      <c r="O702" s="18"/>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row>
    <row r="703">
      <c r="A703" s="18"/>
      <c r="B703" s="2"/>
      <c r="C703" s="18"/>
      <c r="D703" s="18"/>
      <c r="E703" s="18"/>
      <c r="F703" s="2"/>
      <c r="G703" s="2"/>
      <c r="H703" s="2"/>
      <c r="I703" s="2"/>
      <c r="J703" s="2"/>
      <c r="K703" s="2"/>
      <c r="L703" s="18"/>
      <c r="M703" s="2"/>
      <c r="N703" s="18"/>
      <c r="O703" s="18"/>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row>
    <row r="704">
      <c r="A704" s="18"/>
      <c r="B704" s="2"/>
      <c r="C704" s="18"/>
      <c r="D704" s="18"/>
      <c r="E704" s="18"/>
      <c r="F704" s="2"/>
      <c r="G704" s="2"/>
      <c r="H704" s="2"/>
      <c r="I704" s="2"/>
      <c r="J704" s="2"/>
      <c r="K704" s="2"/>
      <c r="L704" s="18"/>
      <c r="M704" s="2"/>
      <c r="N704" s="18"/>
      <c r="O704" s="18"/>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row>
    <row r="705">
      <c r="A705" s="18"/>
      <c r="B705" s="2"/>
      <c r="C705" s="18"/>
      <c r="D705" s="18"/>
      <c r="E705" s="18"/>
      <c r="F705" s="2"/>
      <c r="G705" s="2"/>
      <c r="H705" s="2"/>
      <c r="I705" s="2"/>
      <c r="J705" s="2"/>
      <c r="K705" s="2"/>
      <c r="L705" s="18"/>
      <c r="M705" s="2"/>
      <c r="N705" s="18"/>
      <c r="O705" s="18"/>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row>
    <row r="706">
      <c r="A706" s="18"/>
      <c r="B706" s="2"/>
      <c r="C706" s="18"/>
      <c r="D706" s="18"/>
      <c r="E706" s="18"/>
      <c r="F706" s="2"/>
      <c r="G706" s="2"/>
      <c r="H706" s="2"/>
      <c r="I706" s="2"/>
      <c r="J706" s="2"/>
      <c r="K706" s="2"/>
      <c r="L706" s="18"/>
      <c r="M706" s="2"/>
      <c r="N706" s="18"/>
      <c r="O706" s="18"/>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row>
    <row r="707">
      <c r="A707" s="18"/>
      <c r="B707" s="2"/>
      <c r="C707" s="18"/>
      <c r="D707" s="18"/>
      <c r="E707" s="18"/>
      <c r="F707" s="2"/>
      <c r="G707" s="2"/>
      <c r="H707" s="2"/>
      <c r="I707" s="2"/>
      <c r="J707" s="2"/>
      <c r="K707" s="2"/>
      <c r="L707" s="18"/>
      <c r="M707" s="2"/>
      <c r="N707" s="18"/>
      <c r="O707" s="18"/>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row>
    <row r="708">
      <c r="A708" s="18"/>
      <c r="B708" s="2"/>
      <c r="C708" s="18"/>
      <c r="D708" s="18"/>
      <c r="E708" s="18"/>
      <c r="F708" s="2"/>
      <c r="G708" s="2"/>
      <c r="H708" s="2"/>
      <c r="I708" s="2"/>
      <c r="J708" s="2"/>
      <c r="K708" s="2"/>
      <c r="L708" s="18"/>
      <c r="M708" s="2"/>
      <c r="N708" s="18"/>
      <c r="O708" s="18"/>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row>
    <row r="709">
      <c r="A709" s="18"/>
      <c r="B709" s="2"/>
      <c r="C709" s="18"/>
      <c r="D709" s="18"/>
      <c r="E709" s="18"/>
      <c r="F709" s="2"/>
      <c r="G709" s="2"/>
      <c r="H709" s="2"/>
      <c r="I709" s="2"/>
      <c r="J709" s="2"/>
      <c r="K709" s="2"/>
      <c r="L709" s="18"/>
      <c r="M709" s="2"/>
      <c r="N709" s="18"/>
      <c r="O709" s="18"/>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row>
    <row r="710">
      <c r="A710" s="18"/>
      <c r="B710" s="2"/>
      <c r="C710" s="18"/>
      <c r="D710" s="18"/>
      <c r="E710" s="18"/>
      <c r="F710" s="2"/>
      <c r="G710" s="2"/>
      <c r="H710" s="2"/>
      <c r="I710" s="2"/>
      <c r="J710" s="2"/>
      <c r="K710" s="2"/>
      <c r="L710" s="18"/>
      <c r="M710" s="2"/>
      <c r="N710" s="18"/>
      <c r="O710" s="18"/>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row>
    <row r="711">
      <c r="A711" s="18"/>
      <c r="B711" s="2"/>
      <c r="C711" s="18"/>
      <c r="D711" s="18"/>
      <c r="E711" s="18"/>
      <c r="F711" s="2"/>
      <c r="G711" s="2"/>
      <c r="H711" s="2"/>
      <c r="I711" s="2"/>
      <c r="J711" s="2"/>
      <c r="K711" s="2"/>
      <c r="L711" s="18"/>
      <c r="M711" s="2"/>
      <c r="N711" s="18"/>
      <c r="O711" s="18"/>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row>
    <row r="712">
      <c r="A712" s="18"/>
      <c r="B712" s="2"/>
      <c r="C712" s="18"/>
      <c r="D712" s="18"/>
      <c r="E712" s="18"/>
      <c r="F712" s="2"/>
      <c r="G712" s="2"/>
      <c r="H712" s="2"/>
      <c r="I712" s="2"/>
      <c r="J712" s="2"/>
      <c r="K712" s="2"/>
      <c r="L712" s="18"/>
      <c r="M712" s="2"/>
      <c r="N712" s="18"/>
      <c r="O712" s="18"/>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row>
    <row r="713">
      <c r="A713" s="18"/>
      <c r="B713" s="2"/>
      <c r="C713" s="18"/>
      <c r="D713" s="18"/>
      <c r="E713" s="18"/>
      <c r="F713" s="2"/>
      <c r="G713" s="2"/>
      <c r="H713" s="2"/>
      <c r="I713" s="2"/>
      <c r="J713" s="2"/>
      <c r="K713" s="2"/>
      <c r="L713" s="18"/>
      <c r="M713" s="2"/>
      <c r="N713" s="18"/>
      <c r="O713" s="18"/>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row>
    <row r="714">
      <c r="A714" s="18"/>
      <c r="B714" s="2"/>
      <c r="C714" s="18"/>
      <c r="D714" s="18"/>
      <c r="E714" s="18"/>
      <c r="F714" s="2"/>
      <c r="G714" s="2"/>
      <c r="H714" s="2"/>
      <c r="I714" s="2"/>
      <c r="J714" s="2"/>
      <c r="K714" s="2"/>
      <c r="L714" s="18"/>
      <c r="M714" s="2"/>
      <c r="N714" s="18"/>
      <c r="O714" s="18"/>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row>
    <row r="715">
      <c r="A715" s="18"/>
      <c r="B715" s="2"/>
      <c r="C715" s="18"/>
      <c r="D715" s="18"/>
      <c r="E715" s="18"/>
      <c r="F715" s="2"/>
      <c r="G715" s="2"/>
      <c r="H715" s="2"/>
      <c r="I715" s="2"/>
      <c r="J715" s="2"/>
      <c r="K715" s="2"/>
      <c r="L715" s="18"/>
      <c r="M715" s="2"/>
      <c r="N715" s="18"/>
      <c r="O715" s="18"/>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row>
    <row r="716">
      <c r="A716" s="18"/>
      <c r="B716" s="2"/>
      <c r="C716" s="18"/>
      <c r="D716" s="18"/>
      <c r="E716" s="18"/>
      <c r="F716" s="2"/>
      <c r="G716" s="2"/>
      <c r="H716" s="2"/>
      <c r="I716" s="2"/>
      <c r="J716" s="2"/>
      <c r="K716" s="2"/>
      <c r="L716" s="18"/>
      <c r="M716" s="2"/>
      <c r="N716" s="18"/>
      <c r="O716" s="18"/>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row>
    <row r="717">
      <c r="A717" s="18"/>
      <c r="B717" s="2"/>
      <c r="C717" s="18"/>
      <c r="D717" s="18"/>
      <c r="E717" s="18"/>
      <c r="F717" s="2"/>
      <c r="G717" s="2"/>
      <c r="H717" s="2"/>
      <c r="I717" s="2"/>
      <c r="J717" s="2"/>
      <c r="K717" s="2"/>
      <c r="L717" s="18"/>
      <c r="M717" s="2"/>
      <c r="N717" s="18"/>
      <c r="O717" s="18"/>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row>
    <row r="718">
      <c r="A718" s="18"/>
      <c r="B718" s="2"/>
      <c r="C718" s="18"/>
      <c r="D718" s="18"/>
      <c r="E718" s="18"/>
      <c r="F718" s="2"/>
      <c r="G718" s="2"/>
      <c r="H718" s="2"/>
      <c r="I718" s="2"/>
      <c r="J718" s="2"/>
      <c r="K718" s="2"/>
      <c r="L718" s="18"/>
      <c r="M718" s="2"/>
      <c r="N718" s="18"/>
      <c r="O718" s="18"/>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row>
    <row r="719">
      <c r="A719" s="18"/>
      <c r="B719" s="2"/>
      <c r="C719" s="18"/>
      <c r="D719" s="18"/>
      <c r="E719" s="18"/>
      <c r="F719" s="2"/>
      <c r="G719" s="2"/>
      <c r="H719" s="2"/>
      <c r="I719" s="2"/>
      <c r="J719" s="2"/>
      <c r="K719" s="2"/>
      <c r="L719" s="18"/>
      <c r="M719" s="2"/>
      <c r="N719" s="18"/>
      <c r="O719" s="18"/>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row>
    <row r="720">
      <c r="A720" s="18"/>
      <c r="B720" s="2"/>
      <c r="C720" s="18"/>
      <c r="D720" s="18"/>
      <c r="E720" s="18"/>
      <c r="F720" s="2"/>
      <c r="G720" s="2"/>
      <c r="H720" s="2"/>
      <c r="I720" s="2"/>
      <c r="J720" s="2"/>
      <c r="K720" s="2"/>
      <c r="L720" s="18"/>
      <c r="M720" s="2"/>
      <c r="N720" s="18"/>
      <c r="O720" s="18"/>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row>
    <row r="721">
      <c r="A721" s="18"/>
      <c r="B721" s="2"/>
      <c r="C721" s="18"/>
      <c r="D721" s="18"/>
      <c r="E721" s="18"/>
      <c r="F721" s="2"/>
      <c r="G721" s="2"/>
      <c r="H721" s="2"/>
      <c r="I721" s="2"/>
      <c r="J721" s="2"/>
      <c r="K721" s="2"/>
      <c r="L721" s="18"/>
      <c r="M721" s="2"/>
      <c r="N721" s="18"/>
      <c r="O721" s="18"/>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row>
    <row r="722">
      <c r="A722" s="18"/>
      <c r="B722" s="2"/>
      <c r="C722" s="18"/>
      <c r="D722" s="18"/>
      <c r="E722" s="18"/>
      <c r="F722" s="2"/>
      <c r="G722" s="2"/>
      <c r="H722" s="2"/>
      <c r="I722" s="2"/>
      <c r="J722" s="2"/>
      <c r="K722" s="2"/>
      <c r="L722" s="18"/>
      <c r="M722" s="2"/>
      <c r="N722" s="18"/>
      <c r="O722" s="18"/>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row>
    <row r="723">
      <c r="A723" s="18"/>
      <c r="B723" s="2"/>
      <c r="C723" s="18"/>
      <c r="D723" s="18"/>
      <c r="E723" s="18"/>
      <c r="F723" s="2"/>
      <c r="G723" s="2"/>
      <c r="H723" s="2"/>
      <c r="I723" s="2"/>
      <c r="J723" s="2"/>
      <c r="K723" s="2"/>
      <c r="L723" s="18"/>
      <c r="M723" s="2"/>
      <c r="N723" s="18"/>
      <c r="O723" s="18"/>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row>
    <row r="724">
      <c r="A724" s="18"/>
      <c r="B724" s="2"/>
      <c r="C724" s="18"/>
      <c r="D724" s="18"/>
      <c r="E724" s="18"/>
      <c r="F724" s="2"/>
      <c r="G724" s="2"/>
      <c r="H724" s="2"/>
      <c r="I724" s="2"/>
      <c r="J724" s="2"/>
      <c r="K724" s="2"/>
      <c r="L724" s="18"/>
      <c r="M724" s="2"/>
      <c r="N724" s="18"/>
      <c r="O724" s="18"/>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row>
    <row r="725">
      <c r="A725" s="18"/>
      <c r="B725" s="2"/>
      <c r="C725" s="18"/>
      <c r="D725" s="18"/>
      <c r="E725" s="18"/>
      <c r="F725" s="2"/>
      <c r="G725" s="2"/>
      <c r="H725" s="2"/>
      <c r="I725" s="2"/>
      <c r="J725" s="2"/>
      <c r="K725" s="2"/>
      <c r="L725" s="18"/>
      <c r="M725" s="2"/>
      <c r="N725" s="18"/>
      <c r="O725" s="18"/>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row>
    <row r="726">
      <c r="A726" s="18"/>
      <c r="B726" s="2"/>
      <c r="C726" s="18"/>
      <c r="D726" s="18"/>
      <c r="E726" s="18"/>
      <c r="F726" s="2"/>
      <c r="G726" s="2"/>
      <c r="H726" s="2"/>
      <c r="I726" s="2"/>
      <c r="J726" s="2"/>
      <c r="K726" s="2"/>
      <c r="L726" s="18"/>
      <c r="M726" s="2"/>
      <c r="N726" s="18"/>
      <c r="O726" s="18"/>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row>
    <row r="727">
      <c r="A727" s="18"/>
      <c r="B727" s="2"/>
      <c r="C727" s="18"/>
      <c r="D727" s="18"/>
      <c r="E727" s="18"/>
      <c r="F727" s="2"/>
      <c r="G727" s="2"/>
      <c r="H727" s="2"/>
      <c r="I727" s="2"/>
      <c r="J727" s="2"/>
      <c r="K727" s="2"/>
      <c r="L727" s="18"/>
      <c r="M727" s="2"/>
      <c r="N727" s="18"/>
      <c r="O727" s="18"/>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row>
    <row r="728">
      <c r="A728" s="18"/>
      <c r="B728" s="2"/>
      <c r="C728" s="18"/>
      <c r="D728" s="18"/>
      <c r="E728" s="18"/>
      <c r="F728" s="2"/>
      <c r="G728" s="2"/>
      <c r="H728" s="2"/>
      <c r="I728" s="2"/>
      <c r="J728" s="2"/>
      <c r="K728" s="2"/>
      <c r="L728" s="18"/>
      <c r="M728" s="2"/>
      <c r="N728" s="18"/>
      <c r="O728" s="18"/>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row>
    <row r="729">
      <c r="A729" s="18"/>
      <c r="B729" s="2"/>
      <c r="C729" s="18"/>
      <c r="D729" s="18"/>
      <c r="E729" s="18"/>
      <c r="F729" s="2"/>
      <c r="G729" s="2"/>
      <c r="H729" s="2"/>
      <c r="I729" s="2"/>
      <c r="J729" s="2"/>
      <c r="K729" s="2"/>
      <c r="L729" s="18"/>
      <c r="M729" s="2"/>
      <c r="N729" s="18"/>
      <c r="O729" s="18"/>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row>
    <row r="730">
      <c r="A730" s="18"/>
      <c r="B730" s="2"/>
      <c r="C730" s="18"/>
      <c r="D730" s="18"/>
      <c r="E730" s="18"/>
      <c r="F730" s="2"/>
      <c r="G730" s="2"/>
      <c r="H730" s="2"/>
      <c r="I730" s="2"/>
      <c r="J730" s="2"/>
      <c r="K730" s="2"/>
      <c r="L730" s="18"/>
      <c r="M730" s="2"/>
      <c r="N730" s="18"/>
      <c r="O730" s="18"/>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row>
    <row r="731">
      <c r="A731" s="18"/>
      <c r="B731" s="2"/>
      <c r="C731" s="18"/>
      <c r="D731" s="18"/>
      <c r="E731" s="18"/>
      <c r="F731" s="2"/>
      <c r="G731" s="2"/>
      <c r="H731" s="2"/>
      <c r="I731" s="2"/>
      <c r="J731" s="2"/>
      <c r="K731" s="2"/>
      <c r="L731" s="18"/>
      <c r="M731" s="2"/>
      <c r="N731" s="18"/>
      <c r="O731" s="18"/>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row>
    <row r="732">
      <c r="A732" s="18"/>
      <c r="B732" s="2"/>
      <c r="C732" s="18"/>
      <c r="D732" s="18"/>
      <c r="E732" s="18"/>
      <c r="F732" s="2"/>
      <c r="G732" s="2"/>
      <c r="H732" s="2"/>
      <c r="I732" s="2"/>
      <c r="J732" s="2"/>
      <c r="K732" s="2"/>
      <c r="L732" s="18"/>
      <c r="M732" s="2"/>
      <c r="N732" s="18"/>
      <c r="O732" s="18"/>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row>
    <row r="733">
      <c r="A733" s="18"/>
      <c r="B733" s="2"/>
      <c r="C733" s="18"/>
      <c r="D733" s="18"/>
      <c r="E733" s="18"/>
      <c r="F733" s="2"/>
      <c r="G733" s="2"/>
      <c r="H733" s="2"/>
      <c r="I733" s="2"/>
      <c r="J733" s="2"/>
      <c r="K733" s="2"/>
      <c r="L733" s="18"/>
      <c r="M733" s="2"/>
      <c r="N733" s="18"/>
      <c r="O733" s="18"/>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row>
    <row r="734">
      <c r="A734" s="18"/>
      <c r="B734" s="2"/>
      <c r="C734" s="18"/>
      <c r="D734" s="18"/>
      <c r="E734" s="18"/>
      <c r="F734" s="2"/>
      <c r="G734" s="2"/>
      <c r="H734" s="2"/>
      <c r="I734" s="2"/>
      <c r="J734" s="2"/>
      <c r="K734" s="2"/>
      <c r="L734" s="18"/>
      <c r="M734" s="2"/>
      <c r="N734" s="18"/>
      <c r="O734" s="18"/>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row>
    <row r="735">
      <c r="A735" s="18"/>
      <c r="B735" s="2"/>
      <c r="C735" s="18"/>
      <c r="D735" s="18"/>
      <c r="E735" s="18"/>
      <c r="F735" s="2"/>
      <c r="G735" s="2"/>
      <c r="H735" s="2"/>
      <c r="I735" s="2"/>
      <c r="J735" s="2"/>
      <c r="K735" s="2"/>
      <c r="L735" s="18"/>
      <c r="M735" s="2"/>
      <c r="N735" s="18"/>
      <c r="O735" s="18"/>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row>
    <row r="736">
      <c r="A736" s="18"/>
      <c r="B736" s="2"/>
      <c r="C736" s="18"/>
      <c r="D736" s="18"/>
      <c r="E736" s="18"/>
      <c r="F736" s="2"/>
      <c r="G736" s="2"/>
      <c r="H736" s="2"/>
      <c r="I736" s="2"/>
      <c r="J736" s="2"/>
      <c r="K736" s="2"/>
      <c r="L736" s="18"/>
      <c r="M736" s="2"/>
      <c r="N736" s="18"/>
      <c r="O736" s="18"/>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row>
    <row r="737">
      <c r="A737" s="18"/>
      <c r="B737" s="2"/>
      <c r="C737" s="18"/>
      <c r="D737" s="18"/>
      <c r="E737" s="18"/>
      <c r="F737" s="2"/>
      <c r="G737" s="2"/>
      <c r="H737" s="2"/>
      <c r="I737" s="2"/>
      <c r="J737" s="2"/>
      <c r="K737" s="2"/>
      <c r="L737" s="18"/>
      <c r="M737" s="2"/>
      <c r="N737" s="18"/>
      <c r="O737" s="18"/>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row>
    <row r="738">
      <c r="A738" s="18"/>
      <c r="B738" s="2"/>
      <c r="C738" s="18"/>
      <c r="D738" s="18"/>
      <c r="E738" s="18"/>
      <c r="F738" s="2"/>
      <c r="G738" s="2"/>
      <c r="H738" s="2"/>
      <c r="I738" s="2"/>
      <c r="J738" s="2"/>
      <c r="K738" s="2"/>
      <c r="L738" s="18"/>
      <c r="M738" s="2"/>
      <c r="N738" s="18"/>
      <c r="O738" s="18"/>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row>
    <row r="739">
      <c r="A739" s="18"/>
      <c r="B739" s="2"/>
      <c r="C739" s="18"/>
      <c r="D739" s="18"/>
      <c r="E739" s="18"/>
      <c r="F739" s="2"/>
      <c r="G739" s="2"/>
      <c r="H739" s="2"/>
      <c r="I739" s="2"/>
      <c r="J739" s="2"/>
      <c r="K739" s="2"/>
      <c r="L739" s="18"/>
      <c r="M739" s="2"/>
      <c r="N739" s="18"/>
      <c r="O739" s="18"/>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row>
    <row r="740">
      <c r="A740" s="18"/>
      <c r="B740" s="2"/>
      <c r="C740" s="18"/>
      <c r="D740" s="18"/>
      <c r="E740" s="18"/>
      <c r="F740" s="2"/>
      <c r="G740" s="2"/>
      <c r="H740" s="2"/>
      <c r="I740" s="2"/>
      <c r="J740" s="2"/>
      <c r="K740" s="2"/>
      <c r="L740" s="18"/>
      <c r="M740" s="2"/>
      <c r="N740" s="18"/>
      <c r="O740" s="18"/>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row>
    <row r="741">
      <c r="A741" s="18"/>
      <c r="B741" s="2"/>
      <c r="C741" s="18"/>
      <c r="D741" s="18"/>
      <c r="E741" s="18"/>
      <c r="F741" s="2"/>
      <c r="G741" s="2"/>
      <c r="H741" s="2"/>
      <c r="I741" s="2"/>
      <c r="J741" s="2"/>
      <c r="K741" s="2"/>
      <c r="L741" s="18"/>
      <c r="M741" s="2"/>
      <c r="N741" s="18"/>
      <c r="O741" s="18"/>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row>
    <row r="742">
      <c r="A742" s="18"/>
      <c r="B742" s="2"/>
      <c r="C742" s="18"/>
      <c r="D742" s="18"/>
      <c r="E742" s="18"/>
      <c r="F742" s="2"/>
      <c r="G742" s="2"/>
      <c r="H742" s="2"/>
      <c r="I742" s="2"/>
      <c r="J742" s="2"/>
      <c r="K742" s="2"/>
      <c r="L742" s="18"/>
      <c r="M742" s="2"/>
      <c r="N742" s="18"/>
      <c r="O742" s="18"/>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row>
    <row r="743">
      <c r="A743" s="18"/>
      <c r="B743" s="2"/>
      <c r="C743" s="18"/>
      <c r="D743" s="18"/>
      <c r="E743" s="18"/>
      <c r="F743" s="2"/>
      <c r="G743" s="2"/>
      <c r="H743" s="2"/>
      <c r="I743" s="2"/>
      <c r="J743" s="2"/>
      <c r="K743" s="2"/>
      <c r="L743" s="18"/>
      <c r="M743" s="2"/>
      <c r="N743" s="18"/>
      <c r="O743" s="18"/>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row>
    <row r="744">
      <c r="A744" s="18"/>
      <c r="B744" s="2"/>
      <c r="C744" s="18"/>
      <c r="D744" s="18"/>
      <c r="E744" s="18"/>
      <c r="F744" s="2"/>
      <c r="G744" s="2"/>
      <c r="H744" s="2"/>
      <c r="I744" s="2"/>
      <c r="J744" s="2"/>
      <c r="K744" s="2"/>
      <c r="L744" s="18"/>
      <c r="M744" s="2"/>
      <c r="N744" s="18"/>
      <c r="O744" s="18"/>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row>
    <row r="745">
      <c r="A745" s="18"/>
      <c r="B745" s="2"/>
      <c r="C745" s="18"/>
      <c r="D745" s="18"/>
      <c r="E745" s="18"/>
      <c r="F745" s="2"/>
      <c r="G745" s="2"/>
      <c r="H745" s="2"/>
      <c r="I745" s="2"/>
      <c r="J745" s="2"/>
      <c r="K745" s="2"/>
      <c r="L745" s="18"/>
      <c r="M745" s="2"/>
      <c r="N745" s="18"/>
      <c r="O745" s="18"/>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row>
    <row r="746">
      <c r="A746" s="18"/>
      <c r="B746" s="2"/>
      <c r="C746" s="18"/>
      <c r="D746" s="18"/>
      <c r="E746" s="18"/>
      <c r="F746" s="2"/>
      <c r="G746" s="2"/>
      <c r="H746" s="2"/>
      <c r="I746" s="2"/>
      <c r="J746" s="2"/>
      <c r="K746" s="2"/>
      <c r="L746" s="18"/>
      <c r="M746" s="2"/>
      <c r="N746" s="18"/>
      <c r="O746" s="18"/>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row>
    <row r="747">
      <c r="A747" s="18"/>
      <c r="B747" s="2"/>
      <c r="C747" s="18"/>
      <c r="D747" s="18"/>
      <c r="E747" s="18"/>
      <c r="F747" s="2"/>
      <c r="G747" s="2"/>
      <c r="H747" s="2"/>
      <c r="I747" s="2"/>
      <c r="J747" s="2"/>
      <c r="K747" s="2"/>
      <c r="L747" s="18"/>
      <c r="M747" s="2"/>
      <c r="N747" s="18"/>
      <c r="O747" s="18"/>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row>
    <row r="748">
      <c r="A748" s="18"/>
      <c r="B748" s="2"/>
      <c r="C748" s="18"/>
      <c r="D748" s="18"/>
      <c r="E748" s="18"/>
      <c r="F748" s="2"/>
      <c r="G748" s="2"/>
      <c r="H748" s="2"/>
      <c r="I748" s="2"/>
      <c r="J748" s="2"/>
      <c r="K748" s="2"/>
      <c r="L748" s="18"/>
      <c r="M748" s="2"/>
      <c r="N748" s="18"/>
      <c r="O748" s="18"/>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row>
    <row r="749">
      <c r="A749" s="18"/>
      <c r="B749" s="2"/>
      <c r="C749" s="18"/>
      <c r="D749" s="18"/>
      <c r="E749" s="18"/>
      <c r="F749" s="2"/>
      <c r="G749" s="2"/>
      <c r="H749" s="2"/>
      <c r="I749" s="2"/>
      <c r="J749" s="2"/>
      <c r="K749" s="2"/>
      <c r="L749" s="18"/>
      <c r="M749" s="2"/>
      <c r="N749" s="18"/>
      <c r="O749" s="18"/>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row>
    <row r="750">
      <c r="A750" s="18"/>
      <c r="B750" s="2"/>
      <c r="C750" s="18"/>
      <c r="D750" s="18"/>
      <c r="E750" s="18"/>
      <c r="F750" s="2"/>
      <c r="G750" s="2"/>
      <c r="H750" s="2"/>
      <c r="I750" s="2"/>
      <c r="J750" s="2"/>
      <c r="K750" s="2"/>
      <c r="L750" s="18"/>
      <c r="M750" s="2"/>
      <c r="N750" s="18"/>
      <c r="O750" s="18"/>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row>
    <row r="751">
      <c r="A751" s="18"/>
      <c r="B751" s="2"/>
      <c r="C751" s="18"/>
      <c r="D751" s="18"/>
      <c r="E751" s="18"/>
      <c r="F751" s="2"/>
      <c r="G751" s="2"/>
      <c r="H751" s="2"/>
      <c r="I751" s="2"/>
      <c r="J751" s="2"/>
      <c r="K751" s="2"/>
      <c r="L751" s="18"/>
      <c r="M751" s="2"/>
      <c r="N751" s="18"/>
      <c r="O751" s="18"/>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row>
    <row r="752">
      <c r="A752" s="18"/>
      <c r="B752" s="2"/>
      <c r="C752" s="18"/>
      <c r="D752" s="18"/>
      <c r="E752" s="18"/>
      <c r="F752" s="2"/>
      <c r="G752" s="2"/>
      <c r="H752" s="2"/>
      <c r="I752" s="2"/>
      <c r="J752" s="2"/>
      <c r="K752" s="2"/>
      <c r="L752" s="18"/>
      <c r="M752" s="2"/>
      <c r="N752" s="18"/>
      <c r="O752" s="18"/>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row>
    <row r="753">
      <c r="A753" s="18"/>
      <c r="B753" s="2"/>
      <c r="C753" s="18"/>
      <c r="D753" s="18"/>
      <c r="E753" s="18"/>
      <c r="F753" s="2"/>
      <c r="G753" s="2"/>
      <c r="H753" s="2"/>
      <c r="I753" s="2"/>
      <c r="J753" s="2"/>
      <c r="K753" s="2"/>
      <c r="L753" s="18"/>
      <c r="M753" s="2"/>
      <c r="N753" s="18"/>
      <c r="O753" s="18"/>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row>
    <row r="754">
      <c r="A754" s="18"/>
      <c r="B754" s="2"/>
      <c r="C754" s="18"/>
      <c r="D754" s="18"/>
      <c r="E754" s="18"/>
      <c r="F754" s="2"/>
      <c r="G754" s="2"/>
      <c r="H754" s="2"/>
      <c r="I754" s="2"/>
      <c r="J754" s="2"/>
      <c r="K754" s="2"/>
      <c r="L754" s="18"/>
      <c r="M754" s="2"/>
      <c r="N754" s="18"/>
      <c r="O754" s="18"/>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row>
    <row r="755">
      <c r="A755" s="18"/>
      <c r="B755" s="2"/>
      <c r="C755" s="18"/>
      <c r="D755" s="18"/>
      <c r="E755" s="18"/>
      <c r="F755" s="2"/>
      <c r="G755" s="2"/>
      <c r="H755" s="2"/>
      <c r="I755" s="2"/>
      <c r="J755" s="2"/>
      <c r="K755" s="2"/>
      <c r="L755" s="18"/>
      <c r="M755" s="2"/>
      <c r="N755" s="18"/>
      <c r="O755" s="18"/>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row>
    <row r="756">
      <c r="A756" s="18"/>
      <c r="B756" s="2"/>
      <c r="C756" s="18"/>
      <c r="D756" s="18"/>
      <c r="E756" s="18"/>
      <c r="F756" s="2"/>
      <c r="G756" s="2"/>
      <c r="H756" s="2"/>
      <c r="I756" s="2"/>
      <c r="J756" s="2"/>
      <c r="K756" s="2"/>
      <c r="L756" s="18"/>
      <c r="M756" s="2"/>
      <c r="N756" s="18"/>
      <c r="O756" s="18"/>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row>
    <row r="757">
      <c r="A757" s="18"/>
      <c r="B757" s="2"/>
      <c r="C757" s="18"/>
      <c r="D757" s="18"/>
      <c r="E757" s="18"/>
      <c r="F757" s="2"/>
      <c r="G757" s="2"/>
      <c r="H757" s="2"/>
      <c r="I757" s="2"/>
      <c r="J757" s="2"/>
      <c r="K757" s="2"/>
      <c r="L757" s="18"/>
      <c r="M757" s="2"/>
      <c r="N757" s="18"/>
      <c r="O757" s="18"/>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row>
    <row r="758">
      <c r="A758" s="18"/>
      <c r="B758" s="2"/>
      <c r="C758" s="18"/>
      <c r="D758" s="18"/>
      <c r="E758" s="18"/>
      <c r="F758" s="2"/>
      <c r="G758" s="2"/>
      <c r="H758" s="2"/>
      <c r="I758" s="2"/>
      <c r="J758" s="2"/>
      <c r="K758" s="2"/>
      <c r="L758" s="18"/>
      <c r="M758" s="2"/>
      <c r="N758" s="18"/>
      <c r="O758" s="18"/>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row>
    <row r="759">
      <c r="A759" s="18"/>
      <c r="B759" s="2"/>
      <c r="C759" s="18"/>
      <c r="D759" s="18"/>
      <c r="E759" s="18"/>
      <c r="F759" s="2"/>
      <c r="G759" s="2"/>
      <c r="H759" s="2"/>
      <c r="I759" s="2"/>
      <c r="J759" s="2"/>
      <c r="K759" s="2"/>
      <c r="L759" s="18"/>
      <c r="M759" s="2"/>
      <c r="N759" s="18"/>
      <c r="O759" s="18"/>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row>
    <row r="760">
      <c r="A760" s="18"/>
      <c r="B760" s="2"/>
      <c r="C760" s="18"/>
      <c r="D760" s="18"/>
      <c r="E760" s="18"/>
      <c r="F760" s="2"/>
      <c r="G760" s="2"/>
      <c r="H760" s="2"/>
      <c r="I760" s="2"/>
      <c r="J760" s="2"/>
      <c r="K760" s="2"/>
      <c r="L760" s="18"/>
      <c r="M760" s="2"/>
      <c r="N760" s="18"/>
      <c r="O760" s="18"/>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row>
    <row r="761">
      <c r="A761" s="18"/>
      <c r="B761" s="2"/>
      <c r="C761" s="18"/>
      <c r="D761" s="18"/>
      <c r="E761" s="18"/>
      <c r="F761" s="2"/>
      <c r="G761" s="2"/>
      <c r="H761" s="2"/>
      <c r="I761" s="2"/>
      <c r="J761" s="2"/>
      <c r="K761" s="2"/>
      <c r="L761" s="18"/>
      <c r="M761" s="2"/>
      <c r="N761" s="18"/>
      <c r="O761" s="18"/>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row>
    <row r="762">
      <c r="A762" s="18"/>
      <c r="B762" s="2"/>
      <c r="C762" s="18"/>
      <c r="D762" s="18"/>
      <c r="E762" s="18"/>
      <c r="F762" s="2"/>
      <c r="G762" s="2"/>
      <c r="H762" s="2"/>
      <c r="I762" s="2"/>
      <c r="J762" s="2"/>
      <c r="K762" s="2"/>
      <c r="L762" s="18"/>
      <c r="M762" s="2"/>
      <c r="N762" s="18"/>
      <c r="O762" s="18"/>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row>
    <row r="763">
      <c r="A763" s="18"/>
      <c r="B763" s="2"/>
      <c r="C763" s="18"/>
      <c r="D763" s="18"/>
      <c r="E763" s="18"/>
      <c r="F763" s="2"/>
      <c r="G763" s="2"/>
      <c r="H763" s="2"/>
      <c r="I763" s="2"/>
      <c r="J763" s="2"/>
      <c r="K763" s="2"/>
      <c r="L763" s="18"/>
      <c r="M763" s="2"/>
      <c r="N763" s="18"/>
      <c r="O763" s="18"/>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row>
    <row r="764">
      <c r="A764" s="18"/>
      <c r="B764" s="2"/>
      <c r="C764" s="18"/>
      <c r="D764" s="18"/>
      <c r="E764" s="18"/>
      <c r="F764" s="2"/>
      <c r="G764" s="2"/>
      <c r="H764" s="2"/>
      <c r="I764" s="2"/>
      <c r="J764" s="2"/>
      <c r="K764" s="2"/>
      <c r="L764" s="18"/>
      <c r="M764" s="2"/>
      <c r="N764" s="18"/>
      <c r="O764" s="18"/>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row>
    <row r="765">
      <c r="A765" s="18"/>
      <c r="B765" s="2"/>
      <c r="C765" s="18"/>
      <c r="D765" s="18"/>
      <c r="E765" s="18"/>
      <c r="F765" s="2"/>
      <c r="G765" s="2"/>
      <c r="H765" s="2"/>
      <c r="I765" s="2"/>
      <c r="J765" s="2"/>
      <c r="K765" s="2"/>
      <c r="L765" s="18"/>
      <c r="M765" s="2"/>
      <c r="N765" s="18"/>
      <c r="O765" s="18"/>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row>
    <row r="766">
      <c r="A766" s="18"/>
      <c r="B766" s="2"/>
      <c r="C766" s="18"/>
      <c r="D766" s="18"/>
      <c r="E766" s="18"/>
      <c r="F766" s="2"/>
      <c r="G766" s="2"/>
      <c r="H766" s="2"/>
      <c r="I766" s="2"/>
      <c r="J766" s="2"/>
      <c r="K766" s="2"/>
      <c r="L766" s="18"/>
      <c r="M766" s="2"/>
      <c r="N766" s="18"/>
      <c r="O766" s="18"/>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row>
    <row r="767">
      <c r="A767" s="18"/>
      <c r="B767" s="2"/>
      <c r="C767" s="18"/>
      <c r="D767" s="18"/>
      <c r="E767" s="18"/>
      <c r="F767" s="2"/>
      <c r="G767" s="2"/>
      <c r="H767" s="2"/>
      <c r="I767" s="2"/>
      <c r="J767" s="2"/>
      <c r="K767" s="2"/>
      <c r="L767" s="18"/>
      <c r="M767" s="2"/>
      <c r="N767" s="18"/>
      <c r="O767" s="18"/>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row>
    <row r="768">
      <c r="A768" s="18"/>
      <c r="B768" s="2"/>
      <c r="C768" s="18"/>
      <c r="D768" s="18"/>
      <c r="E768" s="18"/>
      <c r="F768" s="2"/>
      <c r="G768" s="2"/>
      <c r="H768" s="2"/>
      <c r="I768" s="2"/>
      <c r="J768" s="2"/>
      <c r="K768" s="2"/>
      <c r="L768" s="18"/>
      <c r="M768" s="2"/>
      <c r="N768" s="18"/>
      <c r="O768" s="18"/>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row>
    <row r="769">
      <c r="A769" s="18"/>
      <c r="B769" s="2"/>
      <c r="C769" s="18"/>
      <c r="D769" s="18"/>
      <c r="E769" s="18"/>
      <c r="F769" s="2"/>
      <c r="G769" s="2"/>
      <c r="H769" s="2"/>
      <c r="I769" s="2"/>
      <c r="J769" s="2"/>
      <c r="K769" s="2"/>
      <c r="L769" s="18"/>
      <c r="M769" s="2"/>
      <c r="N769" s="18"/>
      <c r="O769" s="18"/>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row>
    <row r="770">
      <c r="A770" s="18"/>
      <c r="B770" s="2"/>
      <c r="C770" s="18"/>
      <c r="D770" s="18"/>
      <c r="E770" s="18"/>
      <c r="F770" s="2"/>
      <c r="G770" s="2"/>
      <c r="H770" s="2"/>
      <c r="I770" s="2"/>
      <c r="J770" s="2"/>
      <c r="K770" s="2"/>
      <c r="L770" s="18"/>
      <c r="M770" s="2"/>
      <c r="N770" s="18"/>
      <c r="O770" s="18"/>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row>
    <row r="771">
      <c r="A771" s="18"/>
      <c r="B771" s="2"/>
      <c r="C771" s="18"/>
      <c r="D771" s="18"/>
      <c r="E771" s="18"/>
      <c r="F771" s="2"/>
      <c r="G771" s="2"/>
      <c r="H771" s="2"/>
      <c r="I771" s="2"/>
      <c r="J771" s="2"/>
      <c r="K771" s="2"/>
      <c r="L771" s="18"/>
      <c r="M771" s="2"/>
      <c r="N771" s="18"/>
      <c r="O771" s="18"/>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row>
    <row r="772">
      <c r="A772" s="18"/>
      <c r="B772" s="2"/>
      <c r="C772" s="18"/>
      <c r="D772" s="18"/>
      <c r="E772" s="18"/>
      <c r="F772" s="2"/>
      <c r="G772" s="2"/>
      <c r="H772" s="2"/>
      <c r="I772" s="2"/>
      <c r="J772" s="2"/>
      <c r="K772" s="2"/>
      <c r="L772" s="18"/>
      <c r="M772" s="2"/>
      <c r="N772" s="18"/>
      <c r="O772" s="18"/>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row>
    <row r="773">
      <c r="A773" s="18"/>
      <c r="B773" s="2"/>
      <c r="C773" s="18"/>
      <c r="D773" s="18"/>
      <c r="E773" s="18"/>
      <c r="F773" s="2"/>
      <c r="G773" s="2"/>
      <c r="H773" s="2"/>
      <c r="I773" s="2"/>
      <c r="J773" s="2"/>
      <c r="K773" s="2"/>
      <c r="L773" s="18"/>
      <c r="M773" s="2"/>
      <c r="N773" s="18"/>
      <c r="O773" s="18"/>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row>
    <row r="774">
      <c r="A774" s="18"/>
      <c r="B774" s="2"/>
      <c r="C774" s="18"/>
      <c r="D774" s="18"/>
      <c r="E774" s="18"/>
      <c r="F774" s="2"/>
      <c r="G774" s="2"/>
      <c r="H774" s="2"/>
      <c r="I774" s="2"/>
      <c r="J774" s="2"/>
      <c r="K774" s="2"/>
      <c r="L774" s="18"/>
      <c r="M774" s="2"/>
      <c r="N774" s="18"/>
      <c r="O774" s="18"/>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row>
    <row r="775">
      <c r="A775" s="18"/>
      <c r="B775" s="2"/>
      <c r="C775" s="18"/>
      <c r="D775" s="18"/>
      <c r="E775" s="18"/>
      <c r="F775" s="2"/>
      <c r="G775" s="2"/>
      <c r="H775" s="2"/>
      <c r="I775" s="2"/>
      <c r="J775" s="2"/>
      <c r="K775" s="2"/>
      <c r="L775" s="18"/>
      <c r="M775" s="2"/>
      <c r="N775" s="18"/>
      <c r="O775" s="18"/>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row>
    <row r="776">
      <c r="A776" s="18"/>
      <c r="B776" s="2"/>
      <c r="C776" s="18"/>
      <c r="D776" s="18"/>
      <c r="E776" s="18"/>
      <c r="F776" s="2"/>
      <c r="G776" s="2"/>
      <c r="H776" s="2"/>
      <c r="I776" s="2"/>
      <c r="J776" s="2"/>
      <c r="K776" s="2"/>
      <c r="L776" s="18"/>
      <c r="M776" s="2"/>
      <c r="N776" s="18"/>
      <c r="O776" s="18"/>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row>
    <row r="777">
      <c r="A777" s="18"/>
      <c r="B777" s="2"/>
      <c r="C777" s="18"/>
      <c r="D777" s="18"/>
      <c r="E777" s="18"/>
      <c r="F777" s="2"/>
      <c r="G777" s="2"/>
      <c r="H777" s="2"/>
      <c r="I777" s="2"/>
      <c r="J777" s="2"/>
      <c r="K777" s="2"/>
      <c r="L777" s="18"/>
      <c r="M777" s="2"/>
      <c r="N777" s="18"/>
      <c r="O777" s="18"/>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row>
    <row r="778">
      <c r="A778" s="18"/>
      <c r="B778" s="2"/>
      <c r="C778" s="18"/>
      <c r="D778" s="18"/>
      <c r="E778" s="18"/>
      <c r="F778" s="2"/>
      <c r="G778" s="2"/>
      <c r="H778" s="2"/>
      <c r="I778" s="2"/>
      <c r="J778" s="2"/>
      <c r="K778" s="2"/>
      <c r="L778" s="18"/>
      <c r="M778" s="2"/>
      <c r="N778" s="18"/>
      <c r="O778" s="18"/>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row>
    <row r="779">
      <c r="A779" s="18"/>
      <c r="B779" s="2"/>
      <c r="C779" s="18"/>
      <c r="D779" s="18"/>
      <c r="E779" s="18"/>
      <c r="F779" s="2"/>
      <c r="G779" s="2"/>
      <c r="H779" s="2"/>
      <c r="I779" s="2"/>
      <c r="J779" s="2"/>
      <c r="K779" s="2"/>
      <c r="L779" s="18"/>
      <c r="M779" s="2"/>
      <c r="N779" s="18"/>
      <c r="O779" s="18"/>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row>
    <row r="780">
      <c r="A780" s="18"/>
      <c r="B780" s="2"/>
      <c r="C780" s="18"/>
      <c r="D780" s="18"/>
      <c r="E780" s="18"/>
      <c r="F780" s="2"/>
      <c r="G780" s="2"/>
      <c r="H780" s="2"/>
      <c r="I780" s="2"/>
      <c r="J780" s="2"/>
      <c r="K780" s="2"/>
      <c r="L780" s="18"/>
      <c r="M780" s="2"/>
      <c r="N780" s="18"/>
      <c r="O780" s="18"/>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row>
    <row r="781">
      <c r="A781" s="18"/>
      <c r="B781" s="2"/>
      <c r="C781" s="18"/>
      <c r="D781" s="18"/>
      <c r="E781" s="18"/>
      <c r="F781" s="2"/>
      <c r="G781" s="2"/>
      <c r="H781" s="2"/>
      <c r="I781" s="2"/>
      <c r="J781" s="2"/>
      <c r="K781" s="2"/>
      <c r="L781" s="18"/>
      <c r="M781" s="2"/>
      <c r="N781" s="18"/>
      <c r="O781" s="18"/>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row>
    <row r="782">
      <c r="A782" s="18"/>
      <c r="B782" s="2"/>
      <c r="C782" s="18"/>
      <c r="D782" s="18"/>
      <c r="E782" s="18"/>
      <c r="F782" s="2"/>
      <c r="G782" s="2"/>
      <c r="H782" s="2"/>
      <c r="I782" s="2"/>
      <c r="J782" s="2"/>
      <c r="K782" s="2"/>
      <c r="L782" s="18"/>
      <c r="M782" s="2"/>
      <c r="N782" s="18"/>
      <c r="O782" s="18"/>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row>
    <row r="783">
      <c r="A783" s="18"/>
      <c r="B783" s="2"/>
      <c r="C783" s="18"/>
      <c r="D783" s="18"/>
      <c r="E783" s="18"/>
      <c r="F783" s="2"/>
      <c r="G783" s="2"/>
      <c r="H783" s="2"/>
      <c r="I783" s="2"/>
      <c r="J783" s="2"/>
      <c r="K783" s="2"/>
      <c r="L783" s="18"/>
      <c r="M783" s="2"/>
      <c r="N783" s="18"/>
      <c r="O783" s="18"/>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row>
    <row r="784">
      <c r="A784" s="18"/>
      <c r="B784" s="2"/>
      <c r="C784" s="18"/>
      <c r="D784" s="18"/>
      <c r="E784" s="18"/>
      <c r="F784" s="2"/>
      <c r="G784" s="2"/>
      <c r="H784" s="2"/>
      <c r="I784" s="2"/>
      <c r="J784" s="2"/>
      <c r="K784" s="2"/>
      <c r="L784" s="18"/>
      <c r="M784" s="2"/>
      <c r="N784" s="18"/>
      <c r="O784" s="18"/>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row>
    <row r="785">
      <c r="A785" s="18"/>
      <c r="B785" s="2"/>
      <c r="C785" s="18"/>
      <c r="D785" s="18"/>
      <c r="E785" s="18"/>
      <c r="F785" s="2"/>
      <c r="G785" s="2"/>
      <c r="H785" s="2"/>
      <c r="I785" s="2"/>
      <c r="J785" s="2"/>
      <c r="K785" s="2"/>
      <c r="L785" s="18"/>
      <c r="M785" s="2"/>
      <c r="N785" s="18"/>
      <c r="O785" s="18"/>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row>
    <row r="786">
      <c r="A786" s="18"/>
      <c r="B786" s="2"/>
      <c r="C786" s="18"/>
      <c r="D786" s="18"/>
      <c r="E786" s="18"/>
      <c r="F786" s="2"/>
      <c r="G786" s="2"/>
      <c r="H786" s="2"/>
      <c r="I786" s="2"/>
      <c r="J786" s="2"/>
      <c r="K786" s="2"/>
      <c r="L786" s="18"/>
      <c r="M786" s="2"/>
      <c r="N786" s="18"/>
      <c r="O786" s="18"/>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row>
    <row r="787">
      <c r="A787" s="18"/>
      <c r="B787" s="2"/>
      <c r="C787" s="18"/>
      <c r="D787" s="18"/>
      <c r="E787" s="18"/>
      <c r="F787" s="2"/>
      <c r="G787" s="2"/>
      <c r="H787" s="2"/>
      <c r="I787" s="2"/>
      <c r="J787" s="2"/>
      <c r="K787" s="2"/>
      <c r="L787" s="18"/>
      <c r="M787" s="2"/>
      <c r="N787" s="18"/>
      <c r="O787" s="18"/>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row>
    <row r="788">
      <c r="A788" s="18"/>
      <c r="B788" s="2"/>
      <c r="C788" s="18"/>
      <c r="D788" s="18"/>
      <c r="E788" s="18"/>
      <c r="F788" s="2"/>
      <c r="G788" s="2"/>
      <c r="H788" s="2"/>
      <c r="I788" s="2"/>
      <c r="J788" s="2"/>
      <c r="K788" s="2"/>
      <c r="L788" s="18"/>
      <c r="M788" s="2"/>
      <c r="N788" s="18"/>
      <c r="O788" s="18"/>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row>
    <row r="789">
      <c r="A789" s="18"/>
      <c r="B789" s="2"/>
      <c r="C789" s="18"/>
      <c r="D789" s="18"/>
      <c r="E789" s="18"/>
      <c r="F789" s="2"/>
      <c r="G789" s="2"/>
      <c r="H789" s="2"/>
      <c r="I789" s="2"/>
      <c r="J789" s="2"/>
      <c r="K789" s="2"/>
      <c r="L789" s="18"/>
      <c r="M789" s="2"/>
      <c r="N789" s="18"/>
      <c r="O789" s="18"/>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row>
    <row r="790">
      <c r="A790" s="18"/>
      <c r="B790" s="2"/>
      <c r="C790" s="18"/>
      <c r="D790" s="18"/>
      <c r="E790" s="18"/>
      <c r="F790" s="2"/>
      <c r="G790" s="2"/>
      <c r="H790" s="2"/>
      <c r="I790" s="2"/>
      <c r="J790" s="2"/>
      <c r="K790" s="2"/>
      <c r="L790" s="18"/>
      <c r="M790" s="2"/>
      <c r="N790" s="18"/>
      <c r="O790" s="18"/>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row>
    <row r="791">
      <c r="A791" s="18"/>
      <c r="B791" s="2"/>
      <c r="C791" s="18"/>
      <c r="D791" s="18"/>
      <c r="E791" s="18"/>
      <c r="F791" s="2"/>
      <c r="G791" s="2"/>
      <c r="H791" s="2"/>
      <c r="I791" s="2"/>
      <c r="J791" s="2"/>
      <c r="K791" s="2"/>
      <c r="L791" s="18"/>
      <c r="M791" s="2"/>
      <c r="N791" s="18"/>
      <c r="O791" s="18"/>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row>
    <row r="792">
      <c r="A792" s="18"/>
      <c r="B792" s="2"/>
      <c r="C792" s="18"/>
      <c r="D792" s="18"/>
      <c r="E792" s="18"/>
      <c r="F792" s="2"/>
      <c r="G792" s="2"/>
      <c r="H792" s="2"/>
      <c r="I792" s="2"/>
      <c r="J792" s="2"/>
      <c r="K792" s="2"/>
      <c r="L792" s="18"/>
      <c r="M792" s="2"/>
      <c r="N792" s="18"/>
      <c r="O792" s="18"/>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row>
    <row r="793">
      <c r="A793" s="18"/>
      <c r="B793" s="2"/>
      <c r="C793" s="18"/>
      <c r="D793" s="18"/>
      <c r="E793" s="18"/>
      <c r="F793" s="2"/>
      <c r="G793" s="2"/>
      <c r="H793" s="2"/>
      <c r="I793" s="2"/>
      <c r="J793" s="2"/>
      <c r="K793" s="2"/>
      <c r="L793" s="18"/>
      <c r="M793" s="2"/>
      <c r="N793" s="18"/>
      <c r="O793" s="18"/>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row>
    <row r="794">
      <c r="A794" s="18"/>
      <c r="B794" s="2"/>
      <c r="C794" s="18"/>
      <c r="D794" s="18"/>
      <c r="E794" s="18"/>
      <c r="F794" s="2"/>
      <c r="G794" s="2"/>
      <c r="H794" s="2"/>
      <c r="I794" s="2"/>
      <c r="J794" s="2"/>
      <c r="K794" s="2"/>
      <c r="L794" s="18"/>
      <c r="M794" s="2"/>
      <c r="N794" s="18"/>
      <c r="O794" s="18"/>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row>
    <row r="795">
      <c r="A795" s="18"/>
      <c r="B795" s="2"/>
      <c r="C795" s="18"/>
      <c r="D795" s="18"/>
      <c r="E795" s="18"/>
      <c r="F795" s="2"/>
      <c r="G795" s="2"/>
      <c r="H795" s="2"/>
      <c r="I795" s="2"/>
      <c r="J795" s="2"/>
      <c r="K795" s="2"/>
      <c r="L795" s="18"/>
      <c r="M795" s="2"/>
      <c r="N795" s="18"/>
      <c r="O795" s="18"/>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row>
    <row r="796">
      <c r="A796" s="18"/>
      <c r="B796" s="2"/>
      <c r="C796" s="18"/>
      <c r="D796" s="18"/>
      <c r="E796" s="18"/>
      <c r="F796" s="2"/>
      <c r="G796" s="2"/>
      <c r="H796" s="2"/>
      <c r="I796" s="2"/>
      <c r="J796" s="2"/>
      <c r="K796" s="2"/>
      <c r="L796" s="18"/>
      <c r="M796" s="2"/>
      <c r="N796" s="18"/>
      <c r="O796" s="18"/>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row>
    <row r="797">
      <c r="A797" s="18"/>
      <c r="B797" s="2"/>
      <c r="C797" s="18"/>
      <c r="D797" s="18"/>
      <c r="E797" s="18"/>
      <c r="F797" s="2"/>
      <c r="G797" s="2"/>
      <c r="H797" s="2"/>
      <c r="I797" s="2"/>
      <c r="J797" s="2"/>
      <c r="K797" s="2"/>
      <c r="L797" s="18"/>
      <c r="M797" s="2"/>
      <c r="N797" s="18"/>
      <c r="O797" s="18"/>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row>
    <row r="798">
      <c r="A798" s="18"/>
      <c r="B798" s="2"/>
      <c r="C798" s="18"/>
      <c r="D798" s="18"/>
      <c r="E798" s="18"/>
      <c r="F798" s="2"/>
      <c r="G798" s="2"/>
      <c r="H798" s="2"/>
      <c r="I798" s="2"/>
      <c r="J798" s="2"/>
      <c r="K798" s="2"/>
      <c r="L798" s="18"/>
      <c r="M798" s="2"/>
      <c r="N798" s="18"/>
      <c r="O798" s="18"/>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row>
    <row r="799">
      <c r="A799" s="18"/>
      <c r="B799" s="2"/>
      <c r="C799" s="18"/>
      <c r="D799" s="18"/>
      <c r="E799" s="18"/>
      <c r="F799" s="2"/>
      <c r="G799" s="2"/>
      <c r="H799" s="2"/>
      <c r="I799" s="2"/>
      <c r="J799" s="2"/>
      <c r="K799" s="2"/>
      <c r="L799" s="18"/>
      <c r="M799" s="2"/>
      <c r="N799" s="18"/>
      <c r="O799" s="18"/>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row>
    <row r="800">
      <c r="A800" s="18"/>
      <c r="B800" s="2"/>
      <c r="C800" s="18"/>
      <c r="D800" s="18"/>
      <c r="E800" s="18"/>
      <c r="F800" s="2"/>
      <c r="G800" s="2"/>
      <c r="H800" s="2"/>
      <c r="I800" s="2"/>
      <c r="J800" s="2"/>
      <c r="K800" s="2"/>
      <c r="L800" s="18"/>
      <c r="M800" s="2"/>
      <c r="N800" s="18"/>
      <c r="O800" s="18"/>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row>
    <row r="801">
      <c r="A801" s="18"/>
      <c r="B801" s="2"/>
      <c r="C801" s="18"/>
      <c r="D801" s="18"/>
      <c r="E801" s="18"/>
      <c r="F801" s="2"/>
      <c r="G801" s="2"/>
      <c r="H801" s="2"/>
      <c r="I801" s="2"/>
      <c r="J801" s="2"/>
      <c r="K801" s="2"/>
      <c r="L801" s="18"/>
      <c r="M801" s="2"/>
      <c r="N801" s="18"/>
      <c r="O801" s="18"/>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row>
    <row r="802">
      <c r="A802" s="18"/>
      <c r="B802" s="2"/>
      <c r="C802" s="18"/>
      <c r="D802" s="18"/>
      <c r="E802" s="18"/>
      <c r="F802" s="2"/>
      <c r="G802" s="2"/>
      <c r="H802" s="2"/>
      <c r="I802" s="2"/>
      <c r="J802" s="2"/>
      <c r="K802" s="2"/>
      <c r="L802" s="18"/>
      <c r="M802" s="2"/>
      <c r="N802" s="18"/>
      <c r="O802" s="18"/>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row>
    <row r="803">
      <c r="A803" s="18"/>
      <c r="B803" s="2"/>
      <c r="C803" s="18"/>
      <c r="D803" s="18"/>
      <c r="E803" s="18"/>
      <c r="F803" s="2"/>
      <c r="G803" s="2"/>
      <c r="H803" s="2"/>
      <c r="I803" s="2"/>
      <c r="J803" s="2"/>
      <c r="K803" s="2"/>
      <c r="L803" s="18"/>
      <c r="M803" s="2"/>
      <c r="N803" s="18"/>
      <c r="O803" s="18"/>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row>
    <row r="804">
      <c r="A804" s="18"/>
      <c r="B804" s="2"/>
      <c r="C804" s="18"/>
      <c r="D804" s="18"/>
      <c r="E804" s="18"/>
      <c r="F804" s="2"/>
      <c r="G804" s="2"/>
      <c r="H804" s="2"/>
      <c r="I804" s="2"/>
      <c r="J804" s="2"/>
      <c r="K804" s="2"/>
      <c r="L804" s="18"/>
      <c r="M804" s="2"/>
      <c r="N804" s="18"/>
      <c r="O804" s="18"/>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row>
    <row r="805">
      <c r="A805" s="18"/>
      <c r="B805" s="2"/>
      <c r="C805" s="18"/>
      <c r="D805" s="18"/>
      <c r="E805" s="18"/>
      <c r="F805" s="2"/>
      <c r="G805" s="2"/>
      <c r="H805" s="2"/>
      <c r="I805" s="2"/>
      <c r="J805" s="2"/>
      <c r="K805" s="2"/>
      <c r="L805" s="18"/>
      <c r="M805" s="2"/>
      <c r="N805" s="18"/>
      <c r="O805" s="18"/>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row>
    <row r="806">
      <c r="A806" s="18"/>
      <c r="B806" s="2"/>
      <c r="C806" s="18"/>
      <c r="D806" s="18"/>
      <c r="E806" s="18"/>
      <c r="F806" s="2"/>
      <c r="G806" s="2"/>
      <c r="H806" s="2"/>
      <c r="I806" s="2"/>
      <c r="J806" s="2"/>
      <c r="K806" s="2"/>
      <c r="L806" s="18"/>
      <c r="M806" s="2"/>
      <c r="N806" s="18"/>
      <c r="O806" s="18"/>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row>
    <row r="807">
      <c r="A807" s="18"/>
      <c r="B807" s="2"/>
      <c r="C807" s="18"/>
      <c r="D807" s="18"/>
      <c r="E807" s="18"/>
      <c r="F807" s="2"/>
      <c r="G807" s="2"/>
      <c r="H807" s="2"/>
      <c r="I807" s="2"/>
      <c r="J807" s="2"/>
      <c r="K807" s="2"/>
      <c r="L807" s="18"/>
      <c r="M807" s="2"/>
      <c r="N807" s="18"/>
      <c r="O807" s="18"/>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row>
    <row r="808">
      <c r="A808" s="18"/>
      <c r="B808" s="2"/>
      <c r="C808" s="18"/>
      <c r="D808" s="18"/>
      <c r="E808" s="18"/>
      <c r="F808" s="2"/>
      <c r="G808" s="2"/>
      <c r="H808" s="2"/>
      <c r="I808" s="2"/>
      <c r="J808" s="2"/>
      <c r="K808" s="2"/>
      <c r="L808" s="18"/>
      <c r="M808" s="2"/>
      <c r="N808" s="18"/>
      <c r="O808" s="18"/>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row>
    <row r="809">
      <c r="A809" s="18"/>
      <c r="B809" s="2"/>
      <c r="C809" s="18"/>
      <c r="D809" s="18"/>
      <c r="E809" s="18"/>
      <c r="F809" s="2"/>
      <c r="G809" s="2"/>
      <c r="H809" s="2"/>
      <c r="I809" s="2"/>
      <c r="J809" s="2"/>
      <c r="K809" s="2"/>
      <c r="L809" s="18"/>
      <c r="M809" s="2"/>
      <c r="N809" s="18"/>
      <c r="O809" s="18"/>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row>
    <row r="810">
      <c r="A810" s="18"/>
      <c r="B810" s="2"/>
      <c r="C810" s="18"/>
      <c r="D810" s="18"/>
      <c r="E810" s="18"/>
      <c r="F810" s="2"/>
      <c r="G810" s="2"/>
      <c r="H810" s="2"/>
      <c r="I810" s="2"/>
      <c r="J810" s="2"/>
      <c r="K810" s="2"/>
      <c r="L810" s="18"/>
      <c r="M810" s="2"/>
      <c r="N810" s="18"/>
      <c r="O810" s="18"/>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row>
    <row r="811">
      <c r="A811" s="18"/>
      <c r="B811" s="2"/>
      <c r="C811" s="18"/>
      <c r="D811" s="18"/>
      <c r="E811" s="18"/>
      <c r="F811" s="2"/>
      <c r="G811" s="2"/>
      <c r="H811" s="2"/>
      <c r="I811" s="2"/>
      <c r="J811" s="2"/>
      <c r="K811" s="2"/>
      <c r="L811" s="18"/>
      <c r="M811" s="2"/>
      <c r="N811" s="18"/>
      <c r="O811" s="18"/>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row>
    <row r="812">
      <c r="A812" s="18"/>
      <c r="B812" s="2"/>
      <c r="C812" s="18"/>
      <c r="D812" s="18"/>
      <c r="E812" s="18"/>
      <c r="F812" s="2"/>
      <c r="G812" s="2"/>
      <c r="H812" s="2"/>
      <c r="I812" s="2"/>
      <c r="J812" s="2"/>
      <c r="K812" s="2"/>
      <c r="L812" s="18"/>
      <c r="M812" s="2"/>
      <c r="N812" s="18"/>
      <c r="O812" s="18"/>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row>
    <row r="813">
      <c r="A813" s="18"/>
      <c r="B813" s="2"/>
      <c r="C813" s="18"/>
      <c r="D813" s="18"/>
      <c r="E813" s="18"/>
      <c r="F813" s="2"/>
      <c r="G813" s="2"/>
      <c r="H813" s="2"/>
      <c r="I813" s="2"/>
      <c r="J813" s="2"/>
      <c r="K813" s="2"/>
      <c r="L813" s="18"/>
      <c r="M813" s="2"/>
      <c r="N813" s="18"/>
      <c r="O813" s="18"/>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row>
    <row r="814">
      <c r="A814" s="18"/>
      <c r="B814" s="2"/>
      <c r="C814" s="18"/>
      <c r="D814" s="18"/>
      <c r="E814" s="18"/>
      <c r="F814" s="2"/>
      <c r="G814" s="2"/>
      <c r="H814" s="2"/>
      <c r="I814" s="2"/>
      <c r="J814" s="2"/>
      <c r="K814" s="2"/>
      <c r="L814" s="18"/>
      <c r="M814" s="2"/>
      <c r="N814" s="18"/>
      <c r="O814" s="18"/>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row>
    <row r="815">
      <c r="A815" s="18"/>
      <c r="B815" s="2"/>
      <c r="C815" s="18"/>
      <c r="D815" s="18"/>
      <c r="E815" s="18"/>
      <c r="F815" s="2"/>
      <c r="G815" s="2"/>
      <c r="H815" s="2"/>
      <c r="I815" s="2"/>
      <c r="J815" s="2"/>
      <c r="K815" s="2"/>
      <c r="L815" s="18"/>
      <c r="M815" s="2"/>
      <c r="N815" s="18"/>
      <c r="O815" s="18"/>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row>
    <row r="816">
      <c r="A816" s="18"/>
      <c r="B816" s="2"/>
      <c r="C816" s="18"/>
      <c r="D816" s="18"/>
      <c r="E816" s="18"/>
      <c r="F816" s="2"/>
      <c r="G816" s="2"/>
      <c r="H816" s="2"/>
      <c r="I816" s="2"/>
      <c r="J816" s="2"/>
      <c r="K816" s="2"/>
      <c r="L816" s="18"/>
      <c r="M816" s="2"/>
      <c r="N816" s="18"/>
      <c r="O816" s="18"/>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row>
    <row r="817">
      <c r="A817" s="18"/>
      <c r="B817" s="2"/>
      <c r="C817" s="18"/>
      <c r="D817" s="18"/>
      <c r="E817" s="18"/>
      <c r="F817" s="2"/>
      <c r="G817" s="2"/>
      <c r="H817" s="2"/>
      <c r="I817" s="2"/>
      <c r="J817" s="2"/>
      <c r="K817" s="2"/>
      <c r="L817" s="18"/>
      <c r="M817" s="2"/>
      <c r="N817" s="18"/>
      <c r="O817" s="18"/>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row>
    <row r="818">
      <c r="A818" s="18"/>
      <c r="B818" s="2"/>
      <c r="C818" s="18"/>
      <c r="D818" s="18"/>
      <c r="E818" s="18"/>
      <c r="F818" s="2"/>
      <c r="G818" s="2"/>
      <c r="H818" s="2"/>
      <c r="I818" s="2"/>
      <c r="J818" s="2"/>
      <c r="K818" s="2"/>
      <c r="L818" s="18"/>
      <c r="M818" s="2"/>
      <c r="N818" s="18"/>
      <c r="O818" s="18"/>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row>
    <row r="819">
      <c r="A819" s="18"/>
      <c r="B819" s="2"/>
      <c r="C819" s="18"/>
      <c r="D819" s="18"/>
      <c r="E819" s="18"/>
      <c r="F819" s="2"/>
      <c r="G819" s="2"/>
      <c r="H819" s="2"/>
      <c r="I819" s="2"/>
      <c r="J819" s="2"/>
      <c r="K819" s="2"/>
      <c r="L819" s="18"/>
      <c r="M819" s="2"/>
      <c r="N819" s="18"/>
      <c r="O819" s="18"/>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row>
    <row r="820">
      <c r="A820" s="18"/>
      <c r="B820" s="2"/>
      <c r="C820" s="18"/>
      <c r="D820" s="18"/>
      <c r="E820" s="18"/>
      <c r="F820" s="2"/>
      <c r="G820" s="2"/>
      <c r="H820" s="2"/>
      <c r="I820" s="2"/>
      <c r="J820" s="2"/>
      <c r="K820" s="2"/>
      <c r="L820" s="18"/>
      <c r="M820" s="2"/>
      <c r="N820" s="18"/>
      <c r="O820" s="18"/>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row>
    <row r="821">
      <c r="A821" s="18"/>
      <c r="B821" s="2"/>
      <c r="C821" s="18"/>
      <c r="D821" s="18"/>
      <c r="E821" s="18"/>
      <c r="F821" s="2"/>
      <c r="G821" s="2"/>
      <c r="H821" s="2"/>
      <c r="I821" s="2"/>
      <c r="J821" s="2"/>
      <c r="K821" s="2"/>
      <c r="L821" s="18"/>
      <c r="M821" s="2"/>
      <c r="N821" s="18"/>
      <c r="O821" s="18"/>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row>
    <row r="822">
      <c r="A822" s="18"/>
      <c r="B822" s="2"/>
      <c r="C822" s="18"/>
      <c r="D822" s="18"/>
      <c r="E822" s="18"/>
      <c r="F822" s="2"/>
      <c r="G822" s="2"/>
      <c r="H822" s="2"/>
      <c r="I822" s="2"/>
      <c r="J822" s="2"/>
      <c r="K822" s="2"/>
      <c r="L822" s="18"/>
      <c r="M822" s="2"/>
      <c r="N822" s="18"/>
      <c r="O822" s="18"/>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row>
    <row r="823">
      <c r="A823" s="18"/>
      <c r="B823" s="2"/>
      <c r="C823" s="18"/>
      <c r="D823" s="18"/>
      <c r="E823" s="18"/>
      <c r="F823" s="2"/>
      <c r="G823" s="2"/>
      <c r="H823" s="2"/>
      <c r="I823" s="2"/>
      <c r="J823" s="2"/>
      <c r="K823" s="2"/>
      <c r="L823" s="18"/>
      <c r="M823" s="2"/>
      <c r="N823" s="18"/>
      <c r="O823" s="18"/>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row>
    <row r="824">
      <c r="A824" s="18"/>
      <c r="B824" s="2"/>
      <c r="C824" s="18"/>
      <c r="D824" s="18"/>
      <c r="E824" s="18"/>
      <c r="F824" s="2"/>
      <c r="G824" s="2"/>
      <c r="H824" s="2"/>
      <c r="I824" s="2"/>
      <c r="J824" s="2"/>
      <c r="K824" s="2"/>
      <c r="L824" s="18"/>
      <c r="M824" s="2"/>
      <c r="N824" s="18"/>
      <c r="O824" s="18"/>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row>
    <row r="825">
      <c r="A825" s="18"/>
      <c r="B825" s="2"/>
      <c r="C825" s="18"/>
      <c r="D825" s="18"/>
      <c r="E825" s="18"/>
      <c r="F825" s="2"/>
      <c r="G825" s="2"/>
      <c r="H825" s="2"/>
      <c r="I825" s="2"/>
      <c r="J825" s="2"/>
      <c r="K825" s="2"/>
      <c r="L825" s="18"/>
      <c r="M825" s="2"/>
      <c r="N825" s="18"/>
      <c r="O825" s="18"/>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row>
    <row r="826">
      <c r="A826" s="18"/>
      <c r="B826" s="2"/>
      <c r="C826" s="18"/>
      <c r="D826" s="18"/>
      <c r="E826" s="18"/>
      <c r="F826" s="2"/>
      <c r="G826" s="2"/>
      <c r="H826" s="2"/>
      <c r="I826" s="2"/>
      <c r="J826" s="2"/>
      <c r="K826" s="2"/>
      <c r="L826" s="18"/>
      <c r="M826" s="2"/>
      <c r="N826" s="18"/>
      <c r="O826" s="18"/>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row>
    <row r="827">
      <c r="A827" s="18"/>
      <c r="B827" s="2"/>
      <c r="C827" s="18"/>
      <c r="D827" s="18"/>
      <c r="E827" s="18"/>
      <c r="F827" s="2"/>
      <c r="G827" s="2"/>
      <c r="H827" s="2"/>
      <c r="I827" s="2"/>
      <c r="J827" s="2"/>
      <c r="K827" s="2"/>
      <c r="L827" s="18"/>
      <c r="M827" s="2"/>
      <c r="N827" s="18"/>
      <c r="O827" s="18"/>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row>
    <row r="828">
      <c r="A828" s="18"/>
      <c r="B828" s="2"/>
      <c r="C828" s="18"/>
      <c r="D828" s="18"/>
      <c r="E828" s="18"/>
      <c r="F828" s="2"/>
      <c r="G828" s="2"/>
      <c r="H828" s="2"/>
      <c r="I828" s="2"/>
      <c r="J828" s="2"/>
      <c r="K828" s="2"/>
      <c r="L828" s="18"/>
      <c r="M828" s="2"/>
      <c r="N828" s="18"/>
      <c r="O828" s="18"/>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row>
    <row r="829">
      <c r="A829" s="18"/>
      <c r="B829" s="2"/>
      <c r="C829" s="18"/>
      <c r="D829" s="18"/>
      <c r="E829" s="18"/>
      <c r="F829" s="2"/>
      <c r="G829" s="2"/>
      <c r="H829" s="2"/>
      <c r="I829" s="2"/>
      <c r="J829" s="2"/>
      <c r="K829" s="2"/>
      <c r="L829" s="18"/>
      <c r="M829" s="2"/>
      <c r="N829" s="18"/>
      <c r="O829" s="18"/>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row>
    <row r="830">
      <c r="A830" s="18"/>
      <c r="B830" s="2"/>
      <c r="C830" s="18"/>
      <c r="D830" s="18"/>
      <c r="E830" s="18"/>
      <c r="F830" s="2"/>
      <c r="G830" s="2"/>
      <c r="H830" s="2"/>
      <c r="I830" s="2"/>
      <c r="J830" s="2"/>
      <c r="K830" s="2"/>
      <c r="L830" s="18"/>
      <c r="M830" s="2"/>
      <c r="N830" s="18"/>
      <c r="O830" s="18"/>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row>
    <row r="831">
      <c r="A831" s="18"/>
      <c r="B831" s="2"/>
      <c r="C831" s="18"/>
      <c r="D831" s="18"/>
      <c r="E831" s="18"/>
      <c r="F831" s="2"/>
      <c r="G831" s="2"/>
      <c r="H831" s="2"/>
      <c r="I831" s="2"/>
      <c r="J831" s="2"/>
      <c r="K831" s="2"/>
      <c r="L831" s="18"/>
      <c r="M831" s="2"/>
      <c r="N831" s="18"/>
      <c r="O831" s="18"/>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row>
    <row r="832">
      <c r="A832" s="18"/>
      <c r="B832" s="2"/>
      <c r="C832" s="18"/>
      <c r="D832" s="18"/>
      <c r="E832" s="18"/>
      <c r="F832" s="2"/>
      <c r="G832" s="2"/>
      <c r="H832" s="2"/>
      <c r="I832" s="2"/>
      <c r="J832" s="2"/>
      <c r="K832" s="2"/>
      <c r="L832" s="18"/>
      <c r="M832" s="2"/>
      <c r="N832" s="18"/>
      <c r="O832" s="18"/>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row>
    <row r="833">
      <c r="A833" s="18"/>
      <c r="B833" s="2"/>
      <c r="C833" s="18"/>
      <c r="D833" s="18"/>
      <c r="E833" s="18"/>
      <c r="F833" s="2"/>
      <c r="G833" s="2"/>
      <c r="H833" s="2"/>
      <c r="I833" s="2"/>
      <c r="J833" s="2"/>
      <c r="K833" s="2"/>
      <c r="L833" s="18"/>
      <c r="M833" s="2"/>
      <c r="N833" s="18"/>
      <c r="O833" s="18"/>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row>
    <row r="834">
      <c r="A834" s="18"/>
      <c r="B834" s="2"/>
      <c r="C834" s="18"/>
      <c r="D834" s="18"/>
      <c r="E834" s="18"/>
      <c r="F834" s="2"/>
      <c r="G834" s="2"/>
      <c r="H834" s="2"/>
      <c r="I834" s="2"/>
      <c r="J834" s="2"/>
      <c r="K834" s="2"/>
      <c r="L834" s="18"/>
      <c r="M834" s="2"/>
      <c r="N834" s="18"/>
      <c r="O834" s="18"/>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row>
    <row r="835">
      <c r="A835" s="18"/>
      <c r="B835" s="2"/>
      <c r="C835" s="18"/>
      <c r="D835" s="18"/>
      <c r="E835" s="18"/>
      <c r="F835" s="2"/>
      <c r="G835" s="2"/>
      <c r="H835" s="2"/>
      <c r="I835" s="2"/>
      <c r="J835" s="2"/>
      <c r="K835" s="2"/>
      <c r="L835" s="18"/>
      <c r="M835" s="2"/>
      <c r="N835" s="18"/>
      <c r="O835" s="18"/>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row>
    <row r="836">
      <c r="A836" s="18"/>
      <c r="B836" s="2"/>
      <c r="C836" s="18"/>
      <c r="D836" s="18"/>
      <c r="E836" s="18"/>
      <c r="F836" s="2"/>
      <c r="G836" s="2"/>
      <c r="H836" s="2"/>
      <c r="I836" s="2"/>
      <c r="J836" s="2"/>
      <c r="K836" s="2"/>
      <c r="L836" s="18"/>
      <c r="M836" s="2"/>
      <c r="N836" s="18"/>
      <c r="O836" s="18"/>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row>
    <row r="837">
      <c r="A837" s="18"/>
      <c r="B837" s="2"/>
      <c r="C837" s="18"/>
      <c r="D837" s="18"/>
      <c r="E837" s="18"/>
      <c r="F837" s="2"/>
      <c r="G837" s="2"/>
      <c r="H837" s="2"/>
      <c r="I837" s="2"/>
      <c r="J837" s="2"/>
      <c r="K837" s="2"/>
      <c r="L837" s="18"/>
      <c r="M837" s="2"/>
      <c r="N837" s="18"/>
      <c r="O837" s="18"/>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row>
    <row r="838">
      <c r="A838" s="18"/>
      <c r="B838" s="2"/>
      <c r="C838" s="18"/>
      <c r="D838" s="18"/>
      <c r="E838" s="18"/>
      <c r="F838" s="2"/>
      <c r="G838" s="2"/>
      <c r="H838" s="2"/>
      <c r="I838" s="2"/>
      <c r="J838" s="2"/>
      <c r="K838" s="2"/>
      <c r="L838" s="18"/>
      <c r="M838" s="2"/>
      <c r="N838" s="18"/>
      <c r="O838" s="18"/>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row>
    <row r="839">
      <c r="A839" s="18"/>
      <c r="B839" s="2"/>
      <c r="C839" s="18"/>
      <c r="D839" s="18"/>
      <c r="E839" s="18"/>
      <c r="F839" s="2"/>
      <c r="G839" s="2"/>
      <c r="H839" s="2"/>
      <c r="I839" s="2"/>
      <c r="J839" s="2"/>
      <c r="K839" s="2"/>
      <c r="L839" s="18"/>
      <c r="M839" s="2"/>
      <c r="N839" s="18"/>
      <c r="O839" s="18"/>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row>
    <row r="840">
      <c r="A840" s="18"/>
      <c r="B840" s="2"/>
      <c r="C840" s="18"/>
      <c r="D840" s="18"/>
      <c r="E840" s="18"/>
      <c r="F840" s="2"/>
      <c r="G840" s="2"/>
      <c r="H840" s="2"/>
      <c r="I840" s="2"/>
      <c r="J840" s="2"/>
      <c r="K840" s="2"/>
      <c r="L840" s="18"/>
      <c r="M840" s="2"/>
      <c r="N840" s="18"/>
      <c r="O840" s="18"/>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row>
    <row r="841">
      <c r="A841" s="18"/>
      <c r="B841" s="2"/>
      <c r="C841" s="18"/>
      <c r="D841" s="18"/>
      <c r="E841" s="18"/>
      <c r="F841" s="2"/>
      <c r="G841" s="2"/>
      <c r="H841" s="2"/>
      <c r="I841" s="2"/>
      <c r="J841" s="2"/>
      <c r="K841" s="2"/>
      <c r="L841" s="18"/>
      <c r="M841" s="2"/>
      <c r="N841" s="18"/>
      <c r="O841" s="18"/>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row>
    <row r="842">
      <c r="A842" s="18"/>
      <c r="B842" s="2"/>
      <c r="C842" s="18"/>
      <c r="D842" s="18"/>
      <c r="E842" s="18"/>
      <c r="F842" s="2"/>
      <c r="G842" s="2"/>
      <c r="H842" s="2"/>
      <c r="I842" s="2"/>
      <c r="J842" s="2"/>
      <c r="K842" s="2"/>
      <c r="L842" s="18"/>
      <c r="M842" s="2"/>
      <c r="N842" s="18"/>
      <c r="O842" s="18"/>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row>
    <row r="843">
      <c r="A843" s="18"/>
      <c r="B843" s="2"/>
      <c r="C843" s="18"/>
      <c r="D843" s="18"/>
      <c r="E843" s="18"/>
      <c r="F843" s="2"/>
      <c r="G843" s="2"/>
      <c r="H843" s="2"/>
      <c r="I843" s="2"/>
      <c r="J843" s="2"/>
      <c r="K843" s="2"/>
      <c r="L843" s="18"/>
      <c r="M843" s="2"/>
      <c r="N843" s="18"/>
      <c r="O843" s="18"/>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row>
    <row r="844">
      <c r="A844" s="18"/>
      <c r="B844" s="2"/>
      <c r="C844" s="18"/>
      <c r="D844" s="18"/>
      <c r="E844" s="18"/>
      <c r="F844" s="2"/>
      <c r="G844" s="2"/>
      <c r="H844" s="2"/>
      <c r="I844" s="2"/>
      <c r="J844" s="2"/>
      <c r="K844" s="2"/>
      <c r="L844" s="18"/>
      <c r="M844" s="2"/>
      <c r="N844" s="18"/>
      <c r="O844" s="18"/>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row>
    <row r="845">
      <c r="A845" s="18"/>
      <c r="B845" s="2"/>
      <c r="C845" s="18"/>
      <c r="D845" s="18"/>
      <c r="E845" s="18"/>
      <c r="F845" s="2"/>
      <c r="G845" s="2"/>
      <c r="H845" s="2"/>
      <c r="I845" s="2"/>
      <c r="J845" s="2"/>
      <c r="K845" s="2"/>
      <c r="L845" s="18"/>
      <c r="M845" s="2"/>
      <c r="N845" s="18"/>
      <c r="O845" s="18"/>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row>
    <row r="846">
      <c r="A846" s="18"/>
      <c r="B846" s="2"/>
      <c r="C846" s="18"/>
      <c r="D846" s="18"/>
      <c r="E846" s="18"/>
      <c r="F846" s="2"/>
      <c r="G846" s="2"/>
      <c r="H846" s="2"/>
      <c r="I846" s="2"/>
      <c r="J846" s="2"/>
      <c r="K846" s="2"/>
      <c r="L846" s="18"/>
      <c r="M846" s="2"/>
      <c r="N846" s="18"/>
      <c r="O846" s="18"/>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row>
    <row r="847">
      <c r="A847" s="18"/>
      <c r="B847" s="2"/>
      <c r="C847" s="18"/>
      <c r="D847" s="18"/>
      <c r="E847" s="18"/>
      <c r="F847" s="2"/>
      <c r="G847" s="2"/>
      <c r="H847" s="2"/>
      <c r="I847" s="2"/>
      <c r="J847" s="2"/>
      <c r="K847" s="2"/>
      <c r="L847" s="18"/>
      <c r="M847" s="2"/>
      <c r="N847" s="18"/>
      <c r="O847" s="18"/>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row>
    <row r="848">
      <c r="A848" s="18"/>
      <c r="B848" s="2"/>
      <c r="C848" s="18"/>
      <c r="D848" s="18"/>
      <c r="E848" s="18"/>
      <c r="F848" s="2"/>
      <c r="G848" s="2"/>
      <c r="H848" s="2"/>
      <c r="I848" s="2"/>
      <c r="J848" s="2"/>
      <c r="K848" s="2"/>
      <c r="L848" s="18"/>
      <c r="M848" s="2"/>
      <c r="N848" s="18"/>
      <c r="O848" s="18"/>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row>
    <row r="849">
      <c r="A849" s="18"/>
      <c r="B849" s="2"/>
      <c r="C849" s="18"/>
      <c r="D849" s="18"/>
      <c r="E849" s="18"/>
      <c r="F849" s="2"/>
      <c r="G849" s="2"/>
      <c r="H849" s="2"/>
      <c r="I849" s="2"/>
      <c r="J849" s="2"/>
      <c r="K849" s="2"/>
      <c r="L849" s="18"/>
      <c r="M849" s="2"/>
      <c r="N849" s="18"/>
      <c r="O849" s="18"/>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row>
    <row r="850">
      <c r="A850" s="18"/>
      <c r="B850" s="2"/>
      <c r="C850" s="18"/>
      <c r="D850" s="18"/>
      <c r="E850" s="18"/>
      <c r="F850" s="2"/>
      <c r="G850" s="2"/>
      <c r="H850" s="2"/>
      <c r="I850" s="2"/>
      <c r="J850" s="2"/>
      <c r="K850" s="2"/>
      <c r="L850" s="18"/>
      <c r="M850" s="2"/>
      <c r="N850" s="18"/>
      <c r="O850" s="18"/>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row>
    <row r="851">
      <c r="A851" s="18"/>
      <c r="B851" s="2"/>
      <c r="C851" s="18"/>
      <c r="D851" s="18"/>
      <c r="E851" s="18"/>
      <c r="F851" s="2"/>
      <c r="G851" s="2"/>
      <c r="H851" s="2"/>
      <c r="I851" s="2"/>
      <c r="J851" s="2"/>
      <c r="K851" s="2"/>
      <c r="L851" s="18"/>
      <c r="M851" s="2"/>
      <c r="N851" s="18"/>
      <c r="O851" s="18"/>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row>
    <row r="852">
      <c r="A852" s="18"/>
      <c r="B852" s="2"/>
      <c r="C852" s="18"/>
      <c r="D852" s="18"/>
      <c r="E852" s="18"/>
      <c r="F852" s="2"/>
      <c r="G852" s="2"/>
      <c r="H852" s="2"/>
      <c r="I852" s="2"/>
      <c r="J852" s="2"/>
      <c r="K852" s="2"/>
      <c r="L852" s="18"/>
      <c r="M852" s="2"/>
      <c r="N852" s="18"/>
      <c r="O852" s="18"/>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row>
    <row r="853">
      <c r="A853" s="18"/>
      <c r="B853" s="2"/>
      <c r="C853" s="18"/>
      <c r="D853" s="18"/>
      <c r="E853" s="18"/>
      <c r="F853" s="2"/>
      <c r="G853" s="2"/>
      <c r="H853" s="2"/>
      <c r="I853" s="2"/>
      <c r="J853" s="2"/>
      <c r="K853" s="2"/>
      <c r="L853" s="18"/>
      <c r="M853" s="2"/>
      <c r="N853" s="18"/>
      <c r="O853" s="18"/>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row>
    <row r="854">
      <c r="A854" s="18"/>
      <c r="B854" s="2"/>
      <c r="C854" s="18"/>
      <c r="D854" s="18"/>
      <c r="E854" s="18"/>
      <c r="F854" s="2"/>
      <c r="G854" s="2"/>
      <c r="H854" s="2"/>
      <c r="I854" s="2"/>
      <c r="J854" s="2"/>
      <c r="K854" s="2"/>
      <c r="L854" s="18"/>
      <c r="M854" s="2"/>
      <c r="N854" s="18"/>
      <c r="O854" s="18"/>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row>
    <row r="855">
      <c r="A855" s="18"/>
      <c r="B855" s="2"/>
      <c r="C855" s="18"/>
      <c r="D855" s="18"/>
      <c r="E855" s="18"/>
      <c r="F855" s="2"/>
      <c r="G855" s="2"/>
      <c r="H855" s="2"/>
      <c r="I855" s="2"/>
      <c r="J855" s="2"/>
      <c r="K855" s="2"/>
      <c r="L855" s="18"/>
      <c r="M855" s="2"/>
      <c r="N855" s="18"/>
      <c r="O855" s="18"/>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row>
    <row r="856">
      <c r="A856" s="18"/>
      <c r="B856" s="2"/>
      <c r="C856" s="18"/>
      <c r="D856" s="18"/>
      <c r="E856" s="18"/>
      <c r="F856" s="2"/>
      <c r="G856" s="2"/>
      <c r="H856" s="2"/>
      <c r="I856" s="2"/>
      <c r="J856" s="2"/>
      <c r="K856" s="2"/>
      <c r="L856" s="18"/>
      <c r="M856" s="2"/>
      <c r="N856" s="18"/>
      <c r="O856" s="18"/>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row>
    <row r="857">
      <c r="A857" s="18"/>
      <c r="B857" s="2"/>
      <c r="C857" s="18"/>
      <c r="D857" s="18"/>
      <c r="E857" s="18"/>
      <c r="F857" s="2"/>
      <c r="G857" s="2"/>
      <c r="H857" s="2"/>
      <c r="I857" s="2"/>
      <c r="J857" s="2"/>
      <c r="K857" s="2"/>
      <c r="L857" s="18"/>
      <c r="M857" s="2"/>
      <c r="N857" s="18"/>
      <c r="O857" s="18"/>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row>
    <row r="858">
      <c r="A858" s="18"/>
      <c r="B858" s="2"/>
      <c r="C858" s="18"/>
      <c r="D858" s="18"/>
      <c r="E858" s="18"/>
      <c r="F858" s="2"/>
      <c r="G858" s="2"/>
      <c r="H858" s="2"/>
      <c r="I858" s="2"/>
      <c r="J858" s="2"/>
      <c r="K858" s="2"/>
      <c r="L858" s="18"/>
      <c r="M858" s="2"/>
      <c r="N858" s="18"/>
      <c r="O858" s="18"/>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row>
    <row r="859">
      <c r="A859" s="18"/>
      <c r="B859" s="2"/>
      <c r="C859" s="18"/>
      <c r="D859" s="18"/>
      <c r="E859" s="18"/>
      <c r="F859" s="2"/>
      <c r="G859" s="2"/>
      <c r="H859" s="2"/>
      <c r="I859" s="2"/>
      <c r="J859" s="2"/>
      <c r="K859" s="2"/>
      <c r="L859" s="18"/>
      <c r="M859" s="2"/>
      <c r="N859" s="18"/>
      <c r="O859" s="18"/>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row>
    <row r="860">
      <c r="A860" s="18"/>
      <c r="B860" s="2"/>
      <c r="C860" s="18"/>
      <c r="D860" s="18"/>
      <c r="E860" s="18"/>
      <c r="F860" s="2"/>
      <c r="G860" s="2"/>
      <c r="H860" s="2"/>
      <c r="I860" s="2"/>
      <c r="J860" s="2"/>
      <c r="K860" s="2"/>
      <c r="L860" s="18"/>
      <c r="M860" s="2"/>
      <c r="N860" s="18"/>
      <c r="O860" s="18"/>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row>
    <row r="861">
      <c r="A861" s="18"/>
      <c r="B861" s="2"/>
      <c r="C861" s="18"/>
      <c r="D861" s="18"/>
      <c r="E861" s="18"/>
      <c r="F861" s="2"/>
      <c r="G861" s="2"/>
      <c r="H861" s="2"/>
      <c r="I861" s="2"/>
      <c r="J861" s="2"/>
      <c r="K861" s="2"/>
      <c r="L861" s="18"/>
      <c r="M861" s="2"/>
      <c r="N861" s="18"/>
      <c r="O861" s="18"/>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row>
    <row r="862">
      <c r="A862" s="18"/>
      <c r="B862" s="2"/>
      <c r="C862" s="18"/>
      <c r="D862" s="18"/>
      <c r="E862" s="18"/>
      <c r="F862" s="2"/>
      <c r="G862" s="2"/>
      <c r="H862" s="2"/>
      <c r="I862" s="2"/>
      <c r="J862" s="2"/>
      <c r="K862" s="2"/>
      <c r="L862" s="18"/>
      <c r="M862" s="2"/>
      <c r="N862" s="18"/>
      <c r="O862" s="18"/>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row>
    <row r="863">
      <c r="A863" s="18"/>
      <c r="B863" s="2"/>
      <c r="C863" s="18"/>
      <c r="D863" s="18"/>
      <c r="E863" s="18"/>
      <c r="F863" s="2"/>
      <c r="G863" s="2"/>
      <c r="H863" s="2"/>
      <c r="I863" s="2"/>
      <c r="J863" s="2"/>
      <c r="K863" s="2"/>
      <c r="L863" s="18"/>
      <c r="M863" s="2"/>
      <c r="N863" s="18"/>
      <c r="O863" s="18"/>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row>
    <row r="864">
      <c r="A864" s="18"/>
      <c r="B864" s="2"/>
      <c r="C864" s="18"/>
      <c r="D864" s="18"/>
      <c r="E864" s="18"/>
      <c r="F864" s="2"/>
      <c r="G864" s="2"/>
      <c r="H864" s="2"/>
      <c r="I864" s="2"/>
      <c r="J864" s="2"/>
      <c r="K864" s="2"/>
      <c r="L864" s="18"/>
      <c r="M864" s="2"/>
      <c r="N864" s="18"/>
      <c r="O864" s="18"/>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row>
    <row r="865">
      <c r="A865" s="18"/>
      <c r="B865" s="2"/>
      <c r="C865" s="18"/>
      <c r="D865" s="18"/>
      <c r="E865" s="18"/>
      <c r="F865" s="2"/>
      <c r="G865" s="2"/>
      <c r="H865" s="2"/>
      <c r="I865" s="2"/>
      <c r="J865" s="2"/>
      <c r="K865" s="2"/>
      <c r="L865" s="18"/>
      <c r="M865" s="2"/>
      <c r="N865" s="18"/>
      <c r="O865" s="18"/>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row>
    <row r="866">
      <c r="A866" s="18"/>
      <c r="B866" s="2"/>
      <c r="C866" s="18"/>
      <c r="D866" s="18"/>
      <c r="E866" s="18"/>
      <c r="F866" s="2"/>
      <c r="G866" s="2"/>
      <c r="H866" s="2"/>
      <c r="I866" s="2"/>
      <c r="J866" s="2"/>
      <c r="K866" s="2"/>
      <c r="L866" s="18"/>
      <c r="M866" s="2"/>
      <c r="N866" s="18"/>
      <c r="O866" s="18"/>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row>
    <row r="867">
      <c r="A867" s="18"/>
      <c r="B867" s="2"/>
      <c r="C867" s="18"/>
      <c r="D867" s="18"/>
      <c r="E867" s="18"/>
      <c r="F867" s="2"/>
      <c r="G867" s="2"/>
      <c r="H867" s="2"/>
      <c r="I867" s="2"/>
      <c r="J867" s="2"/>
      <c r="K867" s="2"/>
      <c r="L867" s="18"/>
      <c r="M867" s="2"/>
      <c r="N867" s="18"/>
      <c r="O867" s="18"/>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row>
    <row r="868">
      <c r="A868" s="18"/>
      <c r="B868" s="2"/>
      <c r="C868" s="18"/>
      <c r="D868" s="18"/>
      <c r="E868" s="18"/>
      <c r="F868" s="2"/>
      <c r="G868" s="2"/>
      <c r="H868" s="2"/>
      <c r="I868" s="2"/>
      <c r="J868" s="2"/>
      <c r="K868" s="2"/>
      <c r="L868" s="18"/>
      <c r="M868" s="2"/>
      <c r="N868" s="18"/>
      <c r="O868" s="18"/>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row>
    <row r="869">
      <c r="A869" s="18"/>
      <c r="B869" s="2"/>
      <c r="C869" s="18"/>
      <c r="D869" s="18"/>
      <c r="E869" s="18"/>
      <c r="F869" s="2"/>
      <c r="G869" s="2"/>
      <c r="H869" s="2"/>
      <c r="I869" s="2"/>
      <c r="J869" s="2"/>
      <c r="K869" s="2"/>
      <c r="L869" s="18"/>
      <c r="M869" s="2"/>
      <c r="N869" s="18"/>
      <c r="O869" s="18"/>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row>
    <row r="870">
      <c r="A870" s="18"/>
      <c r="B870" s="2"/>
      <c r="C870" s="18"/>
      <c r="D870" s="18"/>
      <c r="E870" s="18"/>
      <c r="F870" s="2"/>
      <c r="G870" s="2"/>
      <c r="H870" s="2"/>
      <c r="I870" s="2"/>
      <c r="J870" s="2"/>
      <c r="K870" s="2"/>
      <c r="L870" s="18"/>
      <c r="M870" s="2"/>
      <c r="N870" s="18"/>
      <c r="O870" s="18"/>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row>
    <row r="871">
      <c r="A871" s="18"/>
      <c r="B871" s="2"/>
      <c r="C871" s="18"/>
      <c r="D871" s="18"/>
      <c r="E871" s="18"/>
      <c r="F871" s="2"/>
      <c r="G871" s="2"/>
      <c r="H871" s="2"/>
      <c r="I871" s="2"/>
      <c r="J871" s="2"/>
      <c r="K871" s="2"/>
      <c r="L871" s="18"/>
      <c r="M871" s="2"/>
      <c r="N871" s="18"/>
      <c r="O871" s="18"/>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row>
    <row r="872">
      <c r="A872" s="18"/>
      <c r="B872" s="2"/>
      <c r="C872" s="18"/>
      <c r="D872" s="18"/>
      <c r="E872" s="18"/>
      <c r="F872" s="2"/>
      <c r="G872" s="2"/>
      <c r="H872" s="2"/>
      <c r="I872" s="2"/>
      <c r="J872" s="2"/>
      <c r="K872" s="2"/>
      <c r="L872" s="18"/>
      <c r="M872" s="2"/>
      <c r="N872" s="18"/>
      <c r="O872" s="18"/>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row>
    <row r="873">
      <c r="A873" s="18"/>
      <c r="B873" s="2"/>
      <c r="C873" s="18"/>
      <c r="D873" s="18"/>
      <c r="E873" s="18"/>
      <c r="F873" s="2"/>
      <c r="G873" s="2"/>
      <c r="H873" s="2"/>
      <c r="I873" s="2"/>
      <c r="J873" s="2"/>
      <c r="K873" s="2"/>
      <c r="L873" s="18"/>
      <c r="M873" s="2"/>
      <c r="N873" s="18"/>
      <c r="O873" s="18"/>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row>
    <row r="874">
      <c r="A874" s="18"/>
      <c r="B874" s="2"/>
      <c r="C874" s="18"/>
      <c r="D874" s="18"/>
      <c r="E874" s="18"/>
      <c r="F874" s="2"/>
      <c r="G874" s="2"/>
      <c r="H874" s="2"/>
      <c r="I874" s="2"/>
      <c r="J874" s="2"/>
      <c r="K874" s="2"/>
      <c r="L874" s="18"/>
      <c r="M874" s="2"/>
      <c r="N874" s="18"/>
      <c r="O874" s="18"/>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row>
    <row r="875">
      <c r="A875" s="18"/>
      <c r="B875" s="2"/>
      <c r="C875" s="18"/>
      <c r="D875" s="18"/>
      <c r="E875" s="18"/>
      <c r="F875" s="2"/>
      <c r="G875" s="2"/>
      <c r="H875" s="2"/>
      <c r="I875" s="2"/>
      <c r="J875" s="2"/>
      <c r="K875" s="2"/>
      <c r="L875" s="18"/>
      <c r="M875" s="2"/>
      <c r="N875" s="18"/>
      <c r="O875" s="18"/>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row>
    <row r="876">
      <c r="A876" s="18"/>
      <c r="B876" s="2"/>
      <c r="C876" s="18"/>
      <c r="D876" s="18"/>
      <c r="E876" s="18"/>
      <c r="F876" s="2"/>
      <c r="G876" s="2"/>
      <c r="H876" s="2"/>
      <c r="I876" s="2"/>
      <c r="J876" s="2"/>
      <c r="K876" s="2"/>
      <c r="L876" s="18"/>
      <c r="M876" s="2"/>
      <c r="N876" s="18"/>
      <c r="O876" s="18"/>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row>
    <row r="877">
      <c r="A877" s="18"/>
      <c r="B877" s="2"/>
      <c r="C877" s="18"/>
      <c r="D877" s="18"/>
      <c r="E877" s="18"/>
      <c r="F877" s="2"/>
      <c r="G877" s="2"/>
      <c r="H877" s="2"/>
      <c r="I877" s="2"/>
      <c r="J877" s="2"/>
      <c r="K877" s="2"/>
      <c r="L877" s="18"/>
      <c r="M877" s="2"/>
      <c r="N877" s="18"/>
      <c r="O877" s="18"/>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row>
    <row r="878">
      <c r="A878" s="18"/>
      <c r="B878" s="2"/>
      <c r="C878" s="18"/>
      <c r="D878" s="18"/>
      <c r="E878" s="18"/>
      <c r="F878" s="2"/>
      <c r="G878" s="2"/>
      <c r="H878" s="2"/>
      <c r="I878" s="2"/>
      <c r="J878" s="2"/>
      <c r="K878" s="2"/>
      <c r="L878" s="18"/>
      <c r="M878" s="2"/>
      <c r="N878" s="18"/>
      <c r="O878" s="18"/>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row>
    <row r="879">
      <c r="A879" s="18"/>
      <c r="B879" s="2"/>
      <c r="C879" s="18"/>
      <c r="D879" s="18"/>
      <c r="E879" s="18"/>
      <c r="F879" s="2"/>
      <c r="G879" s="2"/>
      <c r="H879" s="2"/>
      <c r="I879" s="2"/>
      <c r="J879" s="2"/>
      <c r="K879" s="2"/>
      <c r="L879" s="18"/>
      <c r="M879" s="2"/>
      <c r="N879" s="18"/>
      <c r="O879" s="18"/>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row>
    <row r="880">
      <c r="A880" s="18"/>
      <c r="B880" s="2"/>
      <c r="C880" s="18"/>
      <c r="D880" s="18"/>
      <c r="E880" s="18"/>
      <c r="F880" s="2"/>
      <c r="G880" s="2"/>
      <c r="H880" s="2"/>
      <c r="I880" s="2"/>
      <c r="J880" s="2"/>
      <c r="K880" s="2"/>
      <c r="L880" s="18"/>
      <c r="M880" s="2"/>
      <c r="N880" s="18"/>
      <c r="O880" s="18"/>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row>
    <row r="881">
      <c r="A881" s="18"/>
      <c r="B881" s="2"/>
      <c r="C881" s="18"/>
      <c r="D881" s="18"/>
      <c r="E881" s="18"/>
      <c r="F881" s="2"/>
      <c r="G881" s="2"/>
      <c r="H881" s="2"/>
      <c r="I881" s="2"/>
      <c r="J881" s="2"/>
      <c r="K881" s="2"/>
      <c r="L881" s="18"/>
      <c r="M881" s="2"/>
      <c r="N881" s="18"/>
      <c r="O881" s="18"/>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row>
    <row r="882">
      <c r="A882" s="18"/>
      <c r="B882" s="2"/>
      <c r="C882" s="18"/>
      <c r="D882" s="18"/>
      <c r="E882" s="18"/>
      <c r="F882" s="2"/>
      <c r="G882" s="2"/>
      <c r="H882" s="2"/>
      <c r="I882" s="2"/>
      <c r="J882" s="2"/>
      <c r="K882" s="2"/>
      <c r="L882" s="18"/>
      <c r="M882" s="2"/>
      <c r="N882" s="18"/>
      <c r="O882" s="18"/>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row>
    <row r="883">
      <c r="A883" s="18"/>
      <c r="B883" s="2"/>
      <c r="C883" s="18"/>
      <c r="D883" s="18"/>
      <c r="E883" s="18"/>
      <c r="F883" s="2"/>
      <c r="G883" s="2"/>
      <c r="H883" s="2"/>
      <c r="I883" s="2"/>
      <c r="J883" s="2"/>
      <c r="K883" s="2"/>
      <c r="L883" s="18"/>
      <c r="M883" s="2"/>
      <c r="N883" s="18"/>
      <c r="O883" s="18"/>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row>
    <row r="884">
      <c r="A884" s="18"/>
      <c r="B884" s="2"/>
      <c r="C884" s="18"/>
      <c r="D884" s="18"/>
      <c r="E884" s="18"/>
      <c r="F884" s="2"/>
      <c r="G884" s="2"/>
      <c r="H884" s="2"/>
      <c r="I884" s="2"/>
      <c r="J884" s="2"/>
      <c r="K884" s="2"/>
      <c r="L884" s="18"/>
      <c r="M884" s="2"/>
      <c r="N884" s="18"/>
      <c r="O884" s="18"/>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row>
    <row r="885">
      <c r="A885" s="18"/>
      <c r="B885" s="2"/>
      <c r="C885" s="18"/>
      <c r="D885" s="18"/>
      <c r="E885" s="18"/>
      <c r="F885" s="2"/>
      <c r="G885" s="2"/>
      <c r="H885" s="2"/>
      <c r="I885" s="2"/>
      <c r="J885" s="2"/>
      <c r="K885" s="2"/>
      <c r="L885" s="18"/>
      <c r="M885" s="2"/>
      <c r="N885" s="18"/>
      <c r="O885" s="18"/>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row>
    <row r="886">
      <c r="A886" s="18"/>
      <c r="B886" s="2"/>
      <c r="C886" s="18"/>
      <c r="D886" s="18"/>
      <c r="E886" s="18"/>
      <c r="F886" s="2"/>
      <c r="G886" s="2"/>
      <c r="H886" s="2"/>
      <c r="I886" s="2"/>
      <c r="J886" s="2"/>
      <c r="K886" s="2"/>
      <c r="L886" s="18"/>
      <c r="M886" s="2"/>
      <c r="N886" s="18"/>
      <c r="O886" s="18"/>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row>
    <row r="887">
      <c r="A887" s="18"/>
      <c r="B887" s="2"/>
      <c r="C887" s="18"/>
      <c r="D887" s="18"/>
      <c r="E887" s="18"/>
      <c r="F887" s="2"/>
      <c r="G887" s="2"/>
      <c r="H887" s="2"/>
      <c r="I887" s="2"/>
      <c r="J887" s="2"/>
      <c r="K887" s="2"/>
      <c r="L887" s="18"/>
      <c r="M887" s="2"/>
      <c r="N887" s="18"/>
      <c r="O887" s="18"/>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row>
    <row r="888">
      <c r="A888" s="18"/>
      <c r="B888" s="2"/>
      <c r="C888" s="18"/>
      <c r="D888" s="18"/>
      <c r="E888" s="18"/>
      <c r="F888" s="2"/>
      <c r="G888" s="2"/>
      <c r="H888" s="2"/>
      <c r="I888" s="2"/>
      <c r="J888" s="2"/>
      <c r="K888" s="2"/>
      <c r="L888" s="18"/>
      <c r="M888" s="2"/>
      <c r="N888" s="18"/>
      <c r="O888" s="18"/>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row>
    <row r="889">
      <c r="A889" s="18"/>
      <c r="B889" s="2"/>
      <c r="C889" s="18"/>
      <c r="D889" s="18"/>
      <c r="E889" s="18"/>
      <c r="F889" s="2"/>
      <c r="G889" s="2"/>
      <c r="H889" s="2"/>
      <c r="I889" s="2"/>
      <c r="J889" s="2"/>
      <c r="K889" s="2"/>
      <c r="L889" s="18"/>
      <c r="M889" s="2"/>
      <c r="N889" s="18"/>
      <c r="O889" s="18"/>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row>
    <row r="890">
      <c r="A890" s="18"/>
      <c r="B890" s="2"/>
      <c r="C890" s="18"/>
      <c r="D890" s="18"/>
      <c r="E890" s="18"/>
      <c r="F890" s="2"/>
      <c r="G890" s="2"/>
      <c r="H890" s="2"/>
      <c r="I890" s="2"/>
      <c r="J890" s="2"/>
      <c r="K890" s="2"/>
      <c r="L890" s="18"/>
      <c r="M890" s="2"/>
      <c r="N890" s="18"/>
      <c r="O890" s="18"/>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row>
    <row r="891">
      <c r="A891" s="18"/>
      <c r="B891" s="2"/>
      <c r="C891" s="18"/>
      <c r="D891" s="18"/>
      <c r="E891" s="18"/>
      <c r="F891" s="2"/>
      <c r="G891" s="2"/>
      <c r="H891" s="2"/>
      <c r="I891" s="2"/>
      <c r="J891" s="2"/>
      <c r="K891" s="2"/>
      <c r="L891" s="18"/>
      <c r="M891" s="2"/>
      <c r="N891" s="18"/>
      <c r="O891" s="18"/>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row>
    <row r="892">
      <c r="A892" s="18"/>
      <c r="B892" s="2"/>
      <c r="C892" s="18"/>
      <c r="D892" s="18"/>
      <c r="E892" s="18"/>
      <c r="F892" s="2"/>
      <c r="G892" s="2"/>
      <c r="H892" s="2"/>
      <c r="I892" s="2"/>
      <c r="J892" s="2"/>
      <c r="K892" s="2"/>
      <c r="L892" s="18"/>
      <c r="M892" s="2"/>
      <c r="N892" s="18"/>
      <c r="O892" s="18"/>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row>
    <row r="893">
      <c r="A893" s="18"/>
      <c r="B893" s="2"/>
      <c r="C893" s="18"/>
      <c r="D893" s="18"/>
      <c r="E893" s="18"/>
      <c r="F893" s="2"/>
      <c r="G893" s="2"/>
      <c r="H893" s="2"/>
      <c r="I893" s="2"/>
      <c r="J893" s="2"/>
      <c r="K893" s="2"/>
      <c r="L893" s="18"/>
      <c r="M893" s="2"/>
      <c r="N893" s="18"/>
      <c r="O893" s="18"/>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row>
    <row r="894">
      <c r="A894" s="18"/>
      <c r="B894" s="2"/>
      <c r="C894" s="18"/>
      <c r="D894" s="18"/>
      <c r="E894" s="18"/>
      <c r="F894" s="2"/>
      <c r="G894" s="2"/>
      <c r="H894" s="2"/>
      <c r="I894" s="2"/>
      <c r="J894" s="2"/>
      <c r="K894" s="2"/>
      <c r="L894" s="18"/>
      <c r="M894" s="2"/>
      <c r="N894" s="18"/>
      <c r="O894" s="18"/>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row>
    <row r="895">
      <c r="A895" s="18"/>
      <c r="B895" s="2"/>
      <c r="C895" s="18"/>
      <c r="D895" s="18"/>
      <c r="E895" s="18"/>
      <c r="F895" s="2"/>
      <c r="G895" s="2"/>
      <c r="H895" s="2"/>
      <c r="I895" s="2"/>
      <c r="J895" s="2"/>
      <c r="K895" s="2"/>
      <c r="L895" s="18"/>
      <c r="M895" s="2"/>
      <c r="N895" s="18"/>
      <c r="O895" s="18"/>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row>
    <row r="896">
      <c r="A896" s="18"/>
      <c r="B896" s="2"/>
      <c r="C896" s="18"/>
      <c r="D896" s="18"/>
      <c r="E896" s="18"/>
      <c r="F896" s="2"/>
      <c r="G896" s="2"/>
      <c r="H896" s="2"/>
      <c r="I896" s="2"/>
      <c r="J896" s="2"/>
      <c r="K896" s="2"/>
      <c r="L896" s="18"/>
      <c r="M896" s="2"/>
      <c r="N896" s="18"/>
      <c r="O896" s="18"/>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row>
    <row r="897">
      <c r="A897" s="18"/>
      <c r="B897" s="2"/>
      <c r="C897" s="18"/>
      <c r="D897" s="18"/>
      <c r="E897" s="18"/>
      <c r="F897" s="2"/>
      <c r="G897" s="2"/>
      <c r="H897" s="2"/>
      <c r="I897" s="2"/>
      <c r="J897" s="2"/>
      <c r="K897" s="2"/>
      <c r="L897" s="18"/>
      <c r="M897" s="2"/>
      <c r="N897" s="18"/>
      <c r="O897" s="18"/>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row>
    <row r="898">
      <c r="A898" s="18"/>
      <c r="B898" s="2"/>
      <c r="C898" s="18"/>
      <c r="D898" s="18"/>
      <c r="E898" s="18"/>
      <c r="F898" s="2"/>
      <c r="G898" s="2"/>
      <c r="H898" s="2"/>
      <c r="I898" s="2"/>
      <c r="J898" s="2"/>
      <c r="K898" s="2"/>
      <c r="L898" s="18"/>
      <c r="M898" s="2"/>
      <c r="N898" s="18"/>
      <c r="O898" s="18"/>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row>
    <row r="899">
      <c r="A899" s="18"/>
      <c r="B899" s="2"/>
      <c r="C899" s="18"/>
      <c r="D899" s="18"/>
      <c r="E899" s="18"/>
      <c r="F899" s="2"/>
      <c r="G899" s="2"/>
      <c r="H899" s="2"/>
      <c r="I899" s="2"/>
      <c r="J899" s="2"/>
      <c r="K899" s="2"/>
      <c r="L899" s="18"/>
      <c r="M899" s="2"/>
      <c r="N899" s="18"/>
      <c r="O899" s="18"/>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row>
    <row r="900">
      <c r="A900" s="18"/>
      <c r="B900" s="2"/>
      <c r="C900" s="18"/>
      <c r="D900" s="18"/>
      <c r="E900" s="18"/>
      <c r="F900" s="2"/>
      <c r="G900" s="2"/>
      <c r="H900" s="2"/>
      <c r="I900" s="2"/>
      <c r="J900" s="2"/>
      <c r="K900" s="2"/>
      <c r="L900" s="18"/>
      <c r="M900" s="2"/>
      <c r="N900" s="18"/>
      <c r="O900" s="18"/>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row>
    <row r="901">
      <c r="A901" s="18"/>
      <c r="B901" s="2"/>
      <c r="C901" s="18"/>
      <c r="D901" s="18"/>
      <c r="E901" s="18"/>
      <c r="F901" s="2"/>
      <c r="G901" s="2"/>
      <c r="H901" s="2"/>
      <c r="I901" s="2"/>
      <c r="J901" s="2"/>
      <c r="K901" s="2"/>
      <c r="L901" s="18"/>
      <c r="M901" s="2"/>
      <c r="N901" s="18"/>
      <c r="O901" s="18"/>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row>
    <row r="902">
      <c r="A902" s="18"/>
      <c r="B902" s="2"/>
      <c r="C902" s="18"/>
      <c r="D902" s="18"/>
      <c r="E902" s="18"/>
      <c r="F902" s="2"/>
      <c r="G902" s="2"/>
      <c r="H902" s="2"/>
      <c r="I902" s="2"/>
      <c r="J902" s="2"/>
      <c r="K902" s="2"/>
      <c r="L902" s="18"/>
      <c r="M902" s="2"/>
      <c r="N902" s="18"/>
      <c r="O902" s="18"/>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row>
    <row r="903">
      <c r="A903" s="18"/>
      <c r="B903" s="2"/>
      <c r="C903" s="18"/>
      <c r="D903" s="18"/>
      <c r="E903" s="18"/>
      <c r="F903" s="2"/>
      <c r="G903" s="2"/>
      <c r="H903" s="2"/>
      <c r="I903" s="2"/>
      <c r="J903" s="2"/>
      <c r="K903" s="2"/>
      <c r="L903" s="18"/>
      <c r="M903" s="2"/>
      <c r="N903" s="18"/>
      <c r="O903" s="18"/>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row>
    <row r="904">
      <c r="A904" s="18"/>
      <c r="B904" s="2"/>
      <c r="C904" s="18"/>
      <c r="D904" s="18"/>
      <c r="E904" s="18"/>
      <c r="F904" s="2"/>
      <c r="G904" s="2"/>
      <c r="H904" s="2"/>
      <c r="I904" s="2"/>
      <c r="J904" s="2"/>
      <c r="K904" s="2"/>
      <c r="L904" s="18"/>
      <c r="M904" s="2"/>
      <c r="N904" s="18"/>
      <c r="O904" s="18"/>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row>
    <row r="905">
      <c r="A905" s="18"/>
      <c r="B905" s="2"/>
      <c r="C905" s="18"/>
      <c r="D905" s="18"/>
      <c r="E905" s="18"/>
      <c r="F905" s="2"/>
      <c r="G905" s="2"/>
      <c r="H905" s="2"/>
      <c r="I905" s="2"/>
      <c r="J905" s="2"/>
      <c r="K905" s="2"/>
      <c r="L905" s="18"/>
      <c r="M905" s="2"/>
      <c r="N905" s="18"/>
      <c r="O905" s="18"/>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row>
    <row r="906">
      <c r="A906" s="18"/>
      <c r="B906" s="2"/>
      <c r="C906" s="18"/>
      <c r="D906" s="18"/>
      <c r="E906" s="18"/>
      <c r="F906" s="2"/>
      <c r="G906" s="2"/>
      <c r="H906" s="2"/>
      <c r="I906" s="2"/>
      <c r="J906" s="2"/>
      <c r="K906" s="2"/>
      <c r="L906" s="18"/>
      <c r="M906" s="2"/>
      <c r="N906" s="18"/>
      <c r="O906" s="18"/>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row>
    <row r="907">
      <c r="A907" s="18"/>
      <c r="B907" s="2"/>
      <c r="C907" s="18"/>
      <c r="D907" s="18"/>
      <c r="E907" s="18"/>
      <c r="F907" s="2"/>
      <c r="G907" s="2"/>
      <c r="H907" s="2"/>
      <c r="I907" s="2"/>
      <c r="J907" s="2"/>
      <c r="K907" s="2"/>
      <c r="L907" s="18"/>
      <c r="M907" s="2"/>
      <c r="N907" s="18"/>
      <c r="O907" s="18"/>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row>
    <row r="908">
      <c r="A908" s="18"/>
      <c r="B908" s="2"/>
      <c r="C908" s="18"/>
      <c r="D908" s="18"/>
      <c r="E908" s="18"/>
      <c r="F908" s="2"/>
      <c r="G908" s="2"/>
      <c r="H908" s="2"/>
      <c r="I908" s="2"/>
      <c r="J908" s="2"/>
      <c r="K908" s="2"/>
      <c r="L908" s="18"/>
      <c r="M908" s="2"/>
      <c r="N908" s="18"/>
      <c r="O908" s="18"/>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row>
    <row r="909">
      <c r="A909" s="18"/>
      <c r="B909" s="2"/>
      <c r="C909" s="18"/>
      <c r="D909" s="18"/>
      <c r="E909" s="18"/>
      <c r="F909" s="2"/>
      <c r="G909" s="2"/>
      <c r="H909" s="2"/>
      <c r="I909" s="2"/>
      <c r="J909" s="2"/>
      <c r="K909" s="2"/>
      <c r="L909" s="18"/>
      <c r="M909" s="2"/>
      <c r="N909" s="18"/>
      <c r="O909" s="18"/>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row>
    <row r="910">
      <c r="A910" s="18"/>
      <c r="B910" s="2"/>
      <c r="C910" s="18"/>
      <c r="D910" s="18"/>
      <c r="E910" s="18"/>
      <c r="F910" s="2"/>
      <c r="G910" s="2"/>
      <c r="H910" s="2"/>
      <c r="I910" s="2"/>
      <c r="J910" s="2"/>
      <c r="K910" s="2"/>
      <c r="L910" s="18"/>
      <c r="M910" s="2"/>
      <c r="N910" s="18"/>
      <c r="O910" s="18"/>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row>
    <row r="911">
      <c r="A911" s="18"/>
      <c r="B911" s="2"/>
      <c r="C911" s="18"/>
      <c r="D911" s="18"/>
      <c r="E911" s="18"/>
      <c r="F911" s="2"/>
      <c r="G911" s="2"/>
      <c r="H911" s="2"/>
      <c r="I911" s="2"/>
      <c r="J911" s="2"/>
      <c r="K911" s="2"/>
      <c r="L911" s="18"/>
      <c r="M911" s="2"/>
      <c r="N911" s="18"/>
      <c r="O911" s="18"/>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row>
    <row r="912">
      <c r="A912" s="18"/>
      <c r="B912" s="2"/>
      <c r="C912" s="18"/>
      <c r="D912" s="18"/>
      <c r="E912" s="18"/>
      <c r="F912" s="2"/>
      <c r="G912" s="2"/>
      <c r="H912" s="2"/>
      <c r="I912" s="2"/>
      <c r="J912" s="2"/>
      <c r="K912" s="2"/>
      <c r="L912" s="18"/>
      <c r="M912" s="2"/>
      <c r="N912" s="18"/>
      <c r="O912" s="18"/>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row>
    <row r="913">
      <c r="A913" s="18"/>
      <c r="B913" s="2"/>
      <c r="C913" s="18"/>
      <c r="D913" s="18"/>
      <c r="E913" s="18"/>
      <c r="F913" s="2"/>
      <c r="G913" s="2"/>
      <c r="H913" s="2"/>
      <c r="I913" s="2"/>
      <c r="J913" s="2"/>
      <c r="K913" s="2"/>
      <c r="L913" s="18"/>
      <c r="M913" s="2"/>
      <c r="N913" s="18"/>
      <c r="O913" s="18"/>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row>
    <row r="914">
      <c r="A914" s="18"/>
      <c r="B914" s="2"/>
      <c r="C914" s="18"/>
      <c r="D914" s="18"/>
      <c r="E914" s="18"/>
      <c r="F914" s="2"/>
      <c r="G914" s="2"/>
      <c r="H914" s="2"/>
      <c r="I914" s="2"/>
      <c r="J914" s="2"/>
      <c r="K914" s="2"/>
      <c r="L914" s="18"/>
      <c r="M914" s="2"/>
      <c r="N914" s="18"/>
      <c r="O914" s="18"/>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row>
    <row r="915">
      <c r="A915" s="18"/>
      <c r="B915" s="2"/>
      <c r="C915" s="18"/>
      <c r="D915" s="18"/>
      <c r="E915" s="18"/>
      <c r="F915" s="2"/>
      <c r="G915" s="2"/>
      <c r="H915" s="2"/>
      <c r="I915" s="2"/>
      <c r="J915" s="2"/>
      <c r="K915" s="2"/>
      <c r="L915" s="18"/>
      <c r="M915" s="2"/>
      <c r="N915" s="18"/>
      <c r="O915" s="18"/>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row>
    <row r="916">
      <c r="A916" s="18"/>
      <c r="B916" s="2"/>
      <c r="C916" s="18"/>
      <c r="D916" s="18"/>
      <c r="E916" s="18"/>
      <c r="F916" s="2"/>
      <c r="G916" s="2"/>
      <c r="H916" s="2"/>
      <c r="I916" s="2"/>
      <c r="J916" s="2"/>
      <c r="K916" s="2"/>
      <c r="L916" s="18"/>
      <c r="M916" s="2"/>
      <c r="N916" s="18"/>
      <c r="O916" s="18"/>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row>
    <row r="917">
      <c r="A917" s="18"/>
      <c r="B917" s="2"/>
      <c r="C917" s="18"/>
      <c r="D917" s="18"/>
      <c r="E917" s="18"/>
      <c r="F917" s="2"/>
      <c r="G917" s="2"/>
      <c r="H917" s="2"/>
      <c r="I917" s="2"/>
      <c r="J917" s="2"/>
      <c r="K917" s="2"/>
      <c r="L917" s="18"/>
      <c r="M917" s="2"/>
      <c r="N917" s="18"/>
      <c r="O917" s="18"/>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row>
    <row r="918">
      <c r="A918" s="18"/>
      <c r="B918" s="2"/>
      <c r="C918" s="18"/>
      <c r="D918" s="18"/>
      <c r="E918" s="18"/>
      <c r="F918" s="2"/>
      <c r="G918" s="2"/>
      <c r="H918" s="2"/>
      <c r="I918" s="2"/>
      <c r="J918" s="2"/>
      <c r="K918" s="2"/>
      <c r="L918" s="18"/>
      <c r="M918" s="2"/>
      <c r="N918" s="18"/>
      <c r="O918" s="18"/>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row>
    <row r="919">
      <c r="A919" s="18"/>
      <c r="B919" s="2"/>
      <c r="C919" s="18"/>
      <c r="D919" s="18"/>
      <c r="E919" s="18"/>
      <c r="F919" s="2"/>
      <c r="G919" s="2"/>
      <c r="H919" s="2"/>
      <c r="I919" s="2"/>
      <c r="J919" s="2"/>
      <c r="K919" s="2"/>
      <c r="L919" s="18"/>
      <c r="M919" s="2"/>
      <c r="N919" s="18"/>
      <c r="O919" s="18"/>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row>
    <row r="920">
      <c r="A920" s="18"/>
      <c r="B920" s="2"/>
      <c r="C920" s="18"/>
      <c r="D920" s="18"/>
      <c r="E920" s="18"/>
      <c r="F920" s="2"/>
      <c r="G920" s="2"/>
      <c r="H920" s="2"/>
      <c r="I920" s="2"/>
      <c r="J920" s="2"/>
      <c r="K920" s="2"/>
      <c r="L920" s="18"/>
      <c r="M920" s="2"/>
      <c r="N920" s="18"/>
      <c r="O920" s="18"/>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row>
    <row r="921">
      <c r="A921" s="18"/>
      <c r="B921" s="2"/>
      <c r="C921" s="18"/>
      <c r="D921" s="18"/>
      <c r="E921" s="18"/>
      <c r="F921" s="2"/>
      <c r="G921" s="2"/>
      <c r="H921" s="2"/>
      <c r="I921" s="2"/>
      <c r="J921" s="2"/>
      <c r="K921" s="2"/>
      <c r="L921" s="18"/>
      <c r="M921" s="2"/>
      <c r="N921" s="18"/>
      <c r="O921" s="18"/>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row>
    <row r="922">
      <c r="A922" s="18"/>
      <c r="B922" s="2"/>
      <c r="C922" s="18"/>
      <c r="D922" s="18"/>
      <c r="E922" s="18"/>
      <c r="F922" s="2"/>
      <c r="G922" s="2"/>
      <c r="H922" s="2"/>
      <c r="I922" s="2"/>
      <c r="J922" s="2"/>
      <c r="K922" s="2"/>
      <c r="L922" s="18"/>
      <c r="M922" s="2"/>
      <c r="N922" s="18"/>
      <c r="O922" s="18"/>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row>
    <row r="923">
      <c r="A923" s="18"/>
      <c r="B923" s="2"/>
      <c r="C923" s="18"/>
      <c r="D923" s="18"/>
      <c r="E923" s="18"/>
      <c r="F923" s="2"/>
      <c r="G923" s="2"/>
      <c r="H923" s="2"/>
      <c r="I923" s="2"/>
      <c r="J923" s="2"/>
      <c r="K923" s="2"/>
      <c r="L923" s="18"/>
      <c r="M923" s="2"/>
      <c r="N923" s="18"/>
      <c r="O923" s="18"/>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row>
    <row r="924">
      <c r="A924" s="18"/>
      <c r="B924" s="2"/>
      <c r="C924" s="18"/>
      <c r="D924" s="18"/>
      <c r="E924" s="18"/>
      <c r="F924" s="2"/>
      <c r="G924" s="2"/>
      <c r="H924" s="2"/>
      <c r="I924" s="2"/>
      <c r="J924" s="2"/>
      <c r="K924" s="2"/>
      <c r="L924" s="18"/>
      <c r="M924" s="2"/>
      <c r="N924" s="18"/>
      <c r="O924" s="18"/>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row>
    <row r="925">
      <c r="A925" s="18"/>
      <c r="B925" s="2"/>
      <c r="C925" s="18"/>
      <c r="D925" s="18"/>
      <c r="E925" s="18"/>
      <c r="F925" s="2"/>
      <c r="G925" s="2"/>
      <c r="H925" s="2"/>
      <c r="I925" s="2"/>
      <c r="J925" s="2"/>
      <c r="K925" s="2"/>
      <c r="L925" s="18"/>
      <c r="M925" s="2"/>
      <c r="N925" s="18"/>
      <c r="O925" s="18"/>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row>
    <row r="926">
      <c r="A926" s="18"/>
      <c r="B926" s="2"/>
      <c r="C926" s="18"/>
      <c r="D926" s="18"/>
      <c r="E926" s="18"/>
      <c r="F926" s="2"/>
      <c r="G926" s="2"/>
      <c r="H926" s="2"/>
      <c r="I926" s="2"/>
      <c r="J926" s="2"/>
      <c r="K926" s="2"/>
      <c r="L926" s="18"/>
      <c r="M926" s="2"/>
      <c r="N926" s="18"/>
      <c r="O926" s="18"/>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row>
    <row r="927">
      <c r="A927" s="18"/>
      <c r="B927" s="2"/>
      <c r="C927" s="18"/>
      <c r="D927" s="18"/>
      <c r="E927" s="18"/>
      <c r="F927" s="2"/>
      <c r="G927" s="2"/>
      <c r="H927" s="2"/>
      <c r="I927" s="2"/>
      <c r="J927" s="2"/>
      <c r="K927" s="2"/>
      <c r="L927" s="18"/>
      <c r="M927" s="2"/>
      <c r="N927" s="18"/>
      <c r="O927" s="18"/>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row>
    <row r="928">
      <c r="A928" s="18"/>
      <c r="B928" s="2"/>
      <c r="C928" s="18"/>
      <c r="D928" s="18"/>
      <c r="E928" s="18"/>
      <c r="F928" s="2"/>
      <c r="G928" s="2"/>
      <c r="H928" s="2"/>
      <c r="I928" s="2"/>
      <c r="J928" s="2"/>
      <c r="K928" s="2"/>
      <c r="L928" s="18"/>
      <c r="M928" s="2"/>
      <c r="N928" s="18"/>
      <c r="O928" s="18"/>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row>
    <row r="929">
      <c r="A929" s="18"/>
      <c r="B929" s="2"/>
      <c r="C929" s="18"/>
      <c r="D929" s="18"/>
      <c r="E929" s="18"/>
      <c r="F929" s="2"/>
      <c r="G929" s="2"/>
      <c r="H929" s="2"/>
      <c r="I929" s="2"/>
      <c r="J929" s="2"/>
      <c r="K929" s="2"/>
      <c r="L929" s="18"/>
      <c r="M929" s="2"/>
      <c r="N929" s="18"/>
      <c r="O929" s="18"/>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row>
    <row r="930">
      <c r="A930" s="18"/>
      <c r="B930" s="2"/>
      <c r="C930" s="18"/>
      <c r="D930" s="18"/>
      <c r="E930" s="18"/>
      <c r="F930" s="2"/>
      <c r="G930" s="2"/>
      <c r="H930" s="2"/>
      <c r="I930" s="2"/>
      <c r="J930" s="2"/>
      <c r="K930" s="2"/>
      <c r="L930" s="18"/>
      <c r="M930" s="2"/>
      <c r="N930" s="18"/>
      <c r="O930" s="18"/>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row>
    <row r="931">
      <c r="A931" s="18"/>
      <c r="B931" s="2"/>
      <c r="C931" s="18"/>
      <c r="D931" s="18"/>
      <c r="E931" s="18"/>
      <c r="F931" s="2"/>
      <c r="G931" s="2"/>
      <c r="H931" s="2"/>
      <c r="I931" s="2"/>
      <c r="J931" s="2"/>
      <c r="K931" s="2"/>
      <c r="L931" s="18"/>
      <c r="M931" s="2"/>
      <c r="N931" s="18"/>
      <c r="O931" s="18"/>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row>
    <row r="932">
      <c r="A932" s="18"/>
      <c r="B932" s="2"/>
      <c r="C932" s="18"/>
      <c r="D932" s="18"/>
      <c r="E932" s="18"/>
      <c r="F932" s="2"/>
      <c r="G932" s="2"/>
      <c r="H932" s="2"/>
      <c r="I932" s="2"/>
      <c r="J932" s="2"/>
      <c r="K932" s="2"/>
      <c r="L932" s="18"/>
      <c r="M932" s="2"/>
      <c r="N932" s="18"/>
      <c r="O932" s="18"/>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row>
    <row r="933">
      <c r="A933" s="18"/>
      <c r="B933" s="2"/>
      <c r="C933" s="18"/>
      <c r="D933" s="18"/>
      <c r="E933" s="18"/>
      <c r="F933" s="2"/>
      <c r="G933" s="2"/>
      <c r="H933" s="2"/>
      <c r="I933" s="2"/>
      <c r="J933" s="2"/>
      <c r="K933" s="2"/>
      <c r="L933" s="18"/>
      <c r="M933" s="2"/>
      <c r="N933" s="18"/>
      <c r="O933" s="18"/>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row>
    <row r="934">
      <c r="A934" s="18"/>
      <c r="B934" s="2"/>
      <c r="C934" s="18"/>
      <c r="D934" s="18"/>
      <c r="E934" s="18"/>
      <c r="F934" s="2"/>
      <c r="G934" s="2"/>
      <c r="H934" s="2"/>
      <c r="I934" s="2"/>
      <c r="J934" s="2"/>
      <c r="K934" s="2"/>
      <c r="L934" s="18"/>
      <c r="M934" s="2"/>
      <c r="N934" s="18"/>
      <c r="O934" s="18"/>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row>
    <row r="935">
      <c r="A935" s="18"/>
      <c r="B935" s="2"/>
      <c r="C935" s="18"/>
      <c r="D935" s="18"/>
      <c r="E935" s="18"/>
      <c r="F935" s="2"/>
      <c r="G935" s="2"/>
      <c r="H935" s="2"/>
      <c r="I935" s="2"/>
      <c r="J935" s="2"/>
      <c r="K935" s="2"/>
      <c r="L935" s="18"/>
      <c r="M935" s="2"/>
      <c r="N935" s="18"/>
      <c r="O935" s="18"/>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row>
    <row r="936">
      <c r="A936" s="18"/>
      <c r="B936" s="2"/>
      <c r="C936" s="18"/>
      <c r="D936" s="18"/>
      <c r="E936" s="18"/>
      <c r="F936" s="2"/>
      <c r="G936" s="2"/>
      <c r="H936" s="2"/>
      <c r="I936" s="2"/>
      <c r="J936" s="2"/>
      <c r="K936" s="2"/>
      <c r="L936" s="18"/>
      <c r="M936" s="2"/>
      <c r="N936" s="18"/>
      <c r="O936" s="18"/>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row>
    <row r="937">
      <c r="A937" s="18"/>
      <c r="B937" s="2"/>
      <c r="C937" s="18"/>
      <c r="D937" s="18"/>
      <c r="E937" s="18"/>
      <c r="F937" s="2"/>
      <c r="G937" s="2"/>
      <c r="H937" s="2"/>
      <c r="I937" s="2"/>
      <c r="J937" s="2"/>
      <c r="K937" s="2"/>
      <c r="L937" s="18"/>
      <c r="M937" s="2"/>
      <c r="N937" s="18"/>
      <c r="O937" s="18"/>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row>
    <row r="938">
      <c r="A938" s="18"/>
      <c r="B938" s="2"/>
      <c r="C938" s="18"/>
      <c r="D938" s="18"/>
      <c r="E938" s="18"/>
      <c r="F938" s="2"/>
      <c r="G938" s="2"/>
      <c r="H938" s="2"/>
      <c r="I938" s="2"/>
      <c r="J938" s="2"/>
      <c r="K938" s="2"/>
      <c r="L938" s="18"/>
      <c r="M938" s="2"/>
      <c r="N938" s="18"/>
      <c r="O938" s="18"/>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row>
    <row r="939">
      <c r="A939" s="18"/>
      <c r="B939" s="2"/>
      <c r="C939" s="18"/>
      <c r="D939" s="18"/>
      <c r="E939" s="18"/>
      <c r="F939" s="2"/>
      <c r="G939" s="2"/>
      <c r="H939" s="2"/>
      <c r="I939" s="2"/>
      <c r="J939" s="2"/>
      <c r="K939" s="2"/>
      <c r="L939" s="18"/>
      <c r="M939" s="2"/>
      <c r="N939" s="18"/>
      <c r="O939" s="18"/>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row>
    <row r="940">
      <c r="A940" s="18"/>
      <c r="B940" s="2"/>
      <c r="C940" s="18"/>
      <c r="D940" s="18"/>
      <c r="E940" s="18"/>
      <c r="F940" s="2"/>
      <c r="G940" s="2"/>
      <c r="H940" s="2"/>
      <c r="I940" s="2"/>
      <c r="J940" s="2"/>
      <c r="K940" s="2"/>
      <c r="L940" s="18"/>
      <c r="M940" s="2"/>
      <c r="N940" s="18"/>
      <c r="O940" s="18"/>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row>
    <row r="941">
      <c r="A941" s="18"/>
      <c r="B941" s="2"/>
      <c r="C941" s="18"/>
      <c r="D941" s="18"/>
      <c r="E941" s="18"/>
      <c r="F941" s="2"/>
      <c r="G941" s="2"/>
      <c r="H941" s="2"/>
      <c r="I941" s="2"/>
      <c r="J941" s="2"/>
      <c r="K941" s="2"/>
      <c r="L941" s="18"/>
      <c r="M941" s="2"/>
      <c r="N941" s="18"/>
      <c r="O941" s="18"/>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row>
    <row r="942">
      <c r="A942" s="18"/>
      <c r="B942" s="2"/>
      <c r="C942" s="18"/>
      <c r="D942" s="18"/>
      <c r="E942" s="18"/>
      <c r="F942" s="2"/>
      <c r="G942" s="2"/>
      <c r="H942" s="2"/>
      <c r="I942" s="2"/>
      <c r="J942" s="2"/>
      <c r="K942" s="2"/>
      <c r="L942" s="18"/>
      <c r="M942" s="2"/>
      <c r="N942" s="18"/>
      <c r="O942" s="18"/>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row>
    <row r="943">
      <c r="A943" s="18"/>
      <c r="B943" s="2"/>
      <c r="C943" s="18"/>
      <c r="D943" s="18"/>
      <c r="E943" s="18"/>
      <c r="F943" s="2"/>
      <c r="G943" s="2"/>
      <c r="H943" s="2"/>
      <c r="I943" s="2"/>
      <c r="J943" s="2"/>
      <c r="K943" s="2"/>
      <c r="L943" s="18"/>
      <c r="M943" s="2"/>
      <c r="N943" s="18"/>
      <c r="O943" s="18"/>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row>
    <row r="944">
      <c r="A944" s="18"/>
      <c r="B944" s="2"/>
      <c r="C944" s="18"/>
      <c r="D944" s="18"/>
      <c r="E944" s="18"/>
      <c r="F944" s="2"/>
      <c r="G944" s="2"/>
      <c r="H944" s="2"/>
      <c r="I944" s="2"/>
      <c r="J944" s="2"/>
      <c r="K944" s="2"/>
      <c r="L944" s="18"/>
      <c r="M944" s="2"/>
      <c r="N944" s="18"/>
      <c r="O944" s="18"/>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row>
    <row r="945">
      <c r="A945" s="18"/>
      <c r="B945" s="2"/>
      <c r="C945" s="18"/>
      <c r="D945" s="18"/>
      <c r="E945" s="18"/>
      <c r="F945" s="2"/>
      <c r="G945" s="2"/>
      <c r="H945" s="2"/>
      <c r="I945" s="2"/>
      <c r="J945" s="2"/>
      <c r="K945" s="2"/>
      <c r="L945" s="18"/>
      <c r="M945" s="2"/>
      <c r="N945" s="18"/>
      <c r="O945" s="18"/>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row>
    <row r="946">
      <c r="A946" s="18"/>
      <c r="B946" s="2"/>
      <c r="C946" s="18"/>
      <c r="D946" s="18"/>
      <c r="E946" s="18"/>
      <c r="F946" s="2"/>
      <c r="G946" s="2"/>
      <c r="H946" s="2"/>
      <c r="I946" s="2"/>
      <c r="J946" s="2"/>
      <c r="K946" s="2"/>
      <c r="L946" s="18"/>
      <c r="M946" s="2"/>
      <c r="N946" s="18"/>
      <c r="O946" s="18"/>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row>
    <row r="947">
      <c r="A947" s="18"/>
      <c r="B947" s="2"/>
      <c r="C947" s="18"/>
      <c r="D947" s="18"/>
      <c r="E947" s="18"/>
      <c r="F947" s="2"/>
      <c r="G947" s="2"/>
      <c r="H947" s="2"/>
      <c r="I947" s="2"/>
      <c r="J947" s="2"/>
      <c r="K947" s="2"/>
      <c r="L947" s="18"/>
      <c r="M947" s="2"/>
      <c r="N947" s="18"/>
      <c r="O947" s="18"/>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row>
    <row r="948">
      <c r="A948" s="18"/>
      <c r="B948" s="2"/>
      <c r="C948" s="18"/>
      <c r="D948" s="18"/>
      <c r="E948" s="18"/>
      <c r="F948" s="2"/>
      <c r="G948" s="2"/>
      <c r="H948" s="2"/>
      <c r="I948" s="2"/>
      <c r="J948" s="2"/>
      <c r="K948" s="2"/>
      <c r="L948" s="18"/>
      <c r="M948" s="2"/>
      <c r="N948" s="18"/>
      <c r="O948" s="18"/>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row>
    <row r="949">
      <c r="A949" s="18"/>
      <c r="B949" s="2"/>
      <c r="C949" s="18"/>
      <c r="D949" s="18"/>
      <c r="E949" s="18"/>
      <c r="F949" s="2"/>
      <c r="G949" s="2"/>
      <c r="H949" s="2"/>
      <c r="I949" s="2"/>
      <c r="J949" s="2"/>
      <c r="K949" s="2"/>
      <c r="L949" s="18"/>
      <c r="M949" s="2"/>
      <c r="N949" s="18"/>
      <c r="O949" s="18"/>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row>
    <row r="950">
      <c r="A950" s="18"/>
      <c r="B950" s="2"/>
      <c r="C950" s="18"/>
      <c r="D950" s="18"/>
      <c r="E950" s="18"/>
      <c r="F950" s="2"/>
      <c r="G950" s="2"/>
      <c r="H950" s="2"/>
      <c r="I950" s="2"/>
      <c r="J950" s="2"/>
      <c r="K950" s="2"/>
      <c r="L950" s="18"/>
      <c r="M950" s="2"/>
      <c r="N950" s="18"/>
      <c r="O950" s="18"/>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row>
    <row r="951">
      <c r="A951" s="18"/>
      <c r="B951" s="2"/>
      <c r="C951" s="18"/>
      <c r="D951" s="18"/>
      <c r="E951" s="18"/>
      <c r="F951" s="2"/>
      <c r="G951" s="2"/>
      <c r="H951" s="2"/>
      <c r="I951" s="2"/>
      <c r="J951" s="2"/>
      <c r="K951" s="2"/>
      <c r="L951" s="18"/>
      <c r="M951" s="2"/>
      <c r="N951" s="18"/>
      <c r="O951" s="18"/>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row>
    <row r="952">
      <c r="A952" s="18"/>
      <c r="B952" s="2"/>
      <c r="C952" s="18"/>
      <c r="D952" s="18"/>
      <c r="E952" s="18"/>
      <c r="F952" s="2"/>
      <c r="G952" s="2"/>
      <c r="H952" s="2"/>
      <c r="I952" s="2"/>
      <c r="J952" s="2"/>
      <c r="K952" s="2"/>
      <c r="L952" s="18"/>
      <c r="M952" s="2"/>
      <c r="N952" s="18"/>
      <c r="O952" s="18"/>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row>
    <row r="953">
      <c r="A953" s="18"/>
      <c r="B953" s="2"/>
      <c r="C953" s="18"/>
      <c r="D953" s="18"/>
      <c r="E953" s="18"/>
      <c r="F953" s="2"/>
      <c r="G953" s="2"/>
      <c r="H953" s="2"/>
      <c r="I953" s="2"/>
      <c r="J953" s="2"/>
      <c r="K953" s="2"/>
      <c r="L953" s="18"/>
      <c r="M953" s="2"/>
      <c r="N953" s="18"/>
      <c r="O953" s="18"/>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row>
    <row r="954">
      <c r="A954" s="18"/>
      <c r="B954" s="2"/>
      <c r="C954" s="18"/>
      <c r="D954" s="18"/>
      <c r="E954" s="18"/>
      <c r="F954" s="2"/>
      <c r="G954" s="2"/>
      <c r="H954" s="2"/>
      <c r="I954" s="2"/>
      <c r="J954" s="2"/>
      <c r="K954" s="2"/>
      <c r="L954" s="18"/>
      <c r="M954" s="2"/>
      <c r="N954" s="18"/>
      <c r="O954" s="18"/>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row>
    <row r="955">
      <c r="A955" s="18"/>
      <c r="B955" s="2"/>
      <c r="C955" s="18"/>
      <c r="D955" s="18"/>
      <c r="E955" s="18"/>
      <c r="F955" s="2"/>
      <c r="G955" s="2"/>
      <c r="H955" s="2"/>
      <c r="I955" s="2"/>
      <c r="J955" s="2"/>
      <c r="K955" s="2"/>
      <c r="L955" s="18"/>
      <c r="M955" s="2"/>
      <c r="N955" s="18"/>
      <c r="O955" s="18"/>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row>
    <row r="956">
      <c r="A956" s="18"/>
      <c r="B956" s="2"/>
      <c r="C956" s="18"/>
      <c r="D956" s="18"/>
      <c r="E956" s="18"/>
      <c r="F956" s="2"/>
      <c r="G956" s="2"/>
      <c r="H956" s="2"/>
      <c r="I956" s="2"/>
      <c r="J956" s="2"/>
      <c r="K956" s="2"/>
      <c r="L956" s="18"/>
      <c r="M956" s="2"/>
      <c r="N956" s="18"/>
      <c r="O956" s="18"/>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row>
    <row r="957">
      <c r="A957" s="18"/>
      <c r="B957" s="2"/>
      <c r="C957" s="18"/>
      <c r="D957" s="18"/>
      <c r="E957" s="18"/>
      <c r="F957" s="2"/>
      <c r="G957" s="2"/>
      <c r="H957" s="2"/>
      <c r="I957" s="2"/>
      <c r="J957" s="2"/>
      <c r="K957" s="2"/>
      <c r="L957" s="18"/>
      <c r="M957" s="2"/>
      <c r="N957" s="18"/>
      <c r="O957" s="18"/>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row>
    <row r="958">
      <c r="A958" s="18"/>
      <c r="B958" s="2"/>
      <c r="C958" s="18"/>
      <c r="D958" s="18"/>
      <c r="E958" s="18"/>
      <c r="F958" s="2"/>
      <c r="G958" s="2"/>
      <c r="H958" s="2"/>
      <c r="I958" s="2"/>
      <c r="J958" s="2"/>
      <c r="K958" s="2"/>
      <c r="L958" s="18"/>
      <c r="M958" s="2"/>
      <c r="N958" s="18"/>
      <c r="O958" s="18"/>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row>
    <row r="959">
      <c r="A959" s="18"/>
      <c r="B959" s="2"/>
      <c r="C959" s="18"/>
      <c r="D959" s="18"/>
      <c r="E959" s="18"/>
      <c r="F959" s="2"/>
      <c r="G959" s="2"/>
      <c r="H959" s="2"/>
      <c r="I959" s="2"/>
      <c r="J959" s="2"/>
      <c r="K959" s="2"/>
      <c r="L959" s="18"/>
      <c r="M959" s="2"/>
      <c r="N959" s="18"/>
      <c r="O959" s="18"/>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row>
    <row r="960">
      <c r="A960" s="18"/>
      <c r="B960" s="2"/>
      <c r="C960" s="18"/>
      <c r="D960" s="18"/>
      <c r="E960" s="18"/>
      <c r="F960" s="2"/>
      <c r="G960" s="2"/>
      <c r="H960" s="2"/>
      <c r="I960" s="2"/>
      <c r="J960" s="2"/>
      <c r="K960" s="2"/>
      <c r="L960" s="18"/>
      <c r="M960" s="2"/>
      <c r="N960" s="18"/>
      <c r="O960" s="18"/>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row>
    <row r="961">
      <c r="A961" s="18"/>
      <c r="B961" s="2"/>
      <c r="C961" s="18"/>
      <c r="D961" s="18"/>
      <c r="E961" s="18"/>
      <c r="F961" s="2"/>
      <c r="G961" s="2"/>
      <c r="H961" s="2"/>
      <c r="I961" s="2"/>
      <c r="J961" s="2"/>
      <c r="K961" s="2"/>
      <c r="L961" s="18"/>
      <c r="M961" s="2"/>
      <c r="N961" s="18"/>
      <c r="O961" s="18"/>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row>
    <row r="962">
      <c r="A962" s="18"/>
      <c r="B962" s="2"/>
      <c r="C962" s="18"/>
      <c r="D962" s="18"/>
      <c r="E962" s="18"/>
      <c r="F962" s="2"/>
      <c r="G962" s="2"/>
      <c r="H962" s="2"/>
      <c r="I962" s="2"/>
      <c r="J962" s="2"/>
      <c r="K962" s="2"/>
      <c r="L962" s="18"/>
      <c r="M962" s="2"/>
      <c r="N962" s="18"/>
      <c r="O962" s="18"/>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row>
    <row r="963">
      <c r="A963" s="18"/>
      <c r="B963" s="2"/>
      <c r="C963" s="18"/>
      <c r="D963" s="18"/>
      <c r="E963" s="18"/>
      <c r="F963" s="2"/>
      <c r="G963" s="2"/>
      <c r="H963" s="2"/>
      <c r="I963" s="2"/>
      <c r="J963" s="2"/>
      <c r="K963" s="2"/>
      <c r="L963" s="18"/>
      <c r="M963" s="2"/>
      <c r="N963" s="18"/>
      <c r="O963" s="18"/>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row>
    <row r="964">
      <c r="A964" s="18"/>
      <c r="B964" s="2"/>
      <c r="C964" s="18"/>
      <c r="D964" s="18"/>
      <c r="E964" s="18"/>
      <c r="F964" s="2"/>
      <c r="G964" s="2"/>
      <c r="H964" s="2"/>
      <c r="I964" s="2"/>
      <c r="J964" s="2"/>
      <c r="K964" s="2"/>
      <c r="L964" s="18"/>
      <c r="M964" s="2"/>
      <c r="N964" s="18"/>
      <c r="O964" s="18"/>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row>
    <row r="965">
      <c r="A965" s="18"/>
      <c r="B965" s="2"/>
      <c r="C965" s="18"/>
      <c r="D965" s="18"/>
      <c r="E965" s="18"/>
      <c r="F965" s="2"/>
      <c r="G965" s="2"/>
      <c r="H965" s="2"/>
      <c r="I965" s="2"/>
      <c r="J965" s="2"/>
      <c r="K965" s="2"/>
      <c r="L965" s="18"/>
      <c r="M965" s="2"/>
      <c r="N965" s="18"/>
      <c r="O965" s="18"/>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row>
    <row r="966">
      <c r="A966" s="18"/>
      <c r="B966" s="2"/>
      <c r="C966" s="18"/>
      <c r="D966" s="18"/>
      <c r="E966" s="18"/>
      <c r="F966" s="2"/>
      <c r="G966" s="2"/>
      <c r="H966" s="2"/>
      <c r="I966" s="2"/>
      <c r="J966" s="2"/>
      <c r="K966" s="2"/>
      <c r="L966" s="18"/>
      <c r="M966" s="2"/>
      <c r="N966" s="18"/>
      <c r="O966" s="18"/>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row>
    <row r="967">
      <c r="A967" s="18"/>
      <c r="B967" s="2"/>
      <c r="C967" s="18"/>
      <c r="D967" s="18"/>
      <c r="E967" s="18"/>
      <c r="F967" s="2"/>
      <c r="G967" s="2"/>
      <c r="H967" s="2"/>
      <c r="I967" s="2"/>
      <c r="J967" s="2"/>
      <c r="K967" s="2"/>
      <c r="L967" s="18"/>
      <c r="M967" s="2"/>
      <c r="N967" s="18"/>
      <c r="O967" s="18"/>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row>
    <row r="968">
      <c r="A968" s="18"/>
      <c r="B968" s="2"/>
      <c r="C968" s="18"/>
      <c r="D968" s="18"/>
      <c r="E968" s="18"/>
      <c r="F968" s="2"/>
      <c r="G968" s="2"/>
      <c r="H968" s="2"/>
      <c r="I968" s="2"/>
      <c r="J968" s="2"/>
      <c r="K968" s="2"/>
      <c r="L968" s="18"/>
      <c r="M968" s="2"/>
      <c r="N968" s="18"/>
      <c r="O968" s="18"/>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row>
    <row r="969">
      <c r="A969" s="18"/>
      <c r="B969" s="2"/>
      <c r="C969" s="18"/>
      <c r="D969" s="18"/>
      <c r="E969" s="18"/>
      <c r="F969" s="2"/>
      <c r="G969" s="2"/>
      <c r="H969" s="2"/>
      <c r="I969" s="2"/>
      <c r="J969" s="2"/>
      <c r="K969" s="2"/>
      <c r="L969" s="18"/>
      <c r="M969" s="2"/>
      <c r="N969" s="18"/>
      <c r="O969" s="18"/>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row>
    <row r="970">
      <c r="A970" s="18"/>
      <c r="B970" s="2"/>
      <c r="C970" s="18"/>
      <c r="D970" s="18"/>
      <c r="E970" s="18"/>
      <c r="F970" s="2"/>
      <c r="G970" s="2"/>
      <c r="H970" s="2"/>
      <c r="I970" s="2"/>
      <c r="J970" s="2"/>
      <c r="K970" s="2"/>
      <c r="L970" s="18"/>
      <c r="M970" s="2"/>
      <c r="N970" s="18"/>
      <c r="O970" s="18"/>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row>
    <row r="971">
      <c r="A971" s="18"/>
      <c r="B971" s="2"/>
      <c r="C971" s="18"/>
      <c r="D971" s="18"/>
      <c r="E971" s="18"/>
      <c r="F971" s="2"/>
      <c r="G971" s="2"/>
      <c r="H971" s="2"/>
      <c r="I971" s="2"/>
      <c r="J971" s="2"/>
      <c r="K971" s="2"/>
      <c r="L971" s="18"/>
      <c r="M971" s="2"/>
      <c r="N971" s="18"/>
      <c r="O971" s="18"/>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row>
    <row r="972">
      <c r="A972" s="18"/>
      <c r="B972" s="2"/>
      <c r="C972" s="18"/>
      <c r="D972" s="18"/>
      <c r="E972" s="18"/>
      <c r="F972" s="2"/>
      <c r="G972" s="2"/>
      <c r="H972" s="2"/>
      <c r="I972" s="2"/>
      <c r="J972" s="2"/>
      <c r="K972" s="2"/>
      <c r="L972" s="18"/>
      <c r="M972" s="2"/>
      <c r="N972" s="18"/>
      <c r="O972" s="18"/>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row>
    <row r="973">
      <c r="A973" s="18"/>
      <c r="B973" s="2"/>
      <c r="C973" s="18"/>
      <c r="D973" s="18"/>
      <c r="E973" s="18"/>
      <c r="F973" s="2"/>
      <c r="G973" s="2"/>
      <c r="H973" s="2"/>
      <c r="I973" s="2"/>
      <c r="J973" s="2"/>
      <c r="K973" s="2"/>
      <c r="L973" s="18"/>
      <c r="M973" s="2"/>
      <c r="N973" s="18"/>
      <c r="O973" s="18"/>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row>
    <row r="974">
      <c r="A974" s="18"/>
      <c r="B974" s="2"/>
      <c r="C974" s="18"/>
      <c r="D974" s="18"/>
      <c r="E974" s="18"/>
      <c r="F974" s="2"/>
      <c r="G974" s="2"/>
      <c r="H974" s="2"/>
      <c r="I974" s="2"/>
      <c r="J974" s="2"/>
      <c r="K974" s="2"/>
      <c r="L974" s="18"/>
      <c r="M974" s="2"/>
      <c r="N974" s="18"/>
      <c r="O974" s="18"/>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row>
    <row r="975">
      <c r="A975" s="18"/>
      <c r="B975" s="2"/>
      <c r="C975" s="18"/>
      <c r="D975" s="18"/>
      <c r="E975" s="18"/>
      <c r="F975" s="2"/>
      <c r="G975" s="2"/>
      <c r="H975" s="2"/>
      <c r="I975" s="2"/>
      <c r="J975" s="2"/>
      <c r="K975" s="2"/>
      <c r="L975" s="18"/>
      <c r="M975" s="2"/>
      <c r="N975" s="18"/>
      <c r="O975" s="18"/>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row>
    <row r="976">
      <c r="A976" s="18"/>
      <c r="B976" s="2"/>
      <c r="C976" s="18"/>
      <c r="D976" s="18"/>
      <c r="E976" s="18"/>
      <c r="F976" s="2"/>
      <c r="G976" s="2"/>
      <c r="H976" s="2"/>
      <c r="I976" s="2"/>
      <c r="J976" s="2"/>
      <c r="K976" s="2"/>
      <c r="L976" s="18"/>
      <c r="M976" s="2"/>
      <c r="N976" s="18"/>
      <c r="O976" s="18"/>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row>
    <row r="977">
      <c r="A977" s="18"/>
      <c r="B977" s="2"/>
      <c r="C977" s="18"/>
      <c r="D977" s="18"/>
      <c r="E977" s="18"/>
      <c r="F977" s="2"/>
      <c r="G977" s="2"/>
      <c r="H977" s="2"/>
      <c r="I977" s="2"/>
      <c r="J977" s="2"/>
      <c r="K977" s="2"/>
      <c r="L977" s="18"/>
      <c r="M977" s="2"/>
      <c r="N977" s="18"/>
      <c r="O977" s="18"/>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row>
    <row r="978">
      <c r="A978" s="18"/>
      <c r="B978" s="2"/>
      <c r="C978" s="18"/>
      <c r="D978" s="18"/>
      <c r="E978" s="18"/>
      <c r="F978" s="2"/>
      <c r="G978" s="2"/>
      <c r="H978" s="2"/>
      <c r="I978" s="2"/>
      <c r="J978" s="2"/>
      <c r="K978" s="2"/>
      <c r="L978" s="18"/>
      <c r="M978" s="2"/>
      <c r="N978" s="18"/>
      <c r="O978" s="18"/>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row>
    <row r="979">
      <c r="A979" s="18"/>
      <c r="B979" s="2"/>
      <c r="C979" s="18"/>
      <c r="D979" s="18"/>
      <c r="E979" s="18"/>
      <c r="F979" s="2"/>
      <c r="G979" s="2"/>
      <c r="H979" s="2"/>
      <c r="I979" s="2"/>
      <c r="J979" s="2"/>
      <c r="K979" s="2"/>
      <c r="L979" s="18"/>
      <c r="M979" s="2"/>
      <c r="N979" s="18"/>
      <c r="O979" s="18"/>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row>
    <row r="980">
      <c r="A980" s="18"/>
      <c r="B980" s="2"/>
      <c r="C980" s="18"/>
      <c r="D980" s="18"/>
      <c r="E980" s="18"/>
      <c r="F980" s="2"/>
      <c r="G980" s="2"/>
      <c r="H980" s="2"/>
      <c r="I980" s="2"/>
      <c r="J980" s="2"/>
      <c r="K980" s="2"/>
      <c r="L980" s="18"/>
      <c r="M980" s="2"/>
      <c r="N980" s="18"/>
      <c r="O980" s="18"/>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row>
    <row r="981">
      <c r="A981" s="18"/>
      <c r="B981" s="2"/>
      <c r="C981" s="18"/>
      <c r="D981" s="18"/>
      <c r="E981" s="18"/>
      <c r="F981" s="2"/>
      <c r="G981" s="2"/>
      <c r="H981" s="2"/>
      <c r="I981" s="2"/>
      <c r="J981" s="2"/>
      <c r="K981" s="2"/>
      <c r="L981" s="18"/>
      <c r="M981" s="2"/>
      <c r="N981" s="18"/>
      <c r="O981" s="18"/>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row>
    <row r="982">
      <c r="A982" s="18"/>
      <c r="B982" s="2"/>
      <c r="C982" s="18"/>
      <c r="D982" s="18"/>
      <c r="E982" s="18"/>
      <c r="F982" s="2"/>
      <c r="G982" s="2"/>
      <c r="H982" s="2"/>
      <c r="I982" s="2"/>
      <c r="J982" s="2"/>
      <c r="K982" s="2"/>
      <c r="L982" s="18"/>
      <c r="M982" s="2"/>
      <c r="N982" s="18"/>
      <c r="O982" s="18"/>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row>
    <row r="983">
      <c r="A983" s="18"/>
      <c r="B983" s="2"/>
      <c r="C983" s="18"/>
      <c r="D983" s="18"/>
      <c r="E983" s="18"/>
      <c r="F983" s="2"/>
      <c r="G983" s="2"/>
      <c r="H983" s="2"/>
      <c r="I983" s="2"/>
      <c r="J983" s="2"/>
      <c r="K983" s="2"/>
      <c r="L983" s="18"/>
      <c r="M983" s="2"/>
      <c r="N983" s="18"/>
      <c r="O983" s="18"/>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row>
    <row r="984">
      <c r="A984" s="18"/>
      <c r="B984" s="2"/>
      <c r="C984" s="18"/>
      <c r="D984" s="18"/>
      <c r="E984" s="18"/>
      <c r="F984" s="2"/>
      <c r="G984" s="2"/>
      <c r="H984" s="2"/>
      <c r="I984" s="2"/>
      <c r="J984" s="2"/>
      <c r="K984" s="2"/>
      <c r="L984" s="18"/>
      <c r="M984" s="2"/>
      <c r="N984" s="18"/>
      <c r="O984" s="18"/>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row>
    <row r="985">
      <c r="A985" s="18"/>
      <c r="B985" s="2"/>
      <c r="C985" s="18"/>
      <c r="D985" s="18"/>
      <c r="E985" s="18"/>
      <c r="F985" s="2"/>
      <c r="G985" s="2"/>
      <c r="H985" s="2"/>
      <c r="I985" s="2"/>
      <c r="J985" s="2"/>
      <c r="K985" s="2"/>
      <c r="L985" s="18"/>
      <c r="M985" s="2"/>
      <c r="N985" s="18"/>
      <c r="O985" s="18"/>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row>
    <row r="986">
      <c r="A986" s="18"/>
      <c r="B986" s="2"/>
      <c r="C986" s="18"/>
      <c r="D986" s="18"/>
      <c r="E986" s="18"/>
      <c r="F986" s="2"/>
      <c r="G986" s="2"/>
      <c r="H986" s="2"/>
      <c r="I986" s="2"/>
      <c r="J986" s="2"/>
      <c r="K986" s="2"/>
      <c r="L986" s="18"/>
      <c r="M986" s="2"/>
      <c r="N986" s="18"/>
      <c r="O986" s="18"/>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row>
    <row r="987">
      <c r="A987" s="18"/>
      <c r="B987" s="2"/>
      <c r="C987" s="18"/>
      <c r="D987" s="18"/>
      <c r="E987" s="18"/>
      <c r="F987" s="2"/>
      <c r="G987" s="2"/>
      <c r="H987" s="2"/>
      <c r="I987" s="2"/>
      <c r="J987" s="2"/>
      <c r="K987" s="2"/>
      <c r="L987" s="18"/>
      <c r="M987" s="2"/>
      <c r="N987" s="18"/>
      <c r="O987" s="18"/>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row>
    <row r="988">
      <c r="A988" s="18"/>
      <c r="B988" s="2"/>
      <c r="C988" s="18"/>
      <c r="D988" s="18"/>
      <c r="E988" s="18"/>
      <c r="F988" s="2"/>
      <c r="G988" s="2"/>
      <c r="H988" s="2"/>
      <c r="I988" s="2"/>
      <c r="J988" s="2"/>
      <c r="K988" s="2"/>
      <c r="L988" s="18"/>
      <c r="M988" s="2"/>
      <c r="N988" s="18"/>
      <c r="O988" s="18"/>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row>
    <row r="989">
      <c r="A989" s="18"/>
      <c r="B989" s="2"/>
      <c r="C989" s="18"/>
      <c r="D989" s="18"/>
      <c r="E989" s="18"/>
      <c r="F989" s="2"/>
      <c r="G989" s="2"/>
      <c r="H989" s="2"/>
      <c r="I989" s="2"/>
      <c r="J989" s="2"/>
      <c r="K989" s="2"/>
      <c r="L989" s="18"/>
      <c r="M989" s="2"/>
      <c r="N989" s="18"/>
      <c r="O989" s="18"/>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row>
    <row r="990">
      <c r="A990" s="18"/>
      <c r="B990" s="2"/>
      <c r="C990" s="18"/>
      <c r="D990" s="18"/>
      <c r="E990" s="18"/>
      <c r="F990" s="2"/>
      <c r="G990" s="2"/>
      <c r="H990" s="2"/>
      <c r="I990" s="2"/>
      <c r="J990" s="2"/>
      <c r="K990" s="2"/>
      <c r="L990" s="18"/>
      <c r="M990" s="2"/>
      <c r="N990" s="18"/>
      <c r="O990" s="18"/>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row>
    <row r="991">
      <c r="A991" s="18"/>
      <c r="B991" s="2"/>
      <c r="C991" s="18"/>
      <c r="D991" s="18"/>
      <c r="E991" s="18"/>
      <c r="F991" s="2"/>
      <c r="G991" s="2"/>
      <c r="H991" s="2"/>
      <c r="I991" s="2"/>
      <c r="J991" s="2"/>
      <c r="K991" s="2"/>
      <c r="L991" s="18"/>
      <c r="M991" s="2"/>
      <c r="N991" s="18"/>
      <c r="O991" s="18"/>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row>
    <row r="992">
      <c r="A992" s="18"/>
      <c r="B992" s="2"/>
      <c r="C992" s="18"/>
      <c r="D992" s="18"/>
      <c r="E992" s="18"/>
      <c r="F992" s="2"/>
      <c r="G992" s="2"/>
      <c r="H992" s="2"/>
      <c r="I992" s="2"/>
      <c r="J992" s="2"/>
      <c r="K992" s="2"/>
      <c r="L992" s="18"/>
      <c r="M992" s="2"/>
      <c r="N992" s="18"/>
      <c r="O992" s="18"/>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row>
    <row r="993">
      <c r="A993" s="18"/>
      <c r="B993" s="2"/>
      <c r="C993" s="18"/>
      <c r="D993" s="18"/>
      <c r="E993" s="18"/>
      <c r="F993" s="2"/>
      <c r="G993" s="2"/>
      <c r="H993" s="2"/>
      <c r="I993" s="2"/>
      <c r="J993" s="2"/>
      <c r="K993" s="2"/>
      <c r="L993" s="18"/>
      <c r="M993" s="2"/>
      <c r="N993" s="18"/>
      <c r="O993" s="18"/>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row>
    <row r="994">
      <c r="A994" s="18"/>
      <c r="B994" s="2"/>
      <c r="C994" s="18"/>
      <c r="D994" s="18"/>
      <c r="E994" s="18"/>
      <c r="F994" s="2"/>
      <c r="G994" s="2"/>
      <c r="H994" s="2"/>
      <c r="I994" s="2"/>
      <c r="J994" s="2"/>
      <c r="K994" s="2"/>
      <c r="L994" s="18"/>
      <c r="M994" s="2"/>
      <c r="N994" s="18"/>
      <c r="O994" s="18"/>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row>
    <row r="995">
      <c r="A995" s="18"/>
      <c r="B995" s="2"/>
      <c r="C995" s="18"/>
      <c r="D995" s="18"/>
      <c r="E995" s="18"/>
      <c r="F995" s="2"/>
      <c r="G995" s="2"/>
      <c r="H995" s="2"/>
      <c r="I995" s="2"/>
      <c r="J995" s="2"/>
      <c r="K995" s="2"/>
      <c r="L995" s="18"/>
      <c r="M995" s="2"/>
      <c r="N995" s="18"/>
      <c r="O995" s="18"/>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row>
    <row r="996">
      <c r="A996" s="18"/>
      <c r="B996" s="2"/>
      <c r="C996" s="18"/>
      <c r="D996" s="18"/>
      <c r="E996" s="18"/>
      <c r="F996" s="2"/>
      <c r="G996" s="2"/>
      <c r="H996" s="2"/>
      <c r="I996" s="2"/>
      <c r="J996" s="2"/>
      <c r="K996" s="2"/>
      <c r="L996" s="18"/>
      <c r="M996" s="2"/>
      <c r="N996" s="18"/>
      <c r="O996" s="18"/>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row>
    <row r="997">
      <c r="A997" s="18"/>
      <c r="B997" s="2"/>
      <c r="C997" s="18"/>
      <c r="D997" s="18"/>
      <c r="E997" s="18"/>
      <c r="F997" s="2"/>
      <c r="G997" s="2"/>
      <c r="H997" s="2"/>
      <c r="I997" s="2"/>
      <c r="J997" s="2"/>
      <c r="K997" s="2"/>
      <c r="L997" s="18"/>
      <c r="M997" s="2"/>
      <c r="N997" s="18"/>
      <c r="O997" s="18"/>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row>
    <row r="998">
      <c r="A998" s="18"/>
      <c r="B998" s="2"/>
      <c r="C998" s="18"/>
      <c r="D998" s="18"/>
      <c r="E998" s="18"/>
      <c r="F998" s="2"/>
      <c r="G998" s="2"/>
      <c r="H998" s="2"/>
      <c r="I998" s="2"/>
      <c r="J998" s="2"/>
      <c r="K998" s="2"/>
      <c r="L998" s="18"/>
      <c r="M998" s="2"/>
      <c r="N998" s="18"/>
      <c r="O998" s="18"/>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38"/>
    <col customWidth="1" min="3" max="3" width="6.75"/>
    <col customWidth="1" min="4" max="4" width="48.63"/>
    <col customWidth="1" min="5" max="5" width="11.88"/>
  </cols>
  <sheetData>
    <row r="1">
      <c r="A1" s="19" t="s">
        <v>1</v>
      </c>
      <c r="B1" s="19" t="s">
        <v>2</v>
      </c>
      <c r="C1" s="19" t="s">
        <v>3</v>
      </c>
      <c r="D1" s="20" t="s">
        <v>92</v>
      </c>
      <c r="E1" s="19" t="s">
        <v>4</v>
      </c>
      <c r="F1" s="21"/>
      <c r="G1" s="21"/>
      <c r="H1" s="21"/>
      <c r="I1" s="21"/>
      <c r="J1" s="21"/>
      <c r="K1" s="21"/>
      <c r="L1" s="21"/>
      <c r="M1" s="21"/>
      <c r="N1" s="21"/>
      <c r="O1" s="21"/>
      <c r="P1" s="21"/>
      <c r="Q1" s="21"/>
      <c r="R1" s="21"/>
      <c r="S1" s="21"/>
      <c r="T1" s="21"/>
      <c r="U1" s="21"/>
      <c r="V1" s="21"/>
      <c r="W1" s="21"/>
      <c r="X1" s="21"/>
      <c r="Y1" s="21"/>
      <c r="Z1" s="21"/>
      <c r="AA1" s="21"/>
    </row>
    <row r="2">
      <c r="A2" s="22" t="str">
        <f t="array" ref="A2">IF(C2="","",IFERROR(INDEX(CONFIGURACION!C:C,MATCH(C2,CONFIGURACION!E:E,0)),""))
</f>
        <v>BCH</v>
      </c>
      <c r="B2" s="22">
        <f t="array" ref="B2">IF(C2="","",IFERROR(INDEX(CONFIGURACION!D:D,MATCH(C2,CONFIGURACION!E:E,0)),""))
</f>
        <v>1</v>
      </c>
      <c r="C2" s="6" t="s">
        <v>89</v>
      </c>
      <c r="D2" s="23" t="s">
        <v>93</v>
      </c>
      <c r="E2" s="24" t="s">
        <v>19</v>
      </c>
      <c r="F2" s="21"/>
      <c r="G2" s="21"/>
      <c r="H2" s="21"/>
      <c r="I2" s="21"/>
      <c r="J2" s="21"/>
      <c r="K2" s="21"/>
      <c r="L2" s="21"/>
      <c r="M2" s="21"/>
      <c r="N2" s="21"/>
      <c r="O2" s="21"/>
      <c r="P2" s="21"/>
      <c r="Q2" s="21"/>
      <c r="R2" s="21"/>
      <c r="S2" s="21"/>
      <c r="T2" s="21"/>
      <c r="U2" s="21"/>
      <c r="V2" s="21"/>
      <c r="W2" s="21"/>
      <c r="X2" s="21"/>
      <c r="Y2" s="21"/>
      <c r="Z2" s="21"/>
      <c r="AA2" s="21"/>
    </row>
    <row r="3">
      <c r="A3" s="22" t="str">
        <f t="array" ref="A3">IF(C3="","",IFERROR(INDEX(CONFIGURACION!C:C,MATCH(C3,CONFIGURACION!E:E,0)),""))
</f>
        <v>BCH</v>
      </c>
      <c r="B3" s="22">
        <f t="array" ref="B3">IF(C3="","",IFERROR(INDEX(CONFIGURACION!D:D,MATCH(C3,CONFIGURACION!E:E,0)),""))
</f>
        <v>1</v>
      </c>
      <c r="C3" s="6" t="s">
        <v>89</v>
      </c>
      <c r="D3" s="23" t="s">
        <v>94</v>
      </c>
      <c r="E3" s="24" t="s">
        <v>31</v>
      </c>
      <c r="F3" s="21"/>
      <c r="G3" s="21"/>
      <c r="H3" s="21"/>
      <c r="I3" s="21"/>
      <c r="J3" s="21"/>
      <c r="K3" s="21"/>
      <c r="L3" s="21"/>
      <c r="M3" s="21"/>
      <c r="N3" s="21"/>
      <c r="O3" s="21"/>
      <c r="P3" s="21"/>
      <c r="Q3" s="21"/>
      <c r="R3" s="21"/>
      <c r="S3" s="21"/>
      <c r="T3" s="21"/>
      <c r="U3" s="21"/>
      <c r="V3" s="21"/>
      <c r="W3" s="21"/>
      <c r="X3" s="21"/>
      <c r="Y3" s="21"/>
      <c r="Z3" s="21"/>
      <c r="AA3" s="21"/>
    </row>
    <row r="4">
      <c r="A4" s="22" t="str">
        <f t="array" ref="A4">IF(C4="","",IFERROR(INDEX(CONFIGURACION!C:C,MATCH(C4,CONFIGURACION!E:E,0)),""))
</f>
        <v>BCH</v>
      </c>
      <c r="B4" s="22">
        <f t="array" ref="B4">IF(C4="","",IFERROR(INDEX(CONFIGURACION!D:D,MATCH(C4,CONFIGURACION!E:E,0)),""))
</f>
        <v>1</v>
      </c>
      <c r="C4" s="6" t="s">
        <v>89</v>
      </c>
      <c r="D4" s="23" t="s">
        <v>95</v>
      </c>
      <c r="E4" s="24" t="s">
        <v>19</v>
      </c>
      <c r="F4" s="21"/>
      <c r="G4" s="21"/>
      <c r="H4" s="21"/>
      <c r="I4" s="21"/>
      <c r="J4" s="21"/>
      <c r="K4" s="21"/>
      <c r="L4" s="21"/>
      <c r="M4" s="21"/>
      <c r="N4" s="21"/>
      <c r="O4" s="21"/>
      <c r="P4" s="21"/>
      <c r="Q4" s="21"/>
      <c r="R4" s="21"/>
      <c r="S4" s="21"/>
      <c r="T4" s="21"/>
      <c r="U4" s="21"/>
      <c r="V4" s="21"/>
      <c r="W4" s="21"/>
      <c r="X4" s="21"/>
      <c r="Y4" s="21"/>
      <c r="Z4" s="21"/>
      <c r="AA4" s="21"/>
    </row>
    <row r="5">
      <c r="A5" s="22" t="str">
        <f t="array" ref="A5">IF(C5="","",IFERROR(INDEX(CONFIGURACION!C:C,MATCH(C5,CONFIGURACION!E:E,0)),""))
</f>
        <v>BCH</v>
      </c>
      <c r="B5" s="22">
        <f t="array" ref="B5">IF(C5="","",IFERROR(INDEX(CONFIGURACION!D:D,MATCH(C5,CONFIGURACION!E:E,0)),""))
</f>
        <v>1</v>
      </c>
      <c r="C5" s="6" t="s">
        <v>89</v>
      </c>
      <c r="D5" s="23" t="s">
        <v>96</v>
      </c>
      <c r="E5" s="24" t="s">
        <v>31</v>
      </c>
      <c r="F5" s="21"/>
      <c r="G5" s="21"/>
      <c r="H5" s="21"/>
      <c r="I5" s="21"/>
      <c r="J5" s="21"/>
      <c r="K5" s="21"/>
      <c r="L5" s="21"/>
      <c r="M5" s="21"/>
      <c r="N5" s="21"/>
      <c r="O5" s="21"/>
      <c r="P5" s="21"/>
      <c r="Q5" s="21"/>
      <c r="R5" s="21"/>
      <c r="S5" s="21"/>
      <c r="T5" s="21"/>
      <c r="U5" s="21"/>
      <c r="V5" s="21"/>
      <c r="W5" s="21"/>
      <c r="X5" s="21"/>
      <c r="Y5" s="21"/>
      <c r="Z5" s="21"/>
      <c r="AA5" s="21"/>
    </row>
    <row r="6">
      <c r="A6" s="22" t="str">
        <f t="array" ref="A6">IF(C6="","",IFERROR(INDEX(CONFIGURACION!C:C,MATCH(C6,CONFIGURACION!E:E,0)),""))
</f>
        <v>BCH</v>
      </c>
      <c r="B6" s="22">
        <f t="array" ref="B6">IF(C6="","",IFERROR(INDEX(CONFIGURACION!D:D,MATCH(C6,CONFIGURACION!E:E,0)),""))
</f>
        <v>1</v>
      </c>
      <c r="C6" s="6" t="s">
        <v>89</v>
      </c>
      <c r="D6" s="23" t="s">
        <v>97</v>
      </c>
      <c r="E6" s="24" t="s">
        <v>19</v>
      </c>
      <c r="F6" s="21"/>
      <c r="G6" s="21"/>
      <c r="H6" s="21"/>
      <c r="I6" s="21"/>
      <c r="J6" s="21"/>
      <c r="K6" s="21"/>
      <c r="L6" s="21"/>
      <c r="M6" s="21"/>
      <c r="N6" s="21"/>
      <c r="O6" s="21"/>
      <c r="P6" s="21"/>
      <c r="Q6" s="21"/>
      <c r="R6" s="21"/>
      <c r="S6" s="21"/>
      <c r="T6" s="21"/>
      <c r="U6" s="21"/>
      <c r="V6" s="21"/>
      <c r="W6" s="21"/>
      <c r="X6" s="21"/>
      <c r="Y6" s="21"/>
      <c r="Z6" s="21"/>
      <c r="AA6" s="21"/>
    </row>
    <row r="7">
      <c r="A7" s="22" t="str">
        <f t="array" ref="A7">IF(C7="","",IFERROR(INDEX(CONFIGURACION!C:C,MATCH(C7,CONFIGURACION!E:E,0)),""))
</f>
        <v>BCH</v>
      </c>
      <c r="B7" s="22">
        <f t="array" ref="B7">IF(C7="","",IFERROR(INDEX(CONFIGURACION!D:D,MATCH(C7,CONFIGURACION!E:E,0)),""))
</f>
        <v>1</v>
      </c>
      <c r="C7" s="6" t="s">
        <v>89</v>
      </c>
      <c r="D7" s="23" t="s">
        <v>98</v>
      </c>
      <c r="E7" s="24" t="s">
        <v>31</v>
      </c>
      <c r="F7" s="21"/>
      <c r="G7" s="21"/>
      <c r="H7" s="21"/>
      <c r="I7" s="21"/>
      <c r="J7" s="21"/>
      <c r="K7" s="21"/>
      <c r="L7" s="21"/>
      <c r="M7" s="21"/>
      <c r="N7" s="21"/>
      <c r="O7" s="21"/>
      <c r="P7" s="21"/>
      <c r="Q7" s="21"/>
      <c r="R7" s="21"/>
      <c r="S7" s="21"/>
      <c r="T7" s="21"/>
      <c r="U7" s="21"/>
      <c r="V7" s="21"/>
      <c r="W7" s="21"/>
      <c r="X7" s="21"/>
      <c r="Y7" s="21"/>
      <c r="Z7" s="21"/>
      <c r="AA7" s="21"/>
    </row>
    <row r="8">
      <c r="A8" s="22" t="str">
        <f t="array" ref="A8">IF(C8="","",IFERROR(INDEX(CONFIGURACION!C:C,MATCH(C8,CONFIGURACION!E:E,0)),""))
</f>
        <v>BCH</v>
      </c>
      <c r="B8" s="22">
        <f t="array" ref="B8">IF(C8="","",IFERROR(INDEX(CONFIGURACION!D:D,MATCH(C8,CONFIGURACION!E:E,0)),""))
</f>
        <v>1</v>
      </c>
      <c r="C8" s="6" t="s">
        <v>89</v>
      </c>
      <c r="D8" s="23" t="s">
        <v>99</v>
      </c>
      <c r="E8" s="24" t="s">
        <v>19</v>
      </c>
      <c r="F8" s="21"/>
      <c r="G8" s="21"/>
      <c r="H8" s="21"/>
      <c r="I8" s="21"/>
      <c r="J8" s="21"/>
      <c r="K8" s="21"/>
      <c r="L8" s="21"/>
      <c r="M8" s="21"/>
      <c r="N8" s="21"/>
      <c r="O8" s="21"/>
      <c r="P8" s="21"/>
      <c r="Q8" s="21"/>
      <c r="R8" s="21"/>
      <c r="S8" s="21"/>
      <c r="T8" s="21"/>
      <c r="U8" s="21"/>
      <c r="V8" s="21"/>
      <c r="W8" s="21"/>
      <c r="X8" s="21"/>
      <c r="Y8" s="21"/>
      <c r="Z8" s="21"/>
      <c r="AA8" s="21"/>
    </row>
    <row r="9">
      <c r="A9" s="22" t="str">
        <f t="array" ref="A9">IF(C9="","",IFERROR(INDEX(CONFIGURACION!C:C,MATCH(C9,CONFIGURACION!E:E,0)),""))
</f>
        <v>BCH</v>
      </c>
      <c r="B9" s="22">
        <f t="array" ref="B9">IF(C9="","",IFERROR(INDEX(CONFIGURACION!D:D,MATCH(C9,CONFIGURACION!E:E,0)),""))
</f>
        <v>1</v>
      </c>
      <c r="C9" s="6" t="s">
        <v>89</v>
      </c>
      <c r="D9" s="23" t="s">
        <v>100</v>
      </c>
      <c r="E9" s="24" t="s">
        <v>31</v>
      </c>
      <c r="F9" s="21"/>
      <c r="G9" s="21"/>
      <c r="H9" s="21"/>
      <c r="I9" s="21"/>
      <c r="J9" s="21"/>
      <c r="K9" s="21"/>
      <c r="L9" s="21"/>
      <c r="M9" s="21"/>
      <c r="N9" s="21"/>
      <c r="O9" s="21"/>
      <c r="P9" s="21"/>
      <c r="Q9" s="21"/>
      <c r="R9" s="21"/>
      <c r="S9" s="21"/>
      <c r="T9" s="21"/>
      <c r="U9" s="21"/>
      <c r="V9" s="21"/>
      <c r="W9" s="21"/>
      <c r="X9" s="21"/>
      <c r="Y9" s="21"/>
      <c r="Z9" s="21"/>
      <c r="AA9" s="21"/>
    </row>
    <row r="10">
      <c r="A10" s="22" t="str">
        <f t="array" ref="A10">IF(C10="","",IFERROR(INDEX(CONFIGURACION!C:C,MATCH(C10,CONFIGURACION!E:E,0)),""))
</f>
        <v>BCH</v>
      </c>
      <c r="B10" s="22">
        <f t="array" ref="B10">IF(C10="","",IFERROR(INDEX(CONFIGURACION!D:D,MATCH(C10,CONFIGURACION!E:E,0)),""))
</f>
        <v>1</v>
      </c>
      <c r="C10" s="6" t="s">
        <v>89</v>
      </c>
      <c r="D10" s="23" t="s">
        <v>101</v>
      </c>
      <c r="E10" s="24" t="s">
        <v>19</v>
      </c>
      <c r="F10" s="21"/>
      <c r="G10" s="21"/>
      <c r="H10" s="21"/>
      <c r="I10" s="21"/>
      <c r="J10" s="21"/>
      <c r="K10" s="21"/>
      <c r="L10" s="21"/>
      <c r="M10" s="21"/>
      <c r="N10" s="21"/>
      <c r="O10" s="21"/>
      <c r="P10" s="21"/>
      <c r="Q10" s="21"/>
      <c r="R10" s="21"/>
      <c r="S10" s="21"/>
      <c r="T10" s="21"/>
      <c r="U10" s="21"/>
      <c r="V10" s="21"/>
      <c r="W10" s="21"/>
      <c r="X10" s="21"/>
      <c r="Y10" s="21"/>
      <c r="Z10" s="21"/>
      <c r="AA10" s="21"/>
    </row>
    <row r="11">
      <c r="A11" s="22" t="str">
        <f t="array" ref="A11">IF(C11="","",IFERROR(INDEX(CONFIGURACION!C:C,MATCH(C11,CONFIGURACION!E:E,0)),""))
</f>
        <v>BCH</v>
      </c>
      <c r="B11" s="22">
        <f t="array" ref="B11">IF(C11="","",IFERROR(INDEX(CONFIGURACION!D:D,MATCH(C11,CONFIGURACION!E:E,0)),""))
</f>
        <v>1</v>
      </c>
      <c r="C11" s="6" t="s">
        <v>89</v>
      </c>
      <c r="D11" s="23" t="s">
        <v>102</v>
      </c>
      <c r="E11" s="24" t="s">
        <v>31</v>
      </c>
      <c r="F11" s="21"/>
      <c r="G11" s="21"/>
      <c r="H11" s="21"/>
      <c r="I11" s="21"/>
      <c r="J11" s="21"/>
      <c r="K11" s="21"/>
      <c r="L11" s="21"/>
      <c r="M11" s="21"/>
      <c r="N11" s="21"/>
      <c r="O11" s="21"/>
      <c r="P11" s="21"/>
      <c r="Q11" s="21"/>
      <c r="R11" s="21"/>
      <c r="S11" s="21"/>
      <c r="T11" s="21"/>
      <c r="U11" s="21"/>
      <c r="V11" s="21"/>
      <c r="W11" s="21"/>
      <c r="X11" s="21"/>
      <c r="Y11" s="21"/>
      <c r="Z11" s="21"/>
      <c r="AA11" s="21"/>
    </row>
    <row r="12">
      <c r="A12" s="22" t="str">
        <f t="array" ref="A12">IF(C12="","",IFERROR(INDEX(CONFIGURACION!C:C,MATCH(C12,CONFIGURACION!E:E,0)),""))
</f>
        <v>BCH</v>
      </c>
      <c r="B12" s="22">
        <f t="array" ref="B12">IF(C12="","",IFERROR(INDEX(CONFIGURACION!D:D,MATCH(C12,CONFIGURACION!E:E,0)),""))
</f>
        <v>1</v>
      </c>
      <c r="C12" s="6" t="s">
        <v>89</v>
      </c>
      <c r="D12" s="23" t="s">
        <v>103</v>
      </c>
      <c r="E12" s="24" t="s">
        <v>19</v>
      </c>
      <c r="F12" s="21"/>
      <c r="G12" s="21"/>
      <c r="H12" s="21"/>
      <c r="I12" s="21"/>
      <c r="J12" s="21"/>
      <c r="K12" s="21"/>
      <c r="L12" s="21"/>
      <c r="M12" s="21"/>
      <c r="N12" s="21"/>
      <c r="O12" s="21"/>
      <c r="P12" s="21"/>
      <c r="Q12" s="21"/>
      <c r="R12" s="21"/>
      <c r="S12" s="21"/>
      <c r="T12" s="21"/>
      <c r="U12" s="21"/>
      <c r="V12" s="21"/>
      <c r="W12" s="21"/>
      <c r="X12" s="21"/>
      <c r="Y12" s="21"/>
      <c r="Z12" s="21"/>
      <c r="AA12" s="21"/>
    </row>
    <row r="13">
      <c r="A13" s="22" t="str">
        <f t="array" ref="A13">IF(C13="","",IFERROR(INDEX(CONFIGURACION!C:C,MATCH(C13,CONFIGURACION!E:E,0)),""))
</f>
        <v>BCH</v>
      </c>
      <c r="B13" s="22">
        <f t="array" ref="B13">IF(C13="","",IFERROR(INDEX(CONFIGURACION!D:D,MATCH(C13,CONFIGURACION!E:E,0)),""))
</f>
        <v>1</v>
      </c>
      <c r="C13" s="6" t="s">
        <v>89</v>
      </c>
      <c r="D13" s="23" t="s">
        <v>104</v>
      </c>
      <c r="E13" s="24" t="s">
        <v>19</v>
      </c>
      <c r="F13" s="21"/>
      <c r="G13" s="21"/>
      <c r="H13" s="21"/>
      <c r="I13" s="21"/>
      <c r="J13" s="21"/>
      <c r="K13" s="21"/>
      <c r="L13" s="21"/>
      <c r="M13" s="21"/>
      <c r="N13" s="21"/>
      <c r="O13" s="21"/>
      <c r="P13" s="21"/>
      <c r="Q13" s="21"/>
      <c r="R13" s="21"/>
      <c r="S13" s="21"/>
      <c r="T13" s="21"/>
      <c r="U13" s="21"/>
      <c r="V13" s="21"/>
      <c r="W13" s="21"/>
      <c r="X13" s="21"/>
      <c r="Y13" s="21"/>
      <c r="Z13" s="21"/>
      <c r="AA13" s="21"/>
    </row>
    <row r="14">
      <c r="A14" s="22" t="str">
        <f t="array" ref="A14">IF(C14="","",IFERROR(INDEX(CONFIGURACION!C:C,MATCH(C14,CONFIGURACION!E:E,0)),""))
</f>
        <v>BCH</v>
      </c>
      <c r="B14" s="22">
        <f t="array" ref="B14">IF(C14="","",IFERROR(INDEX(CONFIGURACION!D:D,MATCH(C14,CONFIGURACION!E:E,0)),""))
</f>
        <v>1</v>
      </c>
      <c r="C14" s="6" t="s">
        <v>89</v>
      </c>
      <c r="D14" s="23" t="s">
        <v>105</v>
      </c>
      <c r="E14" s="24" t="s">
        <v>19</v>
      </c>
      <c r="F14" s="21"/>
      <c r="G14" s="21"/>
      <c r="H14" s="21"/>
      <c r="I14" s="21"/>
      <c r="J14" s="21"/>
      <c r="K14" s="21"/>
      <c r="L14" s="21"/>
      <c r="M14" s="21"/>
      <c r="N14" s="21"/>
      <c r="O14" s="21"/>
      <c r="P14" s="21"/>
      <c r="Q14" s="21"/>
      <c r="R14" s="21"/>
      <c r="S14" s="21"/>
      <c r="T14" s="21"/>
      <c r="U14" s="21"/>
      <c r="V14" s="21"/>
      <c r="W14" s="21"/>
      <c r="X14" s="21"/>
      <c r="Y14" s="21"/>
      <c r="Z14" s="21"/>
      <c r="AA14" s="21"/>
    </row>
    <row r="15">
      <c r="A15" s="22" t="str">
        <f t="array" ref="A15">IF(C15="","",IFERROR(INDEX(CONFIGURACION!C:C,MATCH(C15,CONFIGURACION!E:E,0)),""))
</f>
        <v>BCH</v>
      </c>
      <c r="B15" s="22">
        <f t="array" ref="B15">IF(C15="","",IFERROR(INDEX(CONFIGURACION!D:D,MATCH(C15,CONFIGURACION!E:E,0)),""))
</f>
        <v>1</v>
      </c>
      <c r="C15" s="6" t="s">
        <v>89</v>
      </c>
      <c r="D15" s="23" t="s">
        <v>106</v>
      </c>
      <c r="E15" s="24" t="s">
        <v>19</v>
      </c>
      <c r="F15" s="21"/>
      <c r="G15" s="21"/>
      <c r="H15" s="21"/>
      <c r="I15" s="21"/>
      <c r="J15" s="21"/>
      <c r="K15" s="21"/>
      <c r="L15" s="21"/>
      <c r="M15" s="21"/>
      <c r="N15" s="21"/>
      <c r="O15" s="21"/>
      <c r="P15" s="21"/>
      <c r="Q15" s="21"/>
      <c r="R15" s="21"/>
      <c r="S15" s="21"/>
      <c r="T15" s="21"/>
      <c r="U15" s="21"/>
      <c r="V15" s="21"/>
      <c r="W15" s="21"/>
      <c r="X15" s="21"/>
      <c r="Y15" s="21"/>
      <c r="Z15" s="21"/>
      <c r="AA15" s="21"/>
    </row>
    <row r="16">
      <c r="A16" s="22" t="str">
        <f t="array" ref="A16">IF(C16="","",IFERROR(INDEX(CONFIGURACION!C:C,MATCH(C16,CONFIGURACION!E:E,0)),""))
</f>
        <v>BCH</v>
      </c>
      <c r="B16" s="22">
        <f t="array" ref="B16">IF(C16="","",IFERROR(INDEX(CONFIGURACION!D:D,MATCH(C16,CONFIGURACION!E:E,0)),""))
</f>
        <v>1</v>
      </c>
      <c r="C16" s="6" t="s">
        <v>89</v>
      </c>
      <c r="D16" s="23" t="s">
        <v>107</v>
      </c>
      <c r="E16" s="24" t="s">
        <v>19</v>
      </c>
      <c r="F16" s="21"/>
      <c r="G16" s="21"/>
      <c r="H16" s="21"/>
      <c r="I16" s="21"/>
      <c r="J16" s="21"/>
      <c r="K16" s="21"/>
      <c r="L16" s="21"/>
      <c r="M16" s="21"/>
      <c r="N16" s="21"/>
      <c r="O16" s="21"/>
      <c r="P16" s="21"/>
      <c r="Q16" s="21"/>
      <c r="R16" s="21"/>
      <c r="S16" s="21"/>
      <c r="T16" s="21"/>
      <c r="U16" s="21"/>
      <c r="V16" s="21"/>
      <c r="W16" s="21"/>
      <c r="X16" s="21"/>
      <c r="Y16" s="21"/>
      <c r="Z16" s="21"/>
      <c r="AA16" s="21"/>
    </row>
    <row r="17">
      <c r="A17" s="22" t="str">
        <f t="array" ref="A17">IF(C17="","",IFERROR(INDEX(CONFIGURACION!C:C,MATCH(C17,CONFIGURACION!E:E,0)),""))
</f>
        <v>BCH</v>
      </c>
      <c r="B17" s="22">
        <f t="array" ref="B17">IF(C17="","",IFERROR(INDEX(CONFIGURACION!D:D,MATCH(C17,CONFIGURACION!E:E,0)),""))
</f>
        <v>1</v>
      </c>
      <c r="C17" s="6" t="s">
        <v>89</v>
      </c>
      <c r="D17" s="23" t="s">
        <v>108</v>
      </c>
      <c r="E17" s="24" t="s">
        <v>19</v>
      </c>
      <c r="F17" s="21"/>
      <c r="G17" s="21"/>
      <c r="H17" s="21"/>
      <c r="I17" s="21"/>
      <c r="J17" s="21"/>
      <c r="K17" s="21"/>
      <c r="L17" s="21"/>
      <c r="M17" s="21"/>
      <c r="N17" s="21"/>
      <c r="O17" s="21"/>
      <c r="P17" s="21"/>
      <c r="Q17" s="21"/>
      <c r="R17" s="21"/>
      <c r="S17" s="21"/>
      <c r="T17" s="21"/>
      <c r="U17" s="21"/>
      <c r="V17" s="21"/>
      <c r="W17" s="21"/>
      <c r="X17" s="21"/>
      <c r="Y17" s="21"/>
      <c r="Z17" s="21"/>
      <c r="AA17" s="21"/>
    </row>
    <row r="18">
      <c r="A18" s="22" t="str">
        <f t="array" ref="A18">IF(C18="","",IFERROR(INDEX(CONFIGURACION!C:C,MATCH(C18,CONFIGURACION!E:E,0)),""))
</f>
        <v>BCH</v>
      </c>
      <c r="B18" s="22">
        <f t="array" ref="B18">IF(C18="","",IFERROR(INDEX(CONFIGURACION!D:D,MATCH(C18,CONFIGURACION!E:E,0)),""))
</f>
        <v>1</v>
      </c>
      <c r="C18" s="6" t="s">
        <v>89</v>
      </c>
      <c r="D18" s="23" t="s">
        <v>109</v>
      </c>
      <c r="E18" s="24" t="s">
        <v>31</v>
      </c>
      <c r="F18" s="21"/>
      <c r="G18" s="21"/>
      <c r="H18" s="21"/>
      <c r="I18" s="21"/>
      <c r="J18" s="21"/>
      <c r="K18" s="21"/>
      <c r="L18" s="21"/>
      <c r="M18" s="21"/>
      <c r="N18" s="21"/>
      <c r="O18" s="21"/>
      <c r="P18" s="21"/>
      <c r="Q18" s="21"/>
      <c r="R18" s="21"/>
      <c r="S18" s="21"/>
      <c r="T18" s="21"/>
      <c r="U18" s="21"/>
      <c r="V18" s="21"/>
      <c r="W18" s="21"/>
      <c r="X18" s="21"/>
      <c r="Y18" s="21"/>
      <c r="Z18" s="21"/>
      <c r="AA18" s="21"/>
    </row>
    <row r="19">
      <c r="A19" s="22" t="str">
        <f t="array" ref="A19">IF(C19="","",IFERROR(INDEX(CONFIGURACION!C:C,MATCH(C19,CONFIGURACION!E:E,0)),""))
</f>
        <v>BCH</v>
      </c>
      <c r="B19" s="22">
        <f t="array" ref="B19">IF(C19="","",IFERROR(INDEX(CONFIGURACION!D:D,MATCH(C19,CONFIGURACION!E:E,0)),""))
</f>
        <v>1</v>
      </c>
      <c r="C19" s="6" t="s">
        <v>89</v>
      </c>
      <c r="D19" s="23" t="s">
        <v>110</v>
      </c>
      <c r="E19" s="24" t="s">
        <v>31</v>
      </c>
      <c r="F19" s="21"/>
      <c r="G19" s="21"/>
      <c r="H19" s="21"/>
      <c r="I19" s="21"/>
      <c r="J19" s="21"/>
      <c r="K19" s="21"/>
      <c r="L19" s="21"/>
      <c r="M19" s="21"/>
      <c r="N19" s="21"/>
      <c r="O19" s="21"/>
      <c r="P19" s="21"/>
      <c r="Q19" s="21"/>
      <c r="R19" s="21"/>
      <c r="S19" s="21"/>
      <c r="T19" s="21"/>
      <c r="U19" s="21"/>
      <c r="V19" s="21"/>
      <c r="W19" s="21"/>
      <c r="X19" s="21"/>
      <c r="Y19" s="21"/>
      <c r="Z19" s="21"/>
      <c r="AA19" s="21"/>
    </row>
    <row r="20">
      <c r="A20" s="22" t="str">
        <f t="array" ref="A20">IF(C20="","",IFERROR(INDEX(CONFIGURACION!C:C,MATCH(C20,CONFIGURACION!E:E,0)),""))
</f>
        <v>BCH</v>
      </c>
      <c r="B20" s="22">
        <f t="array" ref="B20">IF(C20="","",IFERROR(INDEX(CONFIGURACION!D:D,MATCH(C20,CONFIGURACION!E:E,0)),""))
</f>
        <v>1</v>
      </c>
      <c r="C20" s="6" t="s">
        <v>89</v>
      </c>
      <c r="D20" s="23" t="s">
        <v>111</v>
      </c>
      <c r="E20" s="24" t="s">
        <v>31</v>
      </c>
      <c r="F20" s="21"/>
      <c r="G20" s="21"/>
      <c r="H20" s="21"/>
      <c r="I20" s="21"/>
      <c r="J20" s="21"/>
      <c r="K20" s="21"/>
      <c r="L20" s="21"/>
      <c r="M20" s="21"/>
      <c r="N20" s="21"/>
      <c r="O20" s="21"/>
      <c r="P20" s="21"/>
      <c r="Q20" s="21"/>
      <c r="R20" s="21"/>
      <c r="S20" s="21"/>
      <c r="T20" s="21"/>
      <c r="U20" s="21"/>
      <c r="V20" s="21"/>
      <c r="W20" s="21"/>
      <c r="X20" s="21"/>
      <c r="Y20" s="21"/>
      <c r="Z20" s="21"/>
      <c r="AA20" s="21"/>
    </row>
    <row r="21">
      <c r="A21" s="22" t="str">
        <f t="array" ref="A21">IF(C21="","",IFERROR(INDEX(CONFIGURACION!C:C,MATCH(C21,CONFIGURACION!E:E,0)),""))
</f>
        <v>BCH</v>
      </c>
      <c r="B21" s="22">
        <f t="array" ref="B21">IF(C21="","",IFERROR(INDEX(CONFIGURACION!D:D,MATCH(C21,CONFIGURACION!E:E,0)),""))
</f>
        <v>1</v>
      </c>
      <c r="C21" s="6" t="s">
        <v>89</v>
      </c>
      <c r="D21" s="23" t="s">
        <v>112</v>
      </c>
      <c r="E21" s="24" t="s">
        <v>19</v>
      </c>
      <c r="F21" s="21"/>
      <c r="G21" s="21"/>
      <c r="H21" s="21"/>
      <c r="I21" s="21"/>
      <c r="J21" s="21"/>
      <c r="K21" s="21"/>
      <c r="L21" s="21"/>
      <c r="M21" s="21"/>
      <c r="N21" s="21"/>
      <c r="O21" s="21"/>
      <c r="P21" s="21"/>
      <c r="Q21" s="21"/>
      <c r="R21" s="21"/>
      <c r="S21" s="21"/>
      <c r="T21" s="21"/>
      <c r="U21" s="21"/>
      <c r="V21" s="21"/>
      <c r="W21" s="21"/>
      <c r="X21" s="21"/>
      <c r="Y21" s="21"/>
      <c r="Z21" s="21"/>
      <c r="AA21" s="21"/>
    </row>
    <row r="22">
      <c r="A22" s="22" t="str">
        <f t="array" ref="A22">IF(C22="","",IFERROR(INDEX(CONFIGURACION!C:C,MATCH(C22,CONFIGURACION!E:E,0)),""))
</f>
        <v>BCH</v>
      </c>
      <c r="B22" s="22">
        <f t="array" ref="B22">IF(C22="","",IFERROR(INDEX(CONFIGURACION!D:D,MATCH(C22,CONFIGURACION!E:E,0)),""))
</f>
        <v>1</v>
      </c>
      <c r="C22" s="6" t="s">
        <v>89</v>
      </c>
      <c r="D22" s="23" t="s">
        <v>113</v>
      </c>
      <c r="E22" s="24" t="s">
        <v>31</v>
      </c>
      <c r="F22" s="21"/>
      <c r="G22" s="21"/>
      <c r="H22" s="21"/>
      <c r="I22" s="21"/>
      <c r="J22" s="21"/>
      <c r="K22" s="21"/>
      <c r="L22" s="21"/>
      <c r="M22" s="21"/>
      <c r="N22" s="21"/>
      <c r="O22" s="21"/>
      <c r="P22" s="21"/>
      <c r="Q22" s="21"/>
      <c r="R22" s="21"/>
      <c r="S22" s="21"/>
      <c r="T22" s="21"/>
      <c r="U22" s="21"/>
      <c r="V22" s="21"/>
      <c r="W22" s="21"/>
      <c r="X22" s="21"/>
      <c r="Y22" s="21"/>
      <c r="Z22" s="21"/>
      <c r="AA22" s="21"/>
    </row>
    <row r="23">
      <c r="A23" s="22" t="str">
        <f t="array" ref="A23">IF(C23="","",IFERROR(INDEX(CONFIGURACION!C:C,MATCH(C23,CONFIGURACION!E:E,0)),""))
</f>
        <v>BCH</v>
      </c>
      <c r="B23" s="22">
        <f t="array" ref="B23">IF(C23="","",IFERROR(INDEX(CONFIGURACION!D:D,MATCH(C23,CONFIGURACION!E:E,0)),""))
</f>
        <v>1</v>
      </c>
      <c r="C23" s="6" t="s">
        <v>89</v>
      </c>
      <c r="D23" s="23" t="s">
        <v>114</v>
      </c>
      <c r="E23" s="24" t="s">
        <v>19</v>
      </c>
      <c r="F23" s="21"/>
      <c r="G23" s="21"/>
      <c r="H23" s="21"/>
      <c r="I23" s="21"/>
      <c r="J23" s="21"/>
      <c r="K23" s="21"/>
      <c r="L23" s="21"/>
      <c r="M23" s="21"/>
      <c r="N23" s="21"/>
      <c r="O23" s="21"/>
      <c r="P23" s="21"/>
      <c r="Q23" s="21"/>
      <c r="R23" s="21"/>
      <c r="S23" s="21"/>
      <c r="T23" s="21"/>
      <c r="U23" s="21"/>
      <c r="V23" s="21"/>
      <c r="W23" s="21"/>
      <c r="X23" s="21"/>
      <c r="Y23" s="21"/>
      <c r="Z23" s="21"/>
      <c r="AA23" s="21"/>
    </row>
    <row r="24">
      <c r="A24" s="22" t="str">
        <f t="array" ref="A24">IF(C24="","",IFERROR(INDEX(CONFIGURACION!C:C,MATCH(C24,CONFIGURACION!E:E,0)),""))
</f>
        <v/>
      </c>
      <c r="B24" s="22" t="str">
        <f t="array" ref="B24">IF(C24="","",IFERROR(INDEX(CONFIGURACION!D:D,MATCH(C24,CONFIGURACION!E:E,0)),""))
</f>
        <v/>
      </c>
      <c r="C24" s="6"/>
      <c r="D24" s="25"/>
      <c r="E24" s="24"/>
      <c r="F24" s="21"/>
      <c r="G24" s="21"/>
      <c r="H24" s="21"/>
      <c r="I24" s="21"/>
      <c r="J24" s="21"/>
      <c r="K24" s="21"/>
      <c r="L24" s="21"/>
      <c r="M24" s="21"/>
      <c r="N24" s="21"/>
      <c r="O24" s="21"/>
      <c r="P24" s="21"/>
      <c r="Q24" s="21"/>
      <c r="R24" s="21"/>
      <c r="S24" s="21"/>
      <c r="T24" s="21"/>
      <c r="U24" s="21"/>
      <c r="V24" s="21"/>
      <c r="W24" s="21"/>
      <c r="X24" s="21"/>
      <c r="Y24" s="21"/>
      <c r="Z24" s="21"/>
      <c r="AA24" s="21"/>
    </row>
    <row r="25">
      <c r="A25" s="6" t="str">
        <f t="array" ref="A25">IF(I25="","",IFERROR(INDEX(CONFIGURACION!H:H,MATCH(I25,CONFIGURACION!J:J,0)),""))
</f>
        <v/>
      </c>
      <c r="B25" s="6" t="str">
        <f t="array" ref="B25">IF(I25="","",IFERROR(INDEX(CONFIGURACION!I:I,MATCH(I25,CONFIGURACION!J:J,0)),""))
</f>
        <v/>
      </c>
      <c r="C25" s="6"/>
      <c r="D25" s="25"/>
      <c r="E25" s="24"/>
      <c r="F25" s="21"/>
      <c r="G25" s="21"/>
      <c r="H25" s="21"/>
      <c r="I25" s="21"/>
      <c r="J25" s="21"/>
      <c r="K25" s="21"/>
      <c r="L25" s="21"/>
      <c r="M25" s="21"/>
      <c r="N25" s="21"/>
      <c r="O25" s="21"/>
      <c r="P25" s="21"/>
      <c r="Q25" s="21"/>
      <c r="R25" s="21"/>
      <c r="S25" s="21"/>
      <c r="T25" s="21"/>
      <c r="U25" s="21"/>
      <c r="V25" s="21"/>
      <c r="W25" s="21"/>
      <c r="X25" s="21"/>
      <c r="Y25" s="21"/>
      <c r="Z25" s="21"/>
      <c r="AA25" s="21"/>
    </row>
    <row r="26">
      <c r="A26" s="6" t="str">
        <f t="array" ref="A26">IF(I26="","",IFERROR(INDEX(CONFIGURACION!H:H,MATCH(I26,CONFIGURACION!J:J,0)),""))
</f>
        <v/>
      </c>
      <c r="B26" s="6" t="str">
        <f t="array" ref="B26">IF(I26="","",IFERROR(INDEX(CONFIGURACION!I:I,MATCH(I26,CONFIGURACION!J:J,0)),""))
</f>
        <v/>
      </c>
      <c r="C26" s="6"/>
      <c r="D26" s="25"/>
      <c r="E26" s="24"/>
      <c r="F26" s="21"/>
      <c r="G26" s="21"/>
      <c r="H26" s="21"/>
      <c r="I26" s="21"/>
      <c r="J26" s="21"/>
      <c r="K26" s="21"/>
      <c r="L26" s="21"/>
      <c r="M26" s="21"/>
      <c r="N26" s="21"/>
      <c r="O26" s="21"/>
      <c r="P26" s="21"/>
      <c r="Q26" s="21"/>
      <c r="R26" s="21"/>
      <c r="S26" s="21"/>
      <c r="T26" s="21"/>
      <c r="U26" s="21"/>
      <c r="V26" s="21"/>
      <c r="W26" s="21"/>
      <c r="X26" s="21"/>
      <c r="Y26" s="21"/>
      <c r="Z26" s="21"/>
      <c r="AA26" s="21"/>
    </row>
    <row r="27">
      <c r="A27" s="6" t="str">
        <f t="array" ref="A27">IF(I27="","",IFERROR(INDEX(CONFIGURACION!H:H,MATCH(I27,CONFIGURACION!J:J,0)),""))
</f>
        <v/>
      </c>
      <c r="B27" s="6" t="str">
        <f t="array" ref="B27">IF(I27="","",IFERROR(INDEX(CONFIGURACION!I:I,MATCH(I27,CONFIGURACION!J:J,0)),""))
</f>
        <v/>
      </c>
      <c r="C27" s="6"/>
      <c r="D27" s="25"/>
      <c r="E27" s="24"/>
      <c r="F27" s="21"/>
      <c r="G27" s="21"/>
      <c r="H27" s="21"/>
      <c r="I27" s="21"/>
      <c r="J27" s="21"/>
      <c r="K27" s="21"/>
      <c r="L27" s="21"/>
      <c r="M27" s="21"/>
      <c r="N27" s="21"/>
      <c r="O27" s="21"/>
      <c r="P27" s="21"/>
      <c r="Q27" s="21"/>
      <c r="R27" s="21"/>
      <c r="S27" s="21"/>
      <c r="T27" s="21"/>
      <c r="U27" s="21"/>
      <c r="V27" s="21"/>
      <c r="W27" s="21"/>
      <c r="X27" s="21"/>
      <c r="Y27" s="21"/>
      <c r="Z27" s="21"/>
      <c r="AA27" s="21"/>
    </row>
    <row r="28">
      <c r="A28" s="6" t="str">
        <f t="array" ref="A28">IF(I28="","",IFERROR(INDEX(CONFIGURACION!H:H,MATCH(I28,CONFIGURACION!J:J,0)),""))
</f>
        <v/>
      </c>
      <c r="B28" s="6" t="str">
        <f t="array" ref="B28">IF(I28="","",IFERROR(INDEX(CONFIGURACION!I:I,MATCH(I28,CONFIGURACION!J:J,0)),""))
</f>
        <v/>
      </c>
      <c r="C28" s="6"/>
      <c r="D28" s="25"/>
      <c r="E28" s="24"/>
      <c r="F28" s="21"/>
      <c r="G28" s="21"/>
      <c r="H28" s="21"/>
      <c r="I28" s="21"/>
      <c r="J28" s="21"/>
      <c r="K28" s="21"/>
      <c r="L28" s="21"/>
      <c r="M28" s="21"/>
      <c r="N28" s="21"/>
      <c r="O28" s="21"/>
      <c r="P28" s="21"/>
      <c r="Q28" s="21"/>
      <c r="R28" s="21"/>
      <c r="S28" s="21"/>
      <c r="T28" s="21"/>
      <c r="U28" s="21"/>
      <c r="V28" s="21"/>
      <c r="W28" s="21"/>
      <c r="X28" s="21"/>
      <c r="Y28" s="21"/>
      <c r="Z28" s="21"/>
      <c r="AA28" s="21"/>
    </row>
    <row r="29">
      <c r="A29" s="6" t="str">
        <f t="array" ref="A29">IF(I29="","",IFERROR(INDEX(CONFIGURACION!H:H,MATCH(I29,CONFIGURACION!J:J,0)),""))
</f>
        <v/>
      </c>
      <c r="B29" s="6" t="str">
        <f t="array" ref="B29">IF(I29="","",IFERROR(INDEX(CONFIGURACION!I:I,MATCH(I29,CONFIGURACION!J:J,0)),""))
</f>
        <v/>
      </c>
      <c r="C29" s="6"/>
      <c r="D29" s="25"/>
      <c r="E29" s="24"/>
      <c r="F29" s="21"/>
      <c r="G29" s="21"/>
      <c r="H29" s="21"/>
      <c r="I29" s="21"/>
      <c r="J29" s="21"/>
      <c r="K29" s="21"/>
      <c r="L29" s="21"/>
      <c r="M29" s="21"/>
      <c r="N29" s="21"/>
      <c r="O29" s="21"/>
      <c r="P29" s="21"/>
      <c r="Q29" s="21"/>
      <c r="R29" s="21"/>
      <c r="S29" s="21"/>
      <c r="T29" s="21"/>
      <c r="U29" s="21"/>
      <c r="V29" s="21"/>
      <c r="W29" s="21"/>
      <c r="X29" s="21"/>
      <c r="Y29" s="21"/>
      <c r="Z29" s="21"/>
      <c r="AA29" s="21"/>
    </row>
    <row r="30">
      <c r="A30" s="6" t="str">
        <f t="array" ref="A30">IF(I30="","",IFERROR(INDEX(CONFIGURACION!H:H,MATCH(I30,CONFIGURACION!J:J,0)),""))
</f>
        <v/>
      </c>
      <c r="B30" s="6" t="str">
        <f t="array" ref="B30">IF(I30="","",IFERROR(INDEX(CONFIGURACION!I:I,MATCH(I30,CONFIGURACION!J:J,0)),""))
</f>
        <v/>
      </c>
      <c r="C30" s="6"/>
      <c r="D30" s="25"/>
      <c r="E30" s="24"/>
      <c r="F30" s="21"/>
      <c r="G30" s="21"/>
      <c r="H30" s="21"/>
      <c r="I30" s="21"/>
      <c r="J30" s="21"/>
      <c r="K30" s="21"/>
      <c r="L30" s="21"/>
      <c r="M30" s="21"/>
      <c r="N30" s="21"/>
      <c r="O30" s="21"/>
      <c r="P30" s="21"/>
      <c r="Q30" s="21"/>
      <c r="R30" s="21"/>
      <c r="S30" s="21"/>
      <c r="T30" s="21"/>
      <c r="U30" s="21"/>
      <c r="V30" s="21"/>
      <c r="W30" s="21"/>
      <c r="X30" s="21"/>
      <c r="Y30" s="21"/>
      <c r="Z30" s="21"/>
      <c r="AA30" s="21"/>
    </row>
    <row r="31">
      <c r="A31" s="6" t="str">
        <f t="array" ref="A31">IF(I31="","",IFERROR(INDEX(CONFIGURACION!H:H,MATCH(I31,CONFIGURACION!J:J,0)),""))
</f>
        <v/>
      </c>
      <c r="B31" s="6" t="str">
        <f t="array" ref="B31">IF(I31="","",IFERROR(INDEX(CONFIGURACION!I:I,MATCH(I31,CONFIGURACION!J:J,0)),""))
</f>
        <v/>
      </c>
      <c r="C31" s="6"/>
      <c r="D31" s="25"/>
      <c r="E31" s="24"/>
      <c r="F31" s="21"/>
      <c r="G31" s="21"/>
      <c r="H31" s="21"/>
      <c r="I31" s="21"/>
      <c r="J31" s="21"/>
      <c r="K31" s="21"/>
      <c r="L31" s="21"/>
      <c r="M31" s="21"/>
      <c r="N31" s="21"/>
      <c r="O31" s="21"/>
      <c r="P31" s="21"/>
      <c r="Q31" s="21"/>
      <c r="R31" s="21"/>
      <c r="S31" s="21"/>
      <c r="T31" s="21"/>
      <c r="U31" s="21"/>
      <c r="V31" s="21"/>
      <c r="W31" s="21"/>
      <c r="X31" s="21"/>
      <c r="Y31" s="21"/>
      <c r="Z31" s="21"/>
      <c r="AA31" s="21"/>
    </row>
    <row r="32">
      <c r="A32" s="6" t="str">
        <f t="array" ref="A32">IF(I32="","",IFERROR(INDEX(CONFIGURACION!H:H,MATCH(I32,CONFIGURACION!J:J,0)),""))
</f>
        <v/>
      </c>
      <c r="B32" s="6" t="str">
        <f t="array" ref="B32">IF(I32="","",IFERROR(INDEX(CONFIGURACION!I:I,MATCH(I32,CONFIGURACION!J:J,0)),""))
</f>
        <v/>
      </c>
      <c r="C32" s="6"/>
      <c r="D32" s="25"/>
      <c r="E32" s="24"/>
      <c r="F32" s="21"/>
      <c r="G32" s="21"/>
      <c r="H32" s="21"/>
      <c r="I32" s="21"/>
      <c r="J32" s="21"/>
      <c r="K32" s="21"/>
      <c r="L32" s="21"/>
      <c r="M32" s="21"/>
      <c r="N32" s="21"/>
      <c r="O32" s="21"/>
      <c r="P32" s="21"/>
      <c r="Q32" s="21"/>
      <c r="R32" s="21"/>
      <c r="S32" s="21"/>
      <c r="T32" s="21"/>
      <c r="U32" s="21"/>
      <c r="V32" s="21"/>
      <c r="W32" s="21"/>
      <c r="X32" s="21"/>
      <c r="Y32" s="21"/>
      <c r="Z32" s="21"/>
      <c r="AA32" s="21"/>
    </row>
    <row r="33">
      <c r="A33" s="6" t="str">
        <f t="array" ref="A33">IF(I33="","",IFERROR(INDEX(CONFIGURACION!H:H,MATCH(I33,CONFIGURACION!J:J,0)),""))
</f>
        <v/>
      </c>
      <c r="B33" s="6" t="str">
        <f t="array" ref="B33">IF(I33="","",IFERROR(INDEX(CONFIGURACION!I:I,MATCH(I33,CONFIGURACION!J:J,0)),""))
</f>
        <v/>
      </c>
      <c r="C33" s="6"/>
      <c r="D33" s="25"/>
      <c r="E33" s="24"/>
      <c r="F33" s="21"/>
      <c r="G33" s="21"/>
      <c r="H33" s="21"/>
      <c r="I33" s="21"/>
      <c r="J33" s="21"/>
      <c r="K33" s="21"/>
      <c r="L33" s="21"/>
      <c r="M33" s="21"/>
      <c r="N33" s="21"/>
      <c r="O33" s="21"/>
      <c r="P33" s="21"/>
      <c r="Q33" s="21"/>
      <c r="R33" s="21"/>
      <c r="S33" s="21"/>
      <c r="T33" s="21"/>
      <c r="U33" s="21"/>
      <c r="V33" s="21"/>
      <c r="W33" s="21"/>
      <c r="X33" s="21"/>
      <c r="Y33" s="21"/>
      <c r="Z33" s="21"/>
      <c r="AA33" s="21"/>
    </row>
    <row r="34">
      <c r="A34" s="6" t="str">
        <f t="array" ref="A34">IF(I34="","",IFERROR(INDEX(CONFIGURACION!H:H,MATCH(I34,CONFIGURACION!J:J,0)),""))
</f>
        <v/>
      </c>
      <c r="B34" s="6" t="str">
        <f t="array" ref="B34">IF(I34="","",IFERROR(INDEX(CONFIGURACION!I:I,MATCH(I34,CONFIGURACION!J:J,0)),""))
</f>
        <v/>
      </c>
      <c r="C34" s="6"/>
      <c r="D34" s="25"/>
      <c r="E34" s="24"/>
      <c r="F34" s="21"/>
      <c r="G34" s="21"/>
      <c r="H34" s="21"/>
      <c r="I34" s="21"/>
      <c r="J34" s="21"/>
      <c r="K34" s="21"/>
      <c r="L34" s="21"/>
      <c r="M34" s="21"/>
      <c r="N34" s="21"/>
      <c r="O34" s="21"/>
      <c r="P34" s="21"/>
      <c r="Q34" s="21"/>
      <c r="R34" s="21"/>
      <c r="S34" s="21"/>
      <c r="T34" s="21"/>
      <c r="U34" s="21"/>
      <c r="V34" s="21"/>
      <c r="W34" s="21"/>
      <c r="X34" s="21"/>
      <c r="Y34" s="21"/>
      <c r="Z34" s="21"/>
      <c r="AA34" s="21"/>
    </row>
    <row r="35">
      <c r="A35" s="6" t="str">
        <f t="array" ref="A35">IF(I35="","",IFERROR(INDEX(CONFIGURACION!H:H,MATCH(I35,CONFIGURACION!J:J,0)),""))
</f>
        <v/>
      </c>
      <c r="B35" s="6" t="str">
        <f t="array" ref="B35">IF(I35="","",IFERROR(INDEX(CONFIGURACION!I:I,MATCH(I35,CONFIGURACION!J:J,0)),""))
</f>
        <v/>
      </c>
      <c r="C35" s="6"/>
      <c r="D35" s="25"/>
      <c r="E35" s="24"/>
      <c r="F35" s="21"/>
      <c r="G35" s="21"/>
      <c r="H35" s="21"/>
      <c r="I35" s="21"/>
      <c r="J35" s="21"/>
      <c r="K35" s="21"/>
      <c r="L35" s="21"/>
      <c r="M35" s="21"/>
      <c r="N35" s="21"/>
      <c r="O35" s="21"/>
      <c r="P35" s="21"/>
      <c r="Q35" s="21"/>
      <c r="R35" s="21"/>
      <c r="S35" s="21"/>
      <c r="T35" s="21"/>
      <c r="U35" s="21"/>
      <c r="V35" s="21"/>
      <c r="W35" s="21"/>
      <c r="X35" s="21"/>
      <c r="Y35" s="21"/>
      <c r="Z35" s="21"/>
      <c r="AA35" s="21"/>
    </row>
    <row r="36">
      <c r="A36" s="6" t="str">
        <f t="array" ref="A36">IF(I36="","",IFERROR(INDEX(CONFIGURACION!H:H,MATCH(I36,CONFIGURACION!J:J,0)),""))
</f>
        <v/>
      </c>
      <c r="B36" s="6" t="str">
        <f t="array" ref="B36">IF(I36="","",IFERROR(INDEX(CONFIGURACION!I:I,MATCH(I36,CONFIGURACION!J:J,0)),""))
</f>
        <v/>
      </c>
      <c r="C36" s="6"/>
      <c r="D36" s="25"/>
      <c r="E36" s="24"/>
      <c r="F36" s="21"/>
      <c r="G36" s="21"/>
      <c r="H36" s="21"/>
      <c r="I36" s="21"/>
      <c r="J36" s="21"/>
      <c r="K36" s="21"/>
      <c r="L36" s="21"/>
      <c r="M36" s="21"/>
      <c r="N36" s="21"/>
      <c r="O36" s="21"/>
      <c r="P36" s="21"/>
      <c r="Q36" s="21"/>
      <c r="R36" s="21"/>
      <c r="S36" s="21"/>
      <c r="T36" s="21"/>
      <c r="U36" s="21"/>
      <c r="V36" s="21"/>
      <c r="W36" s="21"/>
      <c r="X36" s="21"/>
      <c r="Y36" s="21"/>
      <c r="Z36" s="21"/>
      <c r="AA36" s="21"/>
    </row>
    <row r="37">
      <c r="A37" s="6" t="str">
        <f t="array" ref="A37">IF(I37="","",IFERROR(INDEX(CONFIGURACION!H:H,MATCH(I37,CONFIGURACION!J:J,0)),""))
</f>
        <v/>
      </c>
      <c r="B37" s="6" t="str">
        <f t="array" ref="B37">IF(I37="","",IFERROR(INDEX(CONFIGURACION!I:I,MATCH(I37,CONFIGURACION!J:J,0)),""))
</f>
        <v/>
      </c>
      <c r="C37" s="6"/>
      <c r="D37" s="25"/>
      <c r="E37" s="24"/>
      <c r="F37" s="21"/>
      <c r="G37" s="21"/>
      <c r="H37" s="21"/>
      <c r="I37" s="21"/>
      <c r="J37" s="21"/>
      <c r="K37" s="21"/>
      <c r="L37" s="21"/>
      <c r="M37" s="21"/>
      <c r="N37" s="21"/>
      <c r="O37" s="21"/>
      <c r="P37" s="21"/>
      <c r="Q37" s="21"/>
      <c r="R37" s="21"/>
      <c r="S37" s="21"/>
      <c r="T37" s="21"/>
      <c r="U37" s="21"/>
      <c r="V37" s="21"/>
      <c r="W37" s="21"/>
      <c r="X37" s="21"/>
      <c r="Y37" s="21"/>
      <c r="Z37" s="21"/>
      <c r="AA37" s="21"/>
    </row>
    <row r="38">
      <c r="A38" s="6" t="str">
        <f t="array" ref="A38">IF(I38="","",IFERROR(INDEX(CONFIGURACION!H:H,MATCH(I38,CONFIGURACION!J:J,0)),""))
</f>
        <v/>
      </c>
      <c r="B38" s="6" t="str">
        <f t="array" ref="B38">IF(I38="","",IFERROR(INDEX(CONFIGURACION!I:I,MATCH(I38,CONFIGURACION!J:J,0)),""))
</f>
        <v/>
      </c>
      <c r="C38" s="6"/>
      <c r="D38" s="25"/>
      <c r="E38" s="24"/>
      <c r="F38" s="21"/>
      <c r="G38" s="21"/>
      <c r="H38" s="21"/>
      <c r="I38" s="21"/>
      <c r="J38" s="21"/>
      <c r="K38" s="21"/>
      <c r="L38" s="21"/>
      <c r="M38" s="21"/>
      <c r="N38" s="21"/>
      <c r="O38" s="21"/>
      <c r="P38" s="21"/>
      <c r="Q38" s="21"/>
      <c r="R38" s="21"/>
      <c r="S38" s="21"/>
      <c r="T38" s="21"/>
      <c r="U38" s="21"/>
      <c r="V38" s="21"/>
      <c r="W38" s="21"/>
      <c r="X38" s="21"/>
      <c r="Y38" s="21"/>
      <c r="Z38" s="21"/>
      <c r="AA38" s="21"/>
    </row>
    <row r="39">
      <c r="A39" s="6" t="str">
        <f t="array" ref="A39">IF(I39="","",IFERROR(INDEX(CONFIGURACION!H:H,MATCH(I39,CONFIGURACION!J:J,0)),""))
</f>
        <v/>
      </c>
      <c r="B39" s="6" t="str">
        <f t="array" ref="B39">IF(I39="","",IFERROR(INDEX(CONFIGURACION!I:I,MATCH(I39,CONFIGURACION!J:J,0)),""))
</f>
        <v/>
      </c>
      <c r="C39" s="6"/>
      <c r="D39" s="25"/>
      <c r="E39" s="24"/>
      <c r="F39" s="21"/>
      <c r="G39" s="21"/>
      <c r="H39" s="21"/>
      <c r="I39" s="21"/>
      <c r="J39" s="21"/>
      <c r="K39" s="21"/>
      <c r="L39" s="21"/>
      <c r="M39" s="21"/>
      <c r="N39" s="21"/>
      <c r="O39" s="21"/>
      <c r="P39" s="21"/>
      <c r="Q39" s="21"/>
      <c r="R39" s="21"/>
      <c r="S39" s="21"/>
      <c r="T39" s="21"/>
      <c r="U39" s="21"/>
      <c r="V39" s="21"/>
      <c r="W39" s="21"/>
      <c r="X39" s="21"/>
      <c r="Y39" s="21"/>
      <c r="Z39" s="21"/>
      <c r="AA39" s="21"/>
    </row>
    <row r="40">
      <c r="A40" s="6" t="str">
        <f t="array" ref="A40">IF(I40="","",IFERROR(INDEX(CONFIGURACION!H:H,MATCH(I40,CONFIGURACION!J:J,0)),""))
</f>
        <v/>
      </c>
      <c r="B40" s="6" t="str">
        <f t="array" ref="B40">IF(I40="","",IFERROR(INDEX(CONFIGURACION!I:I,MATCH(I40,CONFIGURACION!J:J,0)),""))
</f>
        <v/>
      </c>
      <c r="C40" s="6"/>
      <c r="D40" s="25"/>
      <c r="E40" s="24"/>
      <c r="F40" s="21"/>
      <c r="G40" s="21"/>
      <c r="H40" s="21"/>
      <c r="I40" s="21"/>
      <c r="J40" s="21"/>
      <c r="K40" s="21"/>
      <c r="L40" s="21"/>
      <c r="M40" s="21"/>
      <c r="N40" s="21"/>
      <c r="O40" s="21"/>
      <c r="P40" s="21"/>
      <c r="Q40" s="21"/>
      <c r="R40" s="21"/>
      <c r="S40" s="21"/>
      <c r="T40" s="21"/>
      <c r="U40" s="21"/>
      <c r="V40" s="21"/>
      <c r="W40" s="21"/>
      <c r="X40" s="21"/>
      <c r="Y40" s="21"/>
      <c r="Z40" s="21"/>
      <c r="AA40" s="21"/>
    </row>
    <row r="41">
      <c r="A41" s="6" t="str">
        <f t="array" ref="A41">IF(I41="","",IFERROR(INDEX(CONFIGURACION!H:H,MATCH(I41,CONFIGURACION!J:J,0)),""))
</f>
        <v/>
      </c>
      <c r="B41" s="6" t="str">
        <f t="array" ref="B41">IF(I41="","",IFERROR(INDEX(CONFIGURACION!I:I,MATCH(I41,CONFIGURACION!J:J,0)),""))
</f>
        <v/>
      </c>
      <c r="C41" s="6"/>
      <c r="D41" s="25"/>
      <c r="E41" s="24"/>
      <c r="F41" s="21"/>
      <c r="G41" s="21"/>
      <c r="H41" s="21"/>
      <c r="I41" s="21"/>
      <c r="J41" s="21"/>
      <c r="K41" s="21"/>
      <c r="L41" s="21"/>
      <c r="M41" s="21"/>
      <c r="N41" s="21"/>
      <c r="O41" s="21"/>
      <c r="P41" s="21"/>
      <c r="Q41" s="21"/>
      <c r="R41" s="21"/>
      <c r="S41" s="21"/>
      <c r="T41" s="21"/>
      <c r="U41" s="21"/>
      <c r="V41" s="21"/>
      <c r="W41" s="21"/>
      <c r="X41" s="21"/>
      <c r="Y41" s="21"/>
      <c r="Z41" s="21"/>
      <c r="AA41" s="21"/>
    </row>
    <row r="42">
      <c r="A42" s="6" t="str">
        <f t="array" ref="A42">IF(I42="","",IFERROR(INDEX(CONFIGURACION!H:H,MATCH(I42,CONFIGURACION!J:J,0)),""))
</f>
        <v/>
      </c>
      <c r="B42" s="6" t="str">
        <f t="array" ref="B42">IF(I42="","",IFERROR(INDEX(CONFIGURACION!I:I,MATCH(I42,CONFIGURACION!J:J,0)),""))
</f>
        <v/>
      </c>
      <c r="C42" s="6"/>
      <c r="D42" s="25"/>
      <c r="E42" s="24"/>
      <c r="F42" s="21"/>
      <c r="G42" s="21"/>
      <c r="H42" s="21"/>
      <c r="I42" s="21"/>
      <c r="J42" s="21"/>
      <c r="K42" s="21"/>
      <c r="L42" s="21"/>
      <c r="M42" s="21"/>
      <c r="N42" s="21"/>
      <c r="O42" s="21"/>
      <c r="P42" s="21"/>
      <c r="Q42" s="21"/>
      <c r="R42" s="21"/>
      <c r="S42" s="21"/>
      <c r="T42" s="21"/>
      <c r="U42" s="21"/>
      <c r="V42" s="21"/>
      <c r="W42" s="21"/>
      <c r="X42" s="21"/>
      <c r="Y42" s="21"/>
      <c r="Z42" s="21"/>
      <c r="AA42" s="21"/>
    </row>
    <row r="43">
      <c r="A43" s="6" t="str">
        <f t="array" ref="A43">IF(I43="","",IFERROR(INDEX(CONFIGURACION!H:H,MATCH(I43,CONFIGURACION!J:J,0)),""))
</f>
        <v/>
      </c>
      <c r="B43" s="6" t="str">
        <f t="array" ref="B43">IF(I43="","",IFERROR(INDEX(CONFIGURACION!I:I,MATCH(I43,CONFIGURACION!J:J,0)),""))
</f>
        <v/>
      </c>
      <c r="C43" s="6"/>
      <c r="D43" s="25"/>
      <c r="E43" s="24"/>
      <c r="F43" s="21"/>
      <c r="G43" s="21"/>
      <c r="H43" s="21"/>
      <c r="I43" s="21"/>
      <c r="J43" s="21"/>
      <c r="K43" s="21"/>
      <c r="L43" s="21"/>
      <c r="M43" s="21"/>
      <c r="N43" s="21"/>
      <c r="O43" s="21"/>
      <c r="P43" s="21"/>
      <c r="Q43" s="21"/>
      <c r="R43" s="21"/>
      <c r="S43" s="21"/>
      <c r="T43" s="21"/>
      <c r="U43" s="21"/>
      <c r="V43" s="21"/>
      <c r="W43" s="21"/>
      <c r="X43" s="21"/>
      <c r="Y43" s="21"/>
      <c r="Z43" s="21"/>
      <c r="AA43" s="21"/>
    </row>
    <row r="44">
      <c r="A44" s="6" t="str">
        <f t="array" ref="A44">IF(I44="","",IFERROR(INDEX(CONFIGURACION!H:H,MATCH(I44,CONFIGURACION!J:J,0)),""))
</f>
        <v/>
      </c>
      <c r="B44" s="6" t="str">
        <f t="array" ref="B44">IF(I44="","",IFERROR(INDEX(CONFIGURACION!I:I,MATCH(I44,CONFIGURACION!J:J,0)),""))
</f>
        <v/>
      </c>
      <c r="C44" s="6"/>
      <c r="D44" s="25"/>
      <c r="E44" s="24"/>
      <c r="F44" s="21"/>
      <c r="G44" s="21"/>
      <c r="H44" s="21"/>
      <c r="I44" s="21"/>
      <c r="J44" s="21"/>
      <c r="K44" s="21"/>
      <c r="L44" s="21"/>
      <c r="M44" s="21"/>
      <c r="N44" s="21"/>
      <c r="O44" s="21"/>
      <c r="P44" s="21"/>
      <c r="Q44" s="21"/>
      <c r="R44" s="21"/>
      <c r="S44" s="21"/>
      <c r="T44" s="21"/>
      <c r="U44" s="21"/>
      <c r="V44" s="21"/>
      <c r="W44" s="21"/>
      <c r="X44" s="21"/>
      <c r="Y44" s="21"/>
      <c r="Z44" s="21"/>
      <c r="AA44" s="21"/>
    </row>
    <row r="45">
      <c r="A45" s="6" t="str">
        <f t="array" ref="A45">IF(I45="","",IFERROR(INDEX(CONFIGURACION!H:H,MATCH(I45,CONFIGURACION!J:J,0)),""))
</f>
        <v/>
      </c>
      <c r="B45" s="6" t="str">
        <f t="array" ref="B45">IF(I45="","",IFERROR(INDEX(CONFIGURACION!I:I,MATCH(I45,CONFIGURACION!J:J,0)),""))
</f>
        <v/>
      </c>
      <c r="C45" s="6"/>
      <c r="D45" s="25"/>
      <c r="E45" s="24"/>
      <c r="F45" s="21"/>
      <c r="G45" s="21"/>
      <c r="H45" s="21"/>
      <c r="I45" s="21"/>
      <c r="J45" s="21"/>
      <c r="K45" s="21"/>
      <c r="L45" s="21"/>
      <c r="M45" s="21"/>
      <c r="N45" s="21"/>
      <c r="O45" s="21"/>
      <c r="P45" s="21"/>
      <c r="Q45" s="21"/>
      <c r="R45" s="21"/>
      <c r="S45" s="21"/>
      <c r="T45" s="21"/>
      <c r="U45" s="21"/>
      <c r="V45" s="21"/>
      <c r="W45" s="21"/>
      <c r="X45" s="21"/>
      <c r="Y45" s="21"/>
      <c r="Z45" s="21"/>
      <c r="AA45" s="21"/>
    </row>
    <row r="46">
      <c r="A46" s="6" t="str">
        <f t="array" ref="A46">IF(I46="","",IFERROR(INDEX(CONFIGURACION!H:H,MATCH(I46,CONFIGURACION!J:J,0)),""))
</f>
        <v/>
      </c>
      <c r="B46" s="6" t="str">
        <f t="array" ref="B46">IF(I46="","",IFERROR(INDEX(CONFIGURACION!I:I,MATCH(I46,CONFIGURACION!J:J,0)),""))
</f>
        <v/>
      </c>
      <c r="C46" s="6"/>
      <c r="D46" s="25"/>
      <c r="E46" s="24"/>
      <c r="F46" s="21"/>
      <c r="G46" s="21"/>
      <c r="H46" s="21"/>
      <c r="I46" s="21"/>
      <c r="J46" s="21"/>
      <c r="K46" s="21"/>
      <c r="L46" s="21"/>
      <c r="M46" s="21"/>
      <c r="N46" s="21"/>
      <c r="O46" s="21"/>
      <c r="P46" s="21"/>
      <c r="Q46" s="21"/>
      <c r="R46" s="21"/>
      <c r="S46" s="21"/>
      <c r="T46" s="21"/>
      <c r="U46" s="21"/>
      <c r="V46" s="21"/>
      <c r="W46" s="21"/>
      <c r="X46" s="21"/>
      <c r="Y46" s="21"/>
      <c r="Z46" s="21"/>
      <c r="AA46" s="21"/>
    </row>
    <row r="47">
      <c r="A47" s="6" t="str">
        <f t="array" ref="A47">IF(I47="","",IFERROR(INDEX(CONFIGURACION!H:H,MATCH(I47,CONFIGURACION!J:J,0)),""))
</f>
        <v/>
      </c>
      <c r="B47" s="6" t="str">
        <f t="array" ref="B47">IF(I47="","",IFERROR(INDEX(CONFIGURACION!I:I,MATCH(I47,CONFIGURACION!J:J,0)),""))
</f>
        <v/>
      </c>
      <c r="C47" s="6"/>
      <c r="D47" s="25"/>
      <c r="E47" s="24"/>
      <c r="F47" s="21"/>
      <c r="G47" s="21"/>
      <c r="H47" s="21"/>
      <c r="I47" s="21"/>
      <c r="J47" s="21"/>
      <c r="K47" s="21"/>
      <c r="L47" s="21"/>
      <c r="M47" s="21"/>
      <c r="N47" s="21"/>
      <c r="O47" s="21"/>
      <c r="P47" s="21"/>
      <c r="Q47" s="21"/>
      <c r="R47" s="21"/>
      <c r="S47" s="21"/>
      <c r="T47" s="21"/>
      <c r="U47" s="21"/>
      <c r="V47" s="21"/>
      <c r="W47" s="21"/>
      <c r="X47" s="21"/>
      <c r="Y47" s="21"/>
      <c r="Z47" s="21"/>
      <c r="AA47" s="21"/>
    </row>
    <row r="48">
      <c r="A48" s="6" t="str">
        <f t="array" ref="A48">IF(I48="","",IFERROR(INDEX(CONFIGURACION!H:H,MATCH(I48,CONFIGURACION!J:J,0)),""))
</f>
        <v/>
      </c>
      <c r="B48" s="6" t="str">
        <f t="array" ref="B48">IF(I48="","",IFERROR(INDEX(CONFIGURACION!I:I,MATCH(I48,CONFIGURACION!J:J,0)),""))
</f>
        <v/>
      </c>
      <c r="C48" s="6"/>
      <c r="D48" s="25"/>
      <c r="E48" s="24"/>
      <c r="F48" s="21"/>
      <c r="G48" s="21"/>
      <c r="H48" s="21"/>
      <c r="I48" s="21"/>
      <c r="J48" s="21"/>
      <c r="K48" s="21"/>
      <c r="L48" s="21"/>
      <c r="M48" s="21"/>
      <c r="N48" s="21"/>
      <c r="O48" s="21"/>
      <c r="P48" s="21"/>
      <c r="Q48" s="21"/>
      <c r="R48" s="21"/>
      <c r="S48" s="21"/>
      <c r="T48" s="21"/>
      <c r="U48" s="21"/>
      <c r="V48" s="21"/>
      <c r="W48" s="21"/>
      <c r="X48" s="21"/>
      <c r="Y48" s="21"/>
      <c r="Z48" s="21"/>
      <c r="AA48" s="21"/>
    </row>
    <row r="49">
      <c r="A49" s="6" t="str">
        <f t="array" ref="A49">IF(I49="","",IFERROR(INDEX(CONFIGURACION!H:H,MATCH(I49,CONFIGURACION!J:J,0)),""))
</f>
        <v/>
      </c>
      <c r="B49" s="6" t="str">
        <f t="array" ref="B49">IF(I49="","",IFERROR(INDEX(CONFIGURACION!I:I,MATCH(I49,CONFIGURACION!J:J,0)),""))
</f>
        <v/>
      </c>
      <c r="C49" s="6"/>
      <c r="D49" s="25"/>
      <c r="E49" s="24"/>
      <c r="F49" s="21"/>
      <c r="G49" s="21"/>
      <c r="H49" s="21"/>
      <c r="I49" s="21"/>
      <c r="J49" s="21"/>
      <c r="K49" s="21"/>
      <c r="L49" s="21"/>
      <c r="M49" s="21"/>
      <c r="N49" s="21"/>
      <c r="O49" s="21"/>
      <c r="P49" s="21"/>
      <c r="Q49" s="21"/>
      <c r="R49" s="21"/>
      <c r="S49" s="21"/>
      <c r="T49" s="21"/>
      <c r="U49" s="21"/>
      <c r="V49" s="21"/>
      <c r="W49" s="21"/>
      <c r="X49" s="21"/>
      <c r="Y49" s="21"/>
      <c r="Z49" s="21"/>
      <c r="AA49" s="21"/>
    </row>
    <row r="50">
      <c r="A50" s="6" t="str">
        <f t="array" ref="A50">IF(I50="","",IFERROR(INDEX(CONFIGURACION!H:H,MATCH(I50,CONFIGURACION!J:J,0)),""))
</f>
        <v/>
      </c>
      <c r="B50" s="6" t="str">
        <f t="array" ref="B50">IF(I50="","",IFERROR(INDEX(CONFIGURACION!I:I,MATCH(I50,CONFIGURACION!J:J,0)),""))
</f>
        <v/>
      </c>
      <c r="C50" s="6"/>
      <c r="D50" s="25"/>
      <c r="E50" s="24"/>
      <c r="F50" s="21"/>
      <c r="G50" s="21"/>
      <c r="H50" s="21"/>
      <c r="I50" s="21"/>
      <c r="J50" s="21"/>
      <c r="K50" s="21"/>
      <c r="L50" s="21"/>
      <c r="M50" s="21"/>
      <c r="N50" s="21"/>
      <c r="O50" s="21"/>
      <c r="P50" s="21"/>
      <c r="Q50" s="21"/>
      <c r="R50" s="21"/>
      <c r="S50" s="21"/>
      <c r="T50" s="21"/>
      <c r="U50" s="21"/>
      <c r="V50" s="21"/>
      <c r="W50" s="21"/>
      <c r="X50" s="21"/>
      <c r="Y50" s="21"/>
      <c r="Z50" s="21"/>
      <c r="AA50" s="21"/>
    </row>
    <row r="51">
      <c r="A51" s="6" t="str">
        <f t="array" ref="A51">IF(I51="","",IFERROR(INDEX(CONFIGURACION!H:H,MATCH(I51,CONFIGURACION!J:J,0)),""))
</f>
        <v/>
      </c>
      <c r="B51" s="6" t="str">
        <f t="array" ref="B51">IF(I51="","",IFERROR(INDEX(CONFIGURACION!I:I,MATCH(I51,CONFIGURACION!J:J,0)),""))
</f>
        <v/>
      </c>
      <c r="C51" s="6"/>
      <c r="D51" s="25"/>
      <c r="E51" s="24"/>
      <c r="F51" s="21"/>
      <c r="G51" s="21"/>
      <c r="H51" s="21"/>
      <c r="I51" s="21"/>
      <c r="J51" s="21"/>
      <c r="K51" s="21"/>
      <c r="L51" s="21"/>
      <c r="M51" s="21"/>
      <c r="N51" s="21"/>
      <c r="O51" s="21"/>
      <c r="P51" s="21"/>
      <c r="Q51" s="21"/>
      <c r="R51" s="21"/>
      <c r="S51" s="21"/>
      <c r="T51" s="21"/>
      <c r="U51" s="21"/>
      <c r="V51" s="21"/>
      <c r="W51" s="21"/>
      <c r="X51" s="21"/>
      <c r="Y51" s="21"/>
      <c r="Z51" s="21"/>
      <c r="AA51" s="21"/>
    </row>
    <row r="52">
      <c r="A52" s="6" t="str">
        <f t="array" ref="A52">IF(I52="","",IFERROR(INDEX(CONFIGURACION!H:H,MATCH(I52,CONFIGURACION!J:J,0)),""))
</f>
        <v/>
      </c>
      <c r="B52" s="6" t="str">
        <f t="array" ref="B52">IF(I52="","",IFERROR(INDEX(CONFIGURACION!I:I,MATCH(I52,CONFIGURACION!J:J,0)),""))
</f>
        <v/>
      </c>
      <c r="C52" s="6"/>
      <c r="D52" s="25"/>
      <c r="E52" s="24"/>
      <c r="F52" s="21"/>
      <c r="G52" s="21"/>
      <c r="H52" s="21"/>
      <c r="I52" s="21"/>
      <c r="J52" s="21"/>
      <c r="K52" s="21"/>
      <c r="L52" s="21"/>
      <c r="M52" s="21"/>
      <c r="N52" s="21"/>
      <c r="O52" s="21"/>
      <c r="P52" s="21"/>
      <c r="Q52" s="21"/>
      <c r="R52" s="21"/>
      <c r="S52" s="21"/>
      <c r="T52" s="21"/>
      <c r="U52" s="21"/>
      <c r="V52" s="21"/>
      <c r="W52" s="21"/>
      <c r="X52" s="21"/>
      <c r="Y52" s="21"/>
      <c r="Z52" s="21"/>
      <c r="AA52" s="21"/>
    </row>
    <row r="53">
      <c r="A53" s="6" t="str">
        <f t="array" ref="A53">IF(I53="","",IFERROR(INDEX(CONFIGURACION!H:H,MATCH(I53,CONFIGURACION!J:J,0)),""))
</f>
        <v/>
      </c>
      <c r="B53" s="6" t="str">
        <f t="array" ref="B53">IF(I53="","",IFERROR(INDEX(CONFIGURACION!I:I,MATCH(I53,CONFIGURACION!J:J,0)),""))
</f>
        <v/>
      </c>
      <c r="C53" s="6"/>
      <c r="D53" s="25"/>
      <c r="E53" s="24"/>
      <c r="F53" s="21"/>
      <c r="G53" s="21"/>
      <c r="H53" s="21"/>
      <c r="I53" s="21"/>
      <c r="J53" s="21"/>
      <c r="K53" s="21"/>
      <c r="L53" s="21"/>
      <c r="M53" s="21"/>
      <c r="N53" s="21"/>
      <c r="O53" s="21"/>
      <c r="P53" s="21"/>
      <c r="Q53" s="21"/>
      <c r="R53" s="21"/>
      <c r="S53" s="21"/>
      <c r="T53" s="21"/>
      <c r="U53" s="21"/>
      <c r="V53" s="21"/>
      <c r="W53" s="21"/>
      <c r="X53" s="21"/>
      <c r="Y53" s="21"/>
      <c r="Z53" s="21"/>
      <c r="AA53" s="21"/>
    </row>
    <row r="54">
      <c r="A54" s="6" t="str">
        <f t="array" ref="A54">IF(I54="","",IFERROR(INDEX(CONFIGURACION!H:H,MATCH(I54,CONFIGURACION!J:J,0)),""))
</f>
        <v/>
      </c>
      <c r="B54" s="6" t="str">
        <f t="array" ref="B54">IF(I54="","",IFERROR(INDEX(CONFIGURACION!I:I,MATCH(I54,CONFIGURACION!J:J,0)),""))
</f>
        <v/>
      </c>
      <c r="C54" s="6"/>
      <c r="D54" s="25"/>
      <c r="E54" s="24"/>
      <c r="F54" s="21"/>
      <c r="G54" s="21"/>
      <c r="H54" s="21"/>
      <c r="I54" s="21"/>
      <c r="J54" s="21"/>
      <c r="K54" s="21"/>
      <c r="L54" s="21"/>
      <c r="M54" s="21"/>
      <c r="N54" s="21"/>
      <c r="O54" s="21"/>
      <c r="P54" s="21"/>
      <c r="Q54" s="21"/>
      <c r="R54" s="21"/>
      <c r="S54" s="21"/>
      <c r="T54" s="21"/>
      <c r="U54" s="21"/>
      <c r="V54" s="21"/>
      <c r="W54" s="21"/>
      <c r="X54" s="21"/>
      <c r="Y54" s="21"/>
      <c r="Z54" s="21"/>
      <c r="AA54" s="21"/>
    </row>
    <row r="55">
      <c r="A55" s="6" t="str">
        <f t="array" ref="A55">IF(I55="","",IFERROR(INDEX(CONFIGURACION!H:H,MATCH(I55,CONFIGURACION!J:J,0)),""))
</f>
        <v/>
      </c>
      <c r="B55" s="6" t="str">
        <f t="array" ref="B55">IF(I55="","",IFERROR(INDEX(CONFIGURACION!I:I,MATCH(I55,CONFIGURACION!J:J,0)),""))
</f>
        <v/>
      </c>
      <c r="C55" s="6"/>
      <c r="D55" s="25"/>
      <c r="E55" s="24"/>
      <c r="F55" s="21"/>
      <c r="G55" s="21"/>
      <c r="H55" s="21"/>
      <c r="I55" s="21"/>
      <c r="J55" s="21"/>
      <c r="K55" s="21"/>
      <c r="L55" s="21"/>
      <c r="M55" s="21"/>
      <c r="N55" s="21"/>
      <c r="O55" s="21"/>
      <c r="P55" s="21"/>
      <c r="Q55" s="21"/>
      <c r="R55" s="21"/>
      <c r="S55" s="21"/>
      <c r="T55" s="21"/>
      <c r="U55" s="21"/>
      <c r="V55" s="21"/>
      <c r="W55" s="21"/>
      <c r="X55" s="21"/>
      <c r="Y55" s="21"/>
      <c r="Z55" s="21"/>
      <c r="AA55" s="21"/>
    </row>
    <row r="56">
      <c r="A56" s="6" t="str">
        <f t="array" ref="A56">IF(I56="","",IFERROR(INDEX(CONFIGURACION!H:H,MATCH(I56,CONFIGURACION!J:J,0)),""))
</f>
        <v/>
      </c>
      <c r="B56" s="6" t="str">
        <f t="array" ref="B56">IF(I56="","",IFERROR(INDEX(CONFIGURACION!I:I,MATCH(I56,CONFIGURACION!J:J,0)),""))
</f>
        <v/>
      </c>
      <c r="C56" s="6"/>
      <c r="D56" s="25"/>
      <c r="E56" s="24"/>
      <c r="F56" s="21"/>
      <c r="G56" s="21"/>
      <c r="H56" s="21"/>
      <c r="I56" s="21"/>
      <c r="J56" s="21"/>
      <c r="K56" s="21"/>
      <c r="L56" s="21"/>
      <c r="M56" s="21"/>
      <c r="N56" s="21"/>
      <c r="O56" s="21"/>
      <c r="P56" s="21"/>
      <c r="Q56" s="21"/>
      <c r="R56" s="21"/>
      <c r="S56" s="21"/>
      <c r="T56" s="21"/>
      <c r="U56" s="21"/>
      <c r="V56" s="21"/>
      <c r="W56" s="21"/>
      <c r="X56" s="21"/>
      <c r="Y56" s="21"/>
      <c r="Z56" s="21"/>
      <c r="AA56" s="21"/>
    </row>
    <row r="57">
      <c r="A57" s="6" t="str">
        <f t="array" ref="A57">IF(I57="","",IFERROR(INDEX(CONFIGURACION!H:H,MATCH(I57,CONFIGURACION!J:J,0)),""))
</f>
        <v/>
      </c>
      <c r="B57" s="6" t="str">
        <f t="array" ref="B57">IF(I57="","",IFERROR(INDEX(CONFIGURACION!I:I,MATCH(I57,CONFIGURACION!J:J,0)),""))
</f>
        <v/>
      </c>
      <c r="C57" s="6"/>
      <c r="D57" s="25"/>
      <c r="E57" s="24"/>
      <c r="F57" s="21"/>
      <c r="G57" s="21"/>
      <c r="H57" s="21"/>
      <c r="I57" s="21"/>
      <c r="J57" s="21"/>
      <c r="K57" s="21"/>
      <c r="L57" s="21"/>
      <c r="M57" s="21"/>
      <c r="N57" s="21"/>
      <c r="O57" s="21"/>
      <c r="P57" s="21"/>
      <c r="Q57" s="21"/>
      <c r="R57" s="21"/>
      <c r="S57" s="21"/>
      <c r="T57" s="21"/>
      <c r="U57" s="21"/>
      <c r="V57" s="21"/>
      <c r="W57" s="21"/>
      <c r="X57" s="21"/>
      <c r="Y57" s="21"/>
      <c r="Z57" s="21"/>
      <c r="AA57" s="21"/>
    </row>
    <row r="58">
      <c r="A58" s="6" t="str">
        <f t="array" ref="A58">IF(I58="","",IFERROR(INDEX(CONFIGURACION!H:H,MATCH(I58,CONFIGURACION!J:J,0)),""))
</f>
        <v/>
      </c>
      <c r="B58" s="6" t="str">
        <f t="array" ref="B58">IF(I58="","",IFERROR(INDEX(CONFIGURACION!I:I,MATCH(I58,CONFIGURACION!J:J,0)),""))
</f>
        <v/>
      </c>
      <c r="C58" s="6"/>
      <c r="D58" s="25"/>
      <c r="E58" s="24"/>
      <c r="F58" s="21"/>
      <c r="G58" s="21"/>
      <c r="H58" s="21"/>
      <c r="I58" s="21"/>
      <c r="J58" s="21"/>
      <c r="K58" s="21"/>
      <c r="L58" s="21"/>
      <c r="M58" s="21"/>
      <c r="N58" s="21"/>
      <c r="O58" s="21"/>
      <c r="P58" s="21"/>
      <c r="Q58" s="21"/>
      <c r="R58" s="21"/>
      <c r="S58" s="21"/>
      <c r="T58" s="21"/>
      <c r="U58" s="21"/>
      <c r="V58" s="21"/>
      <c r="W58" s="21"/>
      <c r="X58" s="21"/>
      <c r="Y58" s="21"/>
      <c r="Z58" s="21"/>
      <c r="AA58" s="21"/>
    </row>
    <row r="59">
      <c r="A59" s="6" t="str">
        <f t="array" ref="A59">IF(I59="","",IFERROR(INDEX(CONFIGURACION!H:H,MATCH(I59,CONFIGURACION!J:J,0)),""))
</f>
        <v/>
      </c>
      <c r="B59" s="6" t="str">
        <f t="array" ref="B59">IF(I59="","",IFERROR(INDEX(CONFIGURACION!I:I,MATCH(I59,CONFIGURACION!J:J,0)),""))
</f>
        <v/>
      </c>
      <c r="C59" s="6"/>
      <c r="D59" s="25"/>
      <c r="E59" s="24"/>
      <c r="F59" s="21"/>
      <c r="G59" s="21"/>
      <c r="H59" s="21"/>
      <c r="I59" s="21"/>
      <c r="J59" s="21"/>
      <c r="K59" s="21"/>
      <c r="L59" s="21"/>
      <c r="M59" s="21"/>
      <c r="N59" s="21"/>
      <c r="O59" s="21"/>
      <c r="P59" s="21"/>
      <c r="Q59" s="21"/>
      <c r="R59" s="21"/>
      <c r="S59" s="21"/>
      <c r="T59" s="21"/>
      <c r="U59" s="21"/>
      <c r="V59" s="21"/>
      <c r="W59" s="21"/>
      <c r="X59" s="21"/>
      <c r="Y59" s="21"/>
      <c r="Z59" s="21"/>
      <c r="AA59" s="21"/>
    </row>
    <row r="60">
      <c r="A60" s="6" t="str">
        <f t="array" ref="A60">IF(I60="","",IFERROR(INDEX(CONFIGURACION!H:H,MATCH(I60,CONFIGURACION!J:J,0)),""))
</f>
        <v/>
      </c>
      <c r="B60" s="6" t="str">
        <f t="array" ref="B60">IF(I60="","",IFERROR(INDEX(CONFIGURACION!I:I,MATCH(I60,CONFIGURACION!J:J,0)),""))
</f>
        <v/>
      </c>
      <c r="C60" s="6"/>
      <c r="D60" s="25"/>
      <c r="E60" s="24"/>
      <c r="F60" s="21"/>
      <c r="G60" s="21"/>
      <c r="H60" s="21"/>
      <c r="I60" s="21"/>
      <c r="J60" s="21"/>
      <c r="K60" s="21"/>
      <c r="L60" s="21"/>
      <c r="M60" s="21"/>
      <c r="N60" s="21"/>
      <c r="O60" s="21"/>
      <c r="P60" s="21"/>
      <c r="Q60" s="21"/>
      <c r="R60" s="21"/>
      <c r="S60" s="21"/>
      <c r="T60" s="21"/>
      <c r="U60" s="21"/>
      <c r="V60" s="21"/>
      <c r="W60" s="21"/>
      <c r="X60" s="21"/>
      <c r="Y60" s="21"/>
      <c r="Z60" s="21"/>
      <c r="AA60" s="21"/>
    </row>
    <row r="61">
      <c r="A61" s="6" t="str">
        <f t="array" ref="A61">IF(I61="","",IFERROR(INDEX(CONFIGURACION!H:H,MATCH(I61,CONFIGURACION!J:J,0)),""))
</f>
        <v/>
      </c>
      <c r="B61" s="6" t="str">
        <f t="array" ref="B61">IF(I61="","",IFERROR(INDEX(CONFIGURACION!I:I,MATCH(I61,CONFIGURACION!J:J,0)),""))
</f>
        <v/>
      </c>
      <c r="C61" s="6"/>
      <c r="D61" s="25"/>
      <c r="E61" s="24"/>
      <c r="F61" s="21"/>
      <c r="G61" s="21"/>
      <c r="H61" s="21"/>
      <c r="I61" s="21"/>
      <c r="J61" s="21"/>
      <c r="K61" s="21"/>
      <c r="L61" s="21"/>
      <c r="M61" s="21"/>
      <c r="N61" s="21"/>
      <c r="O61" s="21"/>
      <c r="P61" s="21"/>
      <c r="Q61" s="21"/>
      <c r="R61" s="21"/>
      <c r="S61" s="21"/>
      <c r="T61" s="21"/>
      <c r="U61" s="21"/>
      <c r="V61" s="21"/>
      <c r="W61" s="21"/>
      <c r="X61" s="21"/>
      <c r="Y61" s="21"/>
      <c r="Z61" s="21"/>
      <c r="AA61" s="21"/>
    </row>
    <row r="62">
      <c r="A62" s="6" t="str">
        <f t="array" ref="A62">IF(I62="","",IFERROR(INDEX(CONFIGURACION!H:H,MATCH(I62,CONFIGURACION!J:J,0)),""))
</f>
        <v/>
      </c>
      <c r="B62" s="6" t="str">
        <f t="array" ref="B62">IF(I62="","",IFERROR(INDEX(CONFIGURACION!I:I,MATCH(I62,CONFIGURACION!J:J,0)),""))
</f>
        <v/>
      </c>
      <c r="C62" s="6"/>
      <c r="D62" s="25"/>
      <c r="E62" s="24"/>
      <c r="F62" s="21"/>
      <c r="G62" s="21"/>
      <c r="H62" s="21"/>
      <c r="I62" s="21"/>
      <c r="J62" s="21"/>
      <c r="K62" s="21"/>
      <c r="L62" s="21"/>
      <c r="M62" s="21"/>
      <c r="N62" s="21"/>
      <c r="O62" s="21"/>
      <c r="P62" s="21"/>
      <c r="Q62" s="21"/>
      <c r="R62" s="21"/>
      <c r="S62" s="21"/>
      <c r="T62" s="21"/>
      <c r="U62" s="21"/>
      <c r="V62" s="21"/>
      <c r="W62" s="21"/>
      <c r="X62" s="21"/>
      <c r="Y62" s="21"/>
      <c r="Z62" s="21"/>
      <c r="AA62" s="21"/>
    </row>
    <row r="63">
      <c r="A63" s="6" t="str">
        <f t="array" ref="A63">IF(I63="","",IFERROR(INDEX(CONFIGURACION!H:H,MATCH(I63,CONFIGURACION!J:J,0)),""))
</f>
        <v/>
      </c>
      <c r="B63" s="6" t="str">
        <f t="array" ref="B63">IF(I63="","",IFERROR(INDEX(CONFIGURACION!I:I,MATCH(I63,CONFIGURACION!J:J,0)),""))
</f>
        <v/>
      </c>
      <c r="C63" s="6"/>
      <c r="D63" s="25"/>
      <c r="E63" s="24"/>
      <c r="F63" s="21"/>
      <c r="G63" s="21"/>
      <c r="H63" s="21"/>
      <c r="I63" s="21"/>
      <c r="J63" s="21"/>
      <c r="K63" s="21"/>
      <c r="L63" s="21"/>
      <c r="M63" s="21"/>
      <c r="N63" s="21"/>
      <c r="O63" s="21"/>
      <c r="P63" s="21"/>
      <c r="Q63" s="21"/>
      <c r="R63" s="21"/>
      <c r="S63" s="21"/>
      <c r="T63" s="21"/>
      <c r="U63" s="21"/>
      <c r="V63" s="21"/>
      <c r="W63" s="21"/>
      <c r="X63" s="21"/>
      <c r="Y63" s="21"/>
      <c r="Z63" s="21"/>
      <c r="AA63" s="21"/>
    </row>
    <row r="64">
      <c r="A64" s="6" t="str">
        <f t="array" ref="A64">IF(I64="","",IFERROR(INDEX(CONFIGURACION!H:H,MATCH(I64,CONFIGURACION!J:J,0)),""))
</f>
        <v/>
      </c>
      <c r="B64" s="6" t="str">
        <f t="array" ref="B64">IF(I64="","",IFERROR(INDEX(CONFIGURACION!I:I,MATCH(I64,CONFIGURACION!J:J,0)),""))
</f>
        <v/>
      </c>
      <c r="C64" s="6"/>
      <c r="D64" s="25"/>
      <c r="E64" s="24"/>
      <c r="F64" s="21"/>
      <c r="G64" s="21"/>
      <c r="H64" s="21"/>
      <c r="I64" s="21"/>
      <c r="J64" s="21"/>
      <c r="K64" s="21"/>
      <c r="L64" s="21"/>
      <c r="M64" s="21"/>
      <c r="N64" s="21"/>
      <c r="O64" s="21"/>
      <c r="P64" s="21"/>
      <c r="Q64" s="21"/>
      <c r="R64" s="21"/>
      <c r="S64" s="21"/>
      <c r="T64" s="21"/>
      <c r="U64" s="21"/>
      <c r="V64" s="21"/>
      <c r="W64" s="21"/>
      <c r="X64" s="21"/>
      <c r="Y64" s="21"/>
      <c r="Z64" s="21"/>
      <c r="AA64" s="21"/>
    </row>
    <row r="65">
      <c r="A65" s="6" t="str">
        <f t="array" ref="A65">IF(I65="","",IFERROR(INDEX(CONFIGURACION!H:H,MATCH(I65,CONFIGURACION!J:J,0)),""))
</f>
        <v/>
      </c>
      <c r="B65" s="6" t="str">
        <f t="array" ref="B65">IF(I65="","",IFERROR(INDEX(CONFIGURACION!I:I,MATCH(I65,CONFIGURACION!J:J,0)),""))
</f>
        <v/>
      </c>
      <c r="C65" s="6"/>
      <c r="D65" s="25"/>
      <c r="E65" s="24"/>
      <c r="F65" s="21"/>
      <c r="G65" s="21"/>
      <c r="H65" s="21"/>
      <c r="I65" s="21"/>
      <c r="J65" s="21"/>
      <c r="K65" s="21"/>
      <c r="L65" s="21"/>
      <c r="M65" s="21"/>
      <c r="N65" s="21"/>
      <c r="O65" s="21"/>
      <c r="P65" s="21"/>
      <c r="Q65" s="21"/>
      <c r="R65" s="21"/>
      <c r="S65" s="21"/>
      <c r="T65" s="21"/>
      <c r="U65" s="21"/>
      <c r="V65" s="21"/>
      <c r="W65" s="21"/>
      <c r="X65" s="21"/>
      <c r="Y65" s="21"/>
      <c r="Z65" s="21"/>
      <c r="AA65" s="21"/>
    </row>
    <row r="66">
      <c r="A66" s="6" t="str">
        <f t="array" ref="A66">IF(I66="","",IFERROR(INDEX(CONFIGURACION!H:H,MATCH(I66,CONFIGURACION!J:J,0)),""))
</f>
        <v/>
      </c>
      <c r="B66" s="6" t="str">
        <f t="array" ref="B66">IF(I66="","",IFERROR(INDEX(CONFIGURACION!I:I,MATCH(I66,CONFIGURACION!J:J,0)),""))
</f>
        <v/>
      </c>
      <c r="C66" s="6"/>
      <c r="D66" s="25"/>
      <c r="E66" s="24"/>
      <c r="F66" s="21"/>
      <c r="G66" s="21"/>
      <c r="H66" s="21"/>
      <c r="I66" s="21"/>
      <c r="J66" s="21"/>
      <c r="K66" s="21"/>
      <c r="L66" s="21"/>
      <c r="M66" s="21"/>
      <c r="N66" s="21"/>
      <c r="O66" s="21"/>
      <c r="P66" s="21"/>
      <c r="Q66" s="21"/>
      <c r="R66" s="21"/>
      <c r="S66" s="21"/>
      <c r="T66" s="21"/>
      <c r="U66" s="21"/>
      <c r="V66" s="21"/>
      <c r="W66" s="21"/>
      <c r="X66" s="21"/>
      <c r="Y66" s="21"/>
      <c r="Z66" s="21"/>
      <c r="AA66" s="21"/>
    </row>
    <row r="67">
      <c r="A67" s="6" t="str">
        <f t="array" ref="A67">IF(I67="","",IFERROR(INDEX(CONFIGURACION!H:H,MATCH(I67,CONFIGURACION!J:J,0)),""))
</f>
        <v/>
      </c>
      <c r="B67" s="6" t="str">
        <f t="array" ref="B67">IF(I67="","",IFERROR(INDEX(CONFIGURACION!I:I,MATCH(I67,CONFIGURACION!J:J,0)),""))
</f>
        <v/>
      </c>
      <c r="C67" s="6"/>
      <c r="D67" s="25"/>
      <c r="E67" s="24"/>
      <c r="F67" s="21"/>
      <c r="G67" s="21"/>
      <c r="H67" s="21"/>
      <c r="I67" s="21"/>
      <c r="J67" s="21"/>
      <c r="K67" s="21"/>
      <c r="L67" s="21"/>
      <c r="M67" s="21"/>
      <c r="N67" s="21"/>
      <c r="O67" s="21"/>
      <c r="P67" s="21"/>
      <c r="Q67" s="21"/>
      <c r="R67" s="21"/>
      <c r="S67" s="21"/>
      <c r="T67" s="21"/>
      <c r="U67" s="21"/>
      <c r="V67" s="21"/>
      <c r="W67" s="21"/>
      <c r="X67" s="21"/>
      <c r="Y67" s="21"/>
      <c r="Z67" s="21"/>
      <c r="AA67" s="21"/>
    </row>
    <row r="68">
      <c r="A68" s="6" t="str">
        <f t="array" ref="A68">IF(I68="","",IFERROR(INDEX(CONFIGURACION!H:H,MATCH(I68,CONFIGURACION!J:J,0)),""))
</f>
        <v/>
      </c>
      <c r="B68" s="6" t="str">
        <f t="array" ref="B68">IF(I68="","",IFERROR(INDEX(CONFIGURACION!I:I,MATCH(I68,CONFIGURACION!J:J,0)),""))
</f>
        <v/>
      </c>
      <c r="C68" s="6"/>
      <c r="D68" s="25"/>
      <c r="E68" s="24"/>
      <c r="F68" s="21"/>
      <c r="G68" s="21"/>
      <c r="H68" s="21"/>
      <c r="I68" s="21"/>
      <c r="J68" s="21"/>
      <c r="K68" s="21"/>
      <c r="L68" s="21"/>
      <c r="M68" s="21"/>
      <c r="N68" s="21"/>
      <c r="O68" s="21"/>
      <c r="P68" s="21"/>
      <c r="Q68" s="21"/>
      <c r="R68" s="21"/>
      <c r="S68" s="21"/>
      <c r="T68" s="21"/>
      <c r="U68" s="21"/>
      <c r="V68" s="21"/>
      <c r="W68" s="21"/>
      <c r="X68" s="21"/>
      <c r="Y68" s="21"/>
      <c r="Z68" s="21"/>
      <c r="AA68" s="21"/>
    </row>
    <row r="69">
      <c r="A69" s="6" t="str">
        <f t="array" ref="A69">IF(I69="","",IFERROR(INDEX(CONFIGURACION!H:H,MATCH(I69,CONFIGURACION!J:J,0)),""))
</f>
        <v/>
      </c>
      <c r="B69" s="6" t="str">
        <f t="array" ref="B69">IF(I69="","",IFERROR(INDEX(CONFIGURACION!I:I,MATCH(I69,CONFIGURACION!J:J,0)),""))
</f>
        <v/>
      </c>
      <c r="C69" s="6"/>
      <c r="D69" s="25"/>
      <c r="E69" s="24"/>
      <c r="F69" s="21"/>
      <c r="G69" s="21"/>
      <c r="H69" s="21"/>
      <c r="I69" s="21"/>
      <c r="J69" s="21"/>
      <c r="K69" s="21"/>
      <c r="L69" s="21"/>
      <c r="M69" s="21"/>
      <c r="N69" s="21"/>
      <c r="O69" s="21"/>
      <c r="P69" s="21"/>
      <c r="Q69" s="21"/>
      <c r="R69" s="21"/>
      <c r="S69" s="21"/>
      <c r="T69" s="21"/>
      <c r="U69" s="21"/>
      <c r="V69" s="21"/>
      <c r="W69" s="21"/>
      <c r="X69" s="21"/>
      <c r="Y69" s="21"/>
      <c r="Z69" s="21"/>
      <c r="AA69" s="21"/>
    </row>
    <row r="70">
      <c r="A70" s="6" t="str">
        <f t="array" ref="A70">IF(I70="","",IFERROR(INDEX(CONFIGURACION!H:H,MATCH(I70,CONFIGURACION!J:J,0)),""))
</f>
        <v/>
      </c>
      <c r="B70" s="6" t="str">
        <f t="array" ref="B70">IF(I70="","",IFERROR(INDEX(CONFIGURACION!I:I,MATCH(I70,CONFIGURACION!J:J,0)),""))
</f>
        <v/>
      </c>
      <c r="C70" s="6"/>
      <c r="D70" s="25"/>
      <c r="E70" s="24"/>
      <c r="F70" s="21"/>
      <c r="G70" s="21"/>
      <c r="H70" s="21"/>
      <c r="I70" s="21"/>
      <c r="J70" s="21"/>
      <c r="K70" s="21"/>
      <c r="L70" s="21"/>
      <c r="M70" s="21"/>
      <c r="N70" s="21"/>
      <c r="O70" s="21"/>
      <c r="P70" s="21"/>
      <c r="Q70" s="21"/>
      <c r="R70" s="21"/>
      <c r="S70" s="21"/>
      <c r="T70" s="21"/>
      <c r="U70" s="21"/>
      <c r="V70" s="21"/>
      <c r="W70" s="21"/>
      <c r="X70" s="21"/>
      <c r="Y70" s="21"/>
      <c r="Z70" s="21"/>
      <c r="AA70" s="21"/>
    </row>
    <row r="71">
      <c r="A71" s="6" t="str">
        <f t="array" ref="A71">IF(I71="","",IFERROR(INDEX(CONFIGURACION!H:H,MATCH(I71,CONFIGURACION!J:J,0)),""))
</f>
        <v/>
      </c>
      <c r="B71" s="6" t="str">
        <f t="array" ref="B71">IF(I71="","",IFERROR(INDEX(CONFIGURACION!I:I,MATCH(I71,CONFIGURACION!J:J,0)),""))
</f>
        <v/>
      </c>
      <c r="C71" s="6"/>
      <c r="D71" s="25"/>
      <c r="E71" s="24"/>
      <c r="F71" s="21"/>
      <c r="G71" s="21"/>
      <c r="H71" s="21"/>
      <c r="I71" s="21"/>
      <c r="J71" s="21"/>
      <c r="K71" s="21"/>
      <c r="L71" s="21"/>
      <c r="M71" s="21"/>
      <c r="N71" s="21"/>
      <c r="O71" s="21"/>
      <c r="P71" s="21"/>
      <c r="Q71" s="21"/>
      <c r="R71" s="21"/>
      <c r="S71" s="21"/>
      <c r="T71" s="21"/>
      <c r="U71" s="21"/>
      <c r="V71" s="21"/>
      <c r="W71" s="21"/>
      <c r="X71" s="21"/>
      <c r="Y71" s="21"/>
      <c r="Z71" s="21"/>
      <c r="AA71" s="21"/>
    </row>
    <row r="72">
      <c r="A72" s="6" t="str">
        <f t="array" ref="A72">IF(I72="","",IFERROR(INDEX(CONFIGURACION!H:H,MATCH(I72,CONFIGURACION!J:J,0)),""))
</f>
        <v/>
      </c>
      <c r="B72" s="6" t="str">
        <f t="array" ref="B72">IF(I72="","",IFERROR(INDEX(CONFIGURACION!I:I,MATCH(I72,CONFIGURACION!J:J,0)),""))
</f>
        <v/>
      </c>
      <c r="C72" s="6"/>
      <c r="D72" s="25"/>
      <c r="E72" s="24"/>
      <c r="F72" s="21"/>
      <c r="G72" s="21"/>
      <c r="H72" s="21"/>
      <c r="I72" s="21"/>
      <c r="J72" s="21"/>
      <c r="K72" s="21"/>
      <c r="L72" s="21"/>
      <c r="M72" s="21"/>
      <c r="N72" s="21"/>
      <c r="O72" s="21"/>
      <c r="P72" s="21"/>
      <c r="Q72" s="21"/>
      <c r="R72" s="21"/>
      <c r="S72" s="21"/>
      <c r="T72" s="21"/>
      <c r="U72" s="21"/>
      <c r="V72" s="21"/>
      <c r="W72" s="21"/>
      <c r="X72" s="21"/>
      <c r="Y72" s="21"/>
      <c r="Z72" s="21"/>
      <c r="AA72" s="21"/>
    </row>
    <row r="73">
      <c r="A73" s="6" t="str">
        <f t="array" ref="A73">IF(I73="","",IFERROR(INDEX(CONFIGURACION!H:H,MATCH(I73,CONFIGURACION!J:J,0)),""))
</f>
        <v/>
      </c>
      <c r="B73" s="6" t="str">
        <f t="array" ref="B73">IF(I73="","",IFERROR(INDEX(CONFIGURACION!I:I,MATCH(I73,CONFIGURACION!J:J,0)),""))
</f>
        <v/>
      </c>
      <c r="C73" s="6"/>
      <c r="D73" s="25"/>
      <c r="E73" s="24"/>
      <c r="F73" s="21"/>
      <c r="G73" s="21"/>
      <c r="H73" s="21"/>
      <c r="I73" s="21"/>
      <c r="J73" s="21"/>
      <c r="K73" s="21"/>
      <c r="L73" s="21"/>
      <c r="M73" s="21"/>
      <c r="N73" s="21"/>
      <c r="O73" s="21"/>
      <c r="P73" s="21"/>
      <c r="Q73" s="21"/>
      <c r="R73" s="21"/>
      <c r="S73" s="21"/>
      <c r="T73" s="21"/>
      <c r="U73" s="21"/>
      <c r="V73" s="21"/>
      <c r="W73" s="21"/>
      <c r="X73" s="21"/>
      <c r="Y73" s="21"/>
      <c r="Z73" s="21"/>
      <c r="AA73" s="21"/>
    </row>
    <row r="74">
      <c r="A74" s="6" t="str">
        <f t="array" ref="A74">IF(I74="","",IFERROR(INDEX(CONFIGURACION!H:H,MATCH(I74,CONFIGURACION!J:J,0)),""))
</f>
        <v/>
      </c>
      <c r="B74" s="6" t="str">
        <f t="array" ref="B74">IF(I74="","",IFERROR(INDEX(CONFIGURACION!I:I,MATCH(I74,CONFIGURACION!J:J,0)),""))
</f>
        <v/>
      </c>
      <c r="C74" s="6"/>
      <c r="D74" s="25"/>
      <c r="E74" s="24"/>
      <c r="F74" s="21"/>
      <c r="G74" s="21"/>
      <c r="H74" s="21"/>
      <c r="I74" s="21"/>
      <c r="J74" s="21"/>
      <c r="K74" s="21"/>
      <c r="L74" s="21"/>
      <c r="M74" s="21"/>
      <c r="N74" s="21"/>
      <c r="O74" s="21"/>
      <c r="P74" s="21"/>
      <c r="Q74" s="21"/>
      <c r="R74" s="21"/>
      <c r="S74" s="21"/>
      <c r="T74" s="21"/>
      <c r="U74" s="21"/>
      <c r="V74" s="21"/>
      <c r="W74" s="21"/>
      <c r="X74" s="21"/>
      <c r="Y74" s="21"/>
      <c r="Z74" s="21"/>
      <c r="AA74" s="21"/>
    </row>
    <row r="75">
      <c r="A75" s="6" t="str">
        <f t="array" ref="A75">IF(I75="","",IFERROR(INDEX(CONFIGURACION!H:H,MATCH(I75,CONFIGURACION!J:J,0)),""))
</f>
        <v/>
      </c>
      <c r="B75" s="6" t="str">
        <f t="array" ref="B75">IF(I75="","",IFERROR(INDEX(CONFIGURACION!I:I,MATCH(I75,CONFIGURACION!J:J,0)),""))
</f>
        <v/>
      </c>
      <c r="C75" s="6"/>
      <c r="D75" s="25"/>
      <c r="E75" s="24"/>
      <c r="F75" s="21"/>
      <c r="G75" s="21"/>
      <c r="H75" s="21"/>
      <c r="I75" s="21"/>
      <c r="J75" s="21"/>
      <c r="K75" s="21"/>
      <c r="L75" s="21"/>
      <c r="M75" s="21"/>
      <c r="N75" s="21"/>
      <c r="O75" s="21"/>
      <c r="P75" s="21"/>
      <c r="Q75" s="21"/>
      <c r="R75" s="21"/>
      <c r="S75" s="21"/>
      <c r="T75" s="21"/>
      <c r="U75" s="21"/>
      <c r="V75" s="21"/>
      <c r="W75" s="21"/>
      <c r="X75" s="21"/>
      <c r="Y75" s="21"/>
      <c r="Z75" s="21"/>
      <c r="AA75" s="21"/>
    </row>
    <row r="76">
      <c r="A76" s="6" t="str">
        <f t="array" ref="A76">IF(I76="","",IFERROR(INDEX(CONFIGURACION!H:H,MATCH(I76,CONFIGURACION!J:J,0)),""))
</f>
        <v/>
      </c>
      <c r="B76" s="6" t="str">
        <f t="array" ref="B76">IF(I76="","",IFERROR(INDEX(CONFIGURACION!I:I,MATCH(I76,CONFIGURACION!J:J,0)),""))
</f>
        <v/>
      </c>
      <c r="C76" s="6"/>
      <c r="D76" s="25"/>
      <c r="E76" s="24"/>
      <c r="F76" s="21"/>
      <c r="G76" s="21"/>
      <c r="H76" s="21"/>
      <c r="I76" s="21"/>
      <c r="J76" s="21"/>
      <c r="K76" s="21"/>
      <c r="L76" s="21"/>
      <c r="M76" s="21"/>
      <c r="N76" s="21"/>
      <c r="O76" s="21"/>
      <c r="P76" s="21"/>
      <c r="Q76" s="21"/>
      <c r="R76" s="21"/>
      <c r="S76" s="21"/>
      <c r="T76" s="21"/>
      <c r="U76" s="21"/>
      <c r="V76" s="21"/>
      <c r="W76" s="21"/>
      <c r="X76" s="21"/>
      <c r="Y76" s="21"/>
      <c r="Z76" s="21"/>
      <c r="AA76" s="21"/>
    </row>
    <row r="77">
      <c r="A77" s="6" t="str">
        <f t="array" ref="A77">IF(I77="","",IFERROR(INDEX(CONFIGURACION!H:H,MATCH(I77,CONFIGURACION!J:J,0)),""))
</f>
        <v/>
      </c>
      <c r="B77" s="6" t="str">
        <f t="array" ref="B77">IF(I77="","",IFERROR(INDEX(CONFIGURACION!I:I,MATCH(I77,CONFIGURACION!J:J,0)),""))
</f>
        <v/>
      </c>
      <c r="C77" s="6"/>
      <c r="D77" s="25"/>
      <c r="E77" s="24"/>
      <c r="F77" s="21"/>
      <c r="G77" s="21"/>
      <c r="H77" s="21"/>
      <c r="I77" s="21"/>
      <c r="J77" s="21"/>
      <c r="K77" s="21"/>
      <c r="L77" s="21"/>
      <c r="M77" s="21"/>
      <c r="N77" s="21"/>
      <c r="O77" s="21"/>
      <c r="P77" s="21"/>
      <c r="Q77" s="21"/>
      <c r="R77" s="21"/>
      <c r="S77" s="21"/>
      <c r="T77" s="21"/>
      <c r="U77" s="21"/>
      <c r="V77" s="21"/>
      <c r="W77" s="21"/>
      <c r="X77" s="21"/>
      <c r="Y77" s="21"/>
      <c r="Z77" s="21"/>
      <c r="AA77" s="21"/>
    </row>
    <row r="78">
      <c r="A78" s="6" t="str">
        <f t="array" ref="A78">IF(I78="","",IFERROR(INDEX(CONFIGURACION!H:H,MATCH(I78,CONFIGURACION!J:J,0)),""))
</f>
        <v/>
      </c>
      <c r="B78" s="6" t="str">
        <f t="array" ref="B78">IF(I78="","",IFERROR(INDEX(CONFIGURACION!I:I,MATCH(I78,CONFIGURACION!J:J,0)),""))
</f>
        <v/>
      </c>
      <c r="C78" s="6"/>
      <c r="D78" s="25"/>
      <c r="E78" s="24"/>
      <c r="F78" s="21"/>
      <c r="G78" s="21"/>
      <c r="H78" s="21"/>
      <c r="I78" s="21"/>
      <c r="J78" s="21"/>
      <c r="K78" s="21"/>
      <c r="L78" s="21"/>
      <c r="M78" s="21"/>
      <c r="N78" s="21"/>
      <c r="O78" s="21"/>
      <c r="P78" s="21"/>
      <c r="Q78" s="21"/>
      <c r="R78" s="21"/>
      <c r="S78" s="21"/>
      <c r="T78" s="21"/>
      <c r="U78" s="21"/>
      <c r="V78" s="21"/>
      <c r="W78" s="21"/>
      <c r="X78" s="21"/>
      <c r="Y78" s="21"/>
      <c r="Z78" s="21"/>
      <c r="AA78" s="21"/>
    </row>
    <row r="79">
      <c r="A79" s="6" t="str">
        <f t="array" ref="A79">IF(I79="","",IFERROR(INDEX(CONFIGURACION!H:H,MATCH(I79,CONFIGURACION!J:J,0)),""))
</f>
        <v/>
      </c>
      <c r="B79" s="6" t="str">
        <f t="array" ref="B79">IF(I79="","",IFERROR(INDEX(CONFIGURACION!I:I,MATCH(I79,CONFIGURACION!J:J,0)),""))
</f>
        <v/>
      </c>
      <c r="C79" s="6"/>
      <c r="D79" s="25"/>
      <c r="E79" s="24"/>
      <c r="F79" s="21"/>
      <c r="G79" s="21"/>
      <c r="H79" s="21"/>
      <c r="I79" s="21"/>
      <c r="J79" s="21"/>
      <c r="K79" s="21"/>
      <c r="L79" s="21"/>
      <c r="M79" s="21"/>
      <c r="N79" s="21"/>
      <c r="O79" s="21"/>
      <c r="P79" s="21"/>
      <c r="Q79" s="21"/>
      <c r="R79" s="21"/>
      <c r="S79" s="21"/>
      <c r="T79" s="21"/>
      <c r="U79" s="21"/>
      <c r="V79" s="21"/>
      <c r="W79" s="21"/>
      <c r="X79" s="21"/>
      <c r="Y79" s="21"/>
      <c r="Z79" s="21"/>
      <c r="AA79" s="21"/>
    </row>
    <row r="80">
      <c r="A80" s="6" t="str">
        <f t="array" ref="A80">IF(I80="","",IFERROR(INDEX(CONFIGURACION!H:H,MATCH(I80,CONFIGURACION!J:J,0)),""))
</f>
        <v/>
      </c>
      <c r="B80" s="6" t="str">
        <f t="array" ref="B80">IF(I80="","",IFERROR(INDEX(CONFIGURACION!I:I,MATCH(I80,CONFIGURACION!J:J,0)),""))
</f>
        <v/>
      </c>
      <c r="C80" s="6"/>
      <c r="D80" s="25"/>
      <c r="E80" s="24"/>
      <c r="F80" s="21"/>
      <c r="G80" s="21"/>
      <c r="H80" s="21"/>
      <c r="I80" s="21"/>
      <c r="J80" s="21"/>
      <c r="K80" s="21"/>
      <c r="L80" s="21"/>
      <c r="M80" s="21"/>
      <c r="N80" s="21"/>
      <c r="O80" s="21"/>
      <c r="P80" s="21"/>
      <c r="Q80" s="21"/>
      <c r="R80" s="21"/>
      <c r="S80" s="21"/>
      <c r="T80" s="21"/>
      <c r="U80" s="21"/>
      <c r="V80" s="21"/>
      <c r="W80" s="21"/>
      <c r="X80" s="21"/>
      <c r="Y80" s="21"/>
      <c r="Z80" s="21"/>
      <c r="AA80" s="21"/>
    </row>
    <row r="81">
      <c r="A81" s="6" t="str">
        <f t="array" ref="A81">IF(I81="","",IFERROR(INDEX(CONFIGURACION!H:H,MATCH(I81,CONFIGURACION!J:J,0)),""))
</f>
        <v/>
      </c>
      <c r="B81" s="6" t="str">
        <f t="array" ref="B81">IF(I81="","",IFERROR(INDEX(CONFIGURACION!I:I,MATCH(I81,CONFIGURACION!J:J,0)),""))
</f>
        <v/>
      </c>
      <c r="C81" s="6"/>
      <c r="D81" s="25"/>
      <c r="E81" s="24"/>
      <c r="F81" s="21"/>
      <c r="G81" s="21"/>
      <c r="H81" s="21"/>
      <c r="I81" s="21"/>
      <c r="J81" s="21"/>
      <c r="K81" s="21"/>
      <c r="L81" s="21"/>
      <c r="M81" s="21"/>
      <c r="N81" s="21"/>
      <c r="O81" s="21"/>
      <c r="P81" s="21"/>
      <c r="Q81" s="21"/>
      <c r="R81" s="21"/>
      <c r="S81" s="21"/>
      <c r="T81" s="21"/>
      <c r="U81" s="21"/>
      <c r="V81" s="21"/>
      <c r="W81" s="21"/>
      <c r="X81" s="21"/>
      <c r="Y81" s="21"/>
      <c r="Z81" s="21"/>
      <c r="AA81" s="21"/>
    </row>
    <row r="82">
      <c r="A82" s="6" t="str">
        <f t="array" ref="A82">IF(I82="","",IFERROR(INDEX(CONFIGURACION!H:H,MATCH(I82,CONFIGURACION!J:J,0)),""))
</f>
        <v/>
      </c>
      <c r="B82" s="6" t="str">
        <f t="array" ref="B82">IF(I82="","",IFERROR(INDEX(CONFIGURACION!I:I,MATCH(I82,CONFIGURACION!J:J,0)),""))
</f>
        <v/>
      </c>
      <c r="C82" s="6"/>
      <c r="D82" s="25"/>
      <c r="E82" s="24"/>
      <c r="F82" s="21"/>
      <c r="G82" s="21"/>
      <c r="H82" s="21"/>
      <c r="I82" s="21"/>
      <c r="J82" s="21"/>
      <c r="K82" s="21"/>
      <c r="L82" s="21"/>
      <c r="M82" s="21"/>
      <c r="N82" s="21"/>
      <c r="O82" s="21"/>
      <c r="P82" s="21"/>
      <c r="Q82" s="21"/>
      <c r="R82" s="21"/>
      <c r="S82" s="21"/>
      <c r="T82" s="21"/>
      <c r="U82" s="21"/>
      <c r="V82" s="21"/>
      <c r="W82" s="21"/>
      <c r="X82" s="21"/>
      <c r="Y82" s="21"/>
      <c r="Z82" s="21"/>
      <c r="AA82" s="21"/>
    </row>
    <row r="83">
      <c r="A83" s="6" t="str">
        <f t="array" ref="A83">IF(I83="","",IFERROR(INDEX(CONFIGURACION!H:H,MATCH(I83,CONFIGURACION!J:J,0)),""))
</f>
        <v/>
      </c>
      <c r="B83" s="6" t="str">
        <f t="array" ref="B83">IF(I83="","",IFERROR(INDEX(CONFIGURACION!I:I,MATCH(I83,CONFIGURACION!J:J,0)),""))
</f>
        <v/>
      </c>
      <c r="C83" s="6"/>
      <c r="D83" s="25"/>
      <c r="E83" s="24"/>
      <c r="F83" s="21"/>
      <c r="G83" s="21"/>
      <c r="H83" s="21"/>
      <c r="I83" s="21"/>
      <c r="J83" s="21"/>
      <c r="K83" s="21"/>
      <c r="L83" s="21"/>
      <c r="M83" s="21"/>
      <c r="N83" s="21"/>
      <c r="O83" s="21"/>
      <c r="P83" s="21"/>
      <c r="Q83" s="21"/>
      <c r="R83" s="21"/>
      <c r="S83" s="21"/>
      <c r="T83" s="21"/>
      <c r="U83" s="21"/>
      <c r="V83" s="21"/>
      <c r="W83" s="21"/>
      <c r="X83" s="21"/>
      <c r="Y83" s="21"/>
      <c r="Z83" s="21"/>
      <c r="AA83" s="21"/>
    </row>
    <row r="84">
      <c r="A84" s="6" t="str">
        <f t="array" ref="A84">IF(I84="","",IFERROR(INDEX(CONFIGURACION!H:H,MATCH(I84,CONFIGURACION!J:J,0)),""))
</f>
        <v/>
      </c>
      <c r="B84" s="6" t="str">
        <f t="array" ref="B84">IF(I84="","",IFERROR(INDEX(CONFIGURACION!I:I,MATCH(I84,CONFIGURACION!J:J,0)),""))
</f>
        <v/>
      </c>
      <c r="C84" s="6"/>
      <c r="D84" s="25"/>
      <c r="E84" s="24"/>
      <c r="F84" s="21"/>
      <c r="G84" s="21"/>
      <c r="H84" s="21"/>
      <c r="I84" s="21"/>
      <c r="J84" s="21"/>
      <c r="K84" s="21"/>
      <c r="L84" s="21"/>
      <c r="M84" s="21"/>
      <c r="N84" s="21"/>
      <c r="O84" s="21"/>
      <c r="P84" s="21"/>
      <c r="Q84" s="21"/>
      <c r="R84" s="21"/>
      <c r="S84" s="21"/>
      <c r="T84" s="21"/>
      <c r="U84" s="21"/>
      <c r="V84" s="21"/>
      <c r="W84" s="21"/>
      <c r="X84" s="21"/>
      <c r="Y84" s="21"/>
      <c r="Z84" s="21"/>
      <c r="AA84" s="21"/>
    </row>
    <row r="85">
      <c r="A85" s="6" t="str">
        <f t="array" ref="A85">IF(I85="","",IFERROR(INDEX(CONFIGURACION!H:H,MATCH(I85,CONFIGURACION!J:J,0)),""))
</f>
        <v/>
      </c>
      <c r="B85" s="6" t="str">
        <f t="array" ref="B85">IF(I85="","",IFERROR(INDEX(CONFIGURACION!I:I,MATCH(I85,CONFIGURACION!J:J,0)),""))
</f>
        <v/>
      </c>
      <c r="C85" s="6"/>
      <c r="D85" s="25"/>
      <c r="E85" s="24"/>
      <c r="F85" s="21"/>
      <c r="G85" s="21"/>
      <c r="H85" s="21"/>
      <c r="I85" s="21"/>
      <c r="J85" s="21"/>
      <c r="K85" s="21"/>
      <c r="L85" s="21"/>
      <c r="M85" s="21"/>
      <c r="N85" s="21"/>
      <c r="O85" s="21"/>
      <c r="P85" s="21"/>
      <c r="Q85" s="21"/>
      <c r="R85" s="21"/>
      <c r="S85" s="21"/>
      <c r="T85" s="21"/>
      <c r="U85" s="21"/>
      <c r="V85" s="21"/>
      <c r="W85" s="21"/>
      <c r="X85" s="21"/>
      <c r="Y85" s="21"/>
      <c r="Z85" s="21"/>
      <c r="AA85" s="21"/>
    </row>
    <row r="86">
      <c r="A86" s="6" t="str">
        <f t="array" ref="A86">IF(I86="","",IFERROR(INDEX(CONFIGURACION!H:H,MATCH(I86,CONFIGURACION!J:J,0)),""))
</f>
        <v/>
      </c>
      <c r="B86" s="6" t="str">
        <f t="array" ref="B86">IF(I86="","",IFERROR(INDEX(CONFIGURACION!I:I,MATCH(I86,CONFIGURACION!J:J,0)),""))
</f>
        <v/>
      </c>
      <c r="C86" s="6"/>
      <c r="D86" s="25"/>
      <c r="E86" s="24"/>
      <c r="F86" s="21"/>
      <c r="G86" s="21"/>
      <c r="H86" s="21"/>
      <c r="I86" s="21"/>
      <c r="J86" s="21"/>
      <c r="K86" s="21"/>
      <c r="L86" s="21"/>
      <c r="M86" s="21"/>
      <c r="N86" s="21"/>
      <c r="O86" s="21"/>
      <c r="P86" s="21"/>
      <c r="Q86" s="21"/>
      <c r="R86" s="21"/>
      <c r="S86" s="21"/>
      <c r="T86" s="21"/>
      <c r="U86" s="21"/>
      <c r="V86" s="21"/>
      <c r="W86" s="21"/>
      <c r="X86" s="21"/>
      <c r="Y86" s="21"/>
      <c r="Z86" s="21"/>
      <c r="AA86" s="21"/>
    </row>
    <row r="87">
      <c r="A87" s="6" t="str">
        <f t="array" ref="A87">IF(I87="","",IFERROR(INDEX(CONFIGURACION!H:H,MATCH(I87,CONFIGURACION!J:J,0)),""))
</f>
        <v/>
      </c>
      <c r="B87" s="6" t="str">
        <f t="array" ref="B87">IF(I87="","",IFERROR(INDEX(CONFIGURACION!I:I,MATCH(I87,CONFIGURACION!J:J,0)),""))
</f>
        <v/>
      </c>
      <c r="C87" s="6"/>
      <c r="D87" s="25"/>
      <c r="E87" s="24"/>
      <c r="F87" s="21"/>
      <c r="G87" s="21"/>
      <c r="H87" s="21"/>
      <c r="I87" s="21"/>
      <c r="J87" s="21"/>
      <c r="K87" s="21"/>
      <c r="L87" s="21"/>
      <c r="M87" s="21"/>
      <c r="N87" s="21"/>
      <c r="O87" s="21"/>
      <c r="P87" s="21"/>
      <c r="Q87" s="21"/>
      <c r="R87" s="21"/>
      <c r="S87" s="21"/>
      <c r="T87" s="21"/>
      <c r="U87" s="21"/>
      <c r="V87" s="21"/>
      <c r="W87" s="21"/>
      <c r="X87" s="21"/>
      <c r="Y87" s="21"/>
      <c r="Z87" s="21"/>
      <c r="AA87" s="21"/>
    </row>
    <row r="88">
      <c r="A88" s="6" t="str">
        <f t="array" ref="A88">IF(I88="","",IFERROR(INDEX(CONFIGURACION!H:H,MATCH(I88,CONFIGURACION!J:J,0)),""))
</f>
        <v/>
      </c>
      <c r="B88" s="6" t="str">
        <f t="array" ref="B88">IF(I88="","",IFERROR(INDEX(CONFIGURACION!I:I,MATCH(I88,CONFIGURACION!J:J,0)),""))
</f>
        <v/>
      </c>
      <c r="C88" s="6"/>
      <c r="D88" s="25"/>
      <c r="E88" s="24"/>
      <c r="F88" s="21"/>
      <c r="G88" s="21"/>
      <c r="H88" s="21"/>
      <c r="I88" s="21"/>
      <c r="J88" s="21"/>
      <c r="K88" s="21"/>
      <c r="L88" s="21"/>
      <c r="M88" s="21"/>
      <c r="N88" s="21"/>
      <c r="O88" s="21"/>
      <c r="P88" s="21"/>
      <c r="Q88" s="21"/>
      <c r="R88" s="21"/>
      <c r="S88" s="21"/>
      <c r="T88" s="21"/>
      <c r="U88" s="21"/>
      <c r="V88" s="21"/>
      <c r="W88" s="21"/>
      <c r="X88" s="21"/>
      <c r="Y88" s="21"/>
      <c r="Z88" s="21"/>
      <c r="AA88" s="21"/>
    </row>
    <row r="89">
      <c r="A89" s="6" t="str">
        <f t="array" ref="A89">IF(I89="","",IFERROR(INDEX(CONFIGURACION!H:H,MATCH(I89,CONFIGURACION!J:J,0)),""))
</f>
        <v/>
      </c>
      <c r="B89" s="6" t="str">
        <f t="array" ref="B89">IF(I89="","",IFERROR(INDEX(CONFIGURACION!I:I,MATCH(I89,CONFIGURACION!J:J,0)),""))
</f>
        <v/>
      </c>
      <c r="C89" s="6"/>
      <c r="D89" s="25"/>
      <c r="E89" s="24"/>
      <c r="F89" s="21"/>
      <c r="G89" s="21"/>
      <c r="H89" s="21"/>
      <c r="I89" s="21"/>
      <c r="J89" s="21"/>
      <c r="K89" s="21"/>
      <c r="L89" s="21"/>
      <c r="M89" s="21"/>
      <c r="N89" s="21"/>
      <c r="O89" s="21"/>
      <c r="P89" s="21"/>
      <c r="Q89" s="21"/>
      <c r="R89" s="21"/>
      <c r="S89" s="21"/>
      <c r="T89" s="21"/>
      <c r="U89" s="21"/>
      <c r="V89" s="21"/>
      <c r="W89" s="21"/>
      <c r="X89" s="21"/>
      <c r="Y89" s="21"/>
      <c r="Z89" s="21"/>
      <c r="AA89" s="21"/>
    </row>
    <row r="90">
      <c r="A90" s="6" t="str">
        <f t="array" ref="A90">IF(I90="","",IFERROR(INDEX(CONFIGURACION!H:H,MATCH(I90,CONFIGURACION!J:J,0)),""))
</f>
        <v/>
      </c>
      <c r="B90" s="6" t="str">
        <f t="array" ref="B90">IF(I90="","",IFERROR(INDEX(CONFIGURACION!I:I,MATCH(I90,CONFIGURACION!J:J,0)),""))
</f>
        <v/>
      </c>
      <c r="C90" s="6"/>
      <c r="D90" s="25"/>
      <c r="E90" s="24"/>
      <c r="F90" s="21"/>
      <c r="G90" s="21"/>
      <c r="H90" s="21"/>
      <c r="I90" s="21"/>
      <c r="J90" s="21"/>
      <c r="K90" s="21"/>
      <c r="L90" s="21"/>
      <c r="M90" s="21"/>
      <c r="N90" s="21"/>
      <c r="O90" s="21"/>
      <c r="P90" s="21"/>
      <c r="Q90" s="21"/>
      <c r="R90" s="21"/>
      <c r="S90" s="21"/>
      <c r="T90" s="21"/>
      <c r="U90" s="21"/>
      <c r="V90" s="21"/>
      <c r="W90" s="21"/>
      <c r="X90" s="21"/>
      <c r="Y90" s="21"/>
      <c r="Z90" s="21"/>
      <c r="AA90" s="21"/>
    </row>
    <row r="91">
      <c r="A91" s="6" t="str">
        <f t="array" ref="A91">IF(I91="","",IFERROR(INDEX(CONFIGURACION!H:H,MATCH(I91,CONFIGURACION!J:J,0)),""))
</f>
        <v/>
      </c>
      <c r="B91" s="6" t="str">
        <f t="array" ref="B91">IF(I91="","",IFERROR(INDEX(CONFIGURACION!I:I,MATCH(I91,CONFIGURACION!J:J,0)),""))
</f>
        <v/>
      </c>
      <c r="C91" s="6"/>
      <c r="D91" s="25"/>
      <c r="E91" s="24"/>
      <c r="F91" s="21"/>
      <c r="G91" s="21"/>
      <c r="H91" s="21"/>
      <c r="I91" s="21"/>
      <c r="J91" s="21"/>
      <c r="K91" s="21"/>
      <c r="L91" s="21"/>
      <c r="M91" s="21"/>
      <c r="N91" s="21"/>
      <c r="O91" s="21"/>
      <c r="P91" s="21"/>
      <c r="Q91" s="21"/>
      <c r="R91" s="21"/>
      <c r="S91" s="21"/>
      <c r="T91" s="21"/>
      <c r="U91" s="21"/>
      <c r="V91" s="21"/>
      <c r="W91" s="21"/>
      <c r="X91" s="21"/>
      <c r="Y91" s="21"/>
      <c r="Z91" s="21"/>
      <c r="AA91" s="21"/>
    </row>
    <row r="92">
      <c r="A92" s="6" t="str">
        <f t="array" ref="A92">IF(I92="","",IFERROR(INDEX(CONFIGURACION!H:H,MATCH(I92,CONFIGURACION!J:J,0)),""))
</f>
        <v/>
      </c>
      <c r="B92" s="6" t="str">
        <f t="array" ref="B92">IF(I92="","",IFERROR(INDEX(CONFIGURACION!I:I,MATCH(I92,CONFIGURACION!J:J,0)),""))
</f>
        <v/>
      </c>
      <c r="C92" s="6"/>
      <c r="D92" s="25"/>
      <c r="E92" s="24"/>
      <c r="F92" s="21"/>
      <c r="G92" s="21"/>
      <c r="H92" s="21"/>
      <c r="I92" s="21"/>
      <c r="J92" s="21"/>
      <c r="K92" s="21"/>
      <c r="L92" s="21"/>
      <c r="M92" s="21"/>
      <c r="N92" s="21"/>
      <c r="O92" s="21"/>
      <c r="P92" s="21"/>
      <c r="Q92" s="21"/>
      <c r="R92" s="21"/>
      <c r="S92" s="21"/>
      <c r="T92" s="21"/>
      <c r="U92" s="21"/>
      <c r="V92" s="21"/>
      <c r="W92" s="21"/>
      <c r="X92" s="21"/>
      <c r="Y92" s="21"/>
      <c r="Z92" s="21"/>
      <c r="AA92" s="21"/>
    </row>
    <row r="93">
      <c r="A93" s="6" t="str">
        <f t="array" ref="A93">IF(I93="","",IFERROR(INDEX(CONFIGURACION!H:H,MATCH(I93,CONFIGURACION!J:J,0)),""))
</f>
        <v/>
      </c>
      <c r="B93" s="6" t="str">
        <f t="array" ref="B93">IF(I93="","",IFERROR(INDEX(CONFIGURACION!I:I,MATCH(I93,CONFIGURACION!J:J,0)),""))
</f>
        <v/>
      </c>
      <c r="C93" s="6"/>
      <c r="D93" s="25"/>
      <c r="E93" s="24"/>
      <c r="F93" s="21"/>
      <c r="G93" s="21"/>
      <c r="H93" s="21"/>
      <c r="I93" s="21"/>
      <c r="J93" s="21"/>
      <c r="K93" s="21"/>
      <c r="L93" s="21"/>
      <c r="M93" s="21"/>
      <c r="N93" s="21"/>
      <c r="O93" s="21"/>
      <c r="P93" s="21"/>
      <c r="Q93" s="21"/>
      <c r="R93" s="21"/>
      <c r="S93" s="21"/>
      <c r="T93" s="21"/>
      <c r="U93" s="21"/>
      <c r="V93" s="21"/>
      <c r="W93" s="21"/>
      <c r="X93" s="21"/>
      <c r="Y93" s="21"/>
      <c r="Z93" s="21"/>
      <c r="AA93" s="21"/>
    </row>
    <row r="94">
      <c r="A94" s="6" t="str">
        <f t="array" ref="A94">IF(I94="","",IFERROR(INDEX(CONFIGURACION!H:H,MATCH(I94,CONFIGURACION!J:J,0)),""))
</f>
        <v/>
      </c>
      <c r="B94" s="6" t="str">
        <f t="array" ref="B94">IF(I94="","",IFERROR(INDEX(CONFIGURACION!I:I,MATCH(I94,CONFIGURACION!J:J,0)),""))
</f>
        <v/>
      </c>
      <c r="C94" s="6"/>
      <c r="D94" s="25"/>
      <c r="E94" s="24"/>
      <c r="F94" s="21"/>
      <c r="G94" s="21"/>
      <c r="H94" s="21"/>
      <c r="I94" s="21"/>
      <c r="J94" s="21"/>
      <c r="K94" s="21"/>
      <c r="L94" s="21"/>
      <c r="M94" s="21"/>
      <c r="N94" s="21"/>
      <c r="O94" s="21"/>
      <c r="P94" s="21"/>
      <c r="Q94" s="21"/>
      <c r="R94" s="21"/>
      <c r="S94" s="21"/>
      <c r="T94" s="21"/>
      <c r="U94" s="21"/>
      <c r="V94" s="21"/>
      <c r="W94" s="21"/>
      <c r="X94" s="21"/>
      <c r="Y94" s="21"/>
      <c r="Z94" s="21"/>
      <c r="AA94" s="21"/>
    </row>
    <row r="95">
      <c r="A95" s="6" t="str">
        <f t="array" ref="A95">IF(I95="","",IFERROR(INDEX(CONFIGURACION!H:H,MATCH(I95,CONFIGURACION!J:J,0)),""))
</f>
        <v/>
      </c>
      <c r="B95" s="6" t="str">
        <f t="array" ref="B95">IF(I95="","",IFERROR(INDEX(CONFIGURACION!I:I,MATCH(I95,CONFIGURACION!J:J,0)),""))
</f>
        <v/>
      </c>
      <c r="C95" s="6"/>
      <c r="D95" s="25"/>
      <c r="E95" s="24"/>
      <c r="F95" s="21"/>
      <c r="G95" s="21"/>
      <c r="H95" s="21"/>
      <c r="I95" s="21"/>
      <c r="J95" s="21"/>
      <c r="K95" s="21"/>
      <c r="L95" s="21"/>
      <c r="M95" s="21"/>
      <c r="N95" s="21"/>
      <c r="O95" s="21"/>
      <c r="P95" s="21"/>
      <c r="Q95" s="21"/>
      <c r="R95" s="21"/>
      <c r="S95" s="21"/>
      <c r="T95" s="21"/>
      <c r="U95" s="21"/>
      <c r="V95" s="21"/>
      <c r="W95" s="21"/>
      <c r="X95" s="21"/>
      <c r="Y95" s="21"/>
      <c r="Z95" s="21"/>
      <c r="AA95" s="21"/>
    </row>
    <row r="96">
      <c r="A96" s="6" t="str">
        <f t="array" ref="A96">IF(I96="","",IFERROR(INDEX(CONFIGURACION!H:H,MATCH(I96,CONFIGURACION!J:J,0)),""))
</f>
        <v/>
      </c>
      <c r="B96" s="6" t="str">
        <f t="array" ref="B96">IF(I96="","",IFERROR(INDEX(CONFIGURACION!I:I,MATCH(I96,CONFIGURACION!J:J,0)),""))
</f>
        <v/>
      </c>
      <c r="C96" s="6"/>
      <c r="D96" s="25"/>
      <c r="E96" s="24"/>
      <c r="F96" s="21"/>
      <c r="G96" s="21"/>
      <c r="H96" s="21"/>
      <c r="I96" s="21"/>
      <c r="J96" s="21"/>
      <c r="K96" s="21"/>
      <c r="L96" s="21"/>
      <c r="M96" s="21"/>
      <c r="N96" s="21"/>
      <c r="O96" s="21"/>
      <c r="P96" s="21"/>
      <c r="Q96" s="21"/>
      <c r="R96" s="21"/>
      <c r="S96" s="21"/>
      <c r="T96" s="21"/>
      <c r="U96" s="21"/>
      <c r="V96" s="21"/>
      <c r="W96" s="21"/>
      <c r="X96" s="21"/>
      <c r="Y96" s="21"/>
      <c r="Z96" s="21"/>
      <c r="AA96" s="21"/>
    </row>
    <row r="97">
      <c r="A97" s="6" t="str">
        <f t="array" ref="A97">IF(I97="","",IFERROR(INDEX(CONFIGURACION!H:H,MATCH(I97,CONFIGURACION!J:J,0)),""))
</f>
        <v/>
      </c>
      <c r="B97" s="6" t="str">
        <f t="array" ref="B97">IF(I97="","",IFERROR(INDEX(CONFIGURACION!I:I,MATCH(I97,CONFIGURACION!J:J,0)),""))
</f>
        <v/>
      </c>
      <c r="C97" s="6"/>
      <c r="D97" s="25"/>
      <c r="E97" s="24"/>
      <c r="F97" s="21"/>
      <c r="G97" s="21"/>
      <c r="H97" s="21"/>
      <c r="I97" s="21"/>
      <c r="J97" s="21"/>
      <c r="K97" s="21"/>
      <c r="L97" s="21"/>
      <c r="M97" s="21"/>
      <c r="N97" s="21"/>
      <c r="O97" s="21"/>
      <c r="P97" s="21"/>
      <c r="Q97" s="21"/>
      <c r="R97" s="21"/>
      <c r="S97" s="21"/>
      <c r="T97" s="21"/>
      <c r="U97" s="21"/>
      <c r="V97" s="21"/>
      <c r="W97" s="21"/>
      <c r="X97" s="21"/>
      <c r="Y97" s="21"/>
      <c r="Z97" s="21"/>
      <c r="AA97" s="21"/>
    </row>
    <row r="98">
      <c r="A98" s="6" t="str">
        <f t="array" ref="A98">IF(I98="","",IFERROR(INDEX(CONFIGURACION!H:H,MATCH(I98,CONFIGURACION!J:J,0)),""))
</f>
        <v/>
      </c>
      <c r="B98" s="6" t="str">
        <f t="array" ref="B98">IF(I98="","",IFERROR(INDEX(CONFIGURACION!I:I,MATCH(I98,CONFIGURACION!J:J,0)),""))
</f>
        <v/>
      </c>
      <c r="C98" s="6"/>
      <c r="D98" s="25"/>
      <c r="E98" s="24"/>
      <c r="F98" s="21"/>
      <c r="G98" s="21"/>
      <c r="H98" s="21"/>
      <c r="I98" s="21"/>
      <c r="J98" s="21"/>
      <c r="K98" s="21"/>
      <c r="L98" s="21"/>
      <c r="M98" s="21"/>
      <c r="N98" s="21"/>
      <c r="O98" s="21"/>
      <c r="P98" s="21"/>
      <c r="Q98" s="21"/>
      <c r="R98" s="21"/>
      <c r="S98" s="21"/>
      <c r="T98" s="21"/>
      <c r="U98" s="21"/>
      <c r="V98" s="21"/>
      <c r="W98" s="21"/>
      <c r="X98" s="21"/>
      <c r="Y98" s="21"/>
      <c r="Z98" s="21"/>
      <c r="AA98" s="21"/>
    </row>
    <row r="99">
      <c r="A99" s="6" t="str">
        <f t="array" ref="A99">IF(I99="","",IFERROR(INDEX(CONFIGURACION!H:H,MATCH(I99,CONFIGURACION!J:J,0)),""))
</f>
        <v/>
      </c>
      <c r="B99" s="6" t="str">
        <f t="array" ref="B99">IF(I99="","",IFERROR(INDEX(CONFIGURACION!I:I,MATCH(I99,CONFIGURACION!J:J,0)),""))
</f>
        <v/>
      </c>
      <c r="C99" s="6"/>
      <c r="D99" s="25"/>
      <c r="E99" s="24"/>
      <c r="F99" s="21"/>
      <c r="G99" s="21"/>
      <c r="H99" s="21"/>
      <c r="I99" s="21"/>
      <c r="J99" s="21"/>
      <c r="K99" s="21"/>
      <c r="L99" s="21"/>
      <c r="M99" s="21"/>
      <c r="N99" s="21"/>
      <c r="O99" s="21"/>
      <c r="P99" s="21"/>
      <c r="Q99" s="21"/>
      <c r="R99" s="21"/>
      <c r="S99" s="21"/>
      <c r="T99" s="21"/>
      <c r="U99" s="21"/>
      <c r="V99" s="21"/>
      <c r="W99" s="21"/>
      <c r="X99" s="21"/>
      <c r="Y99" s="21"/>
      <c r="Z99" s="21"/>
      <c r="AA99" s="21"/>
    </row>
    <row r="100">
      <c r="A100" s="6" t="str">
        <f t="array" ref="A100">IF(I100="","",IFERROR(INDEX(CONFIGURACION!H:H,MATCH(I100,CONFIGURACION!J:J,0)),""))
</f>
        <v/>
      </c>
      <c r="B100" s="6" t="str">
        <f t="array" ref="B100">IF(I100="","",IFERROR(INDEX(CONFIGURACION!I:I,MATCH(I100,CONFIGURACION!J:J,0)),""))
</f>
        <v/>
      </c>
      <c r="C100" s="6"/>
      <c r="D100" s="25"/>
      <c r="E100" s="24"/>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6" t="str">
        <f t="array" ref="A101">IF(I101="","",IFERROR(INDEX(CONFIGURACION!H:H,MATCH(I101,CONFIGURACION!J:J,0)),""))
</f>
        <v/>
      </c>
      <c r="B101" s="6" t="str">
        <f t="array" ref="B101">IF(I101="","",IFERROR(INDEX(CONFIGURACION!I:I,MATCH(I101,CONFIGURACION!J:J,0)),""))
</f>
        <v/>
      </c>
      <c r="C101" s="6"/>
      <c r="D101" s="25"/>
      <c r="E101" s="24"/>
      <c r="F101" s="21"/>
      <c r="G101" s="21"/>
      <c r="H101" s="21"/>
      <c r="I101" s="21"/>
      <c r="J101" s="21"/>
      <c r="K101" s="21"/>
      <c r="L101" s="21"/>
      <c r="M101" s="21"/>
      <c r="N101" s="21"/>
      <c r="O101" s="21"/>
      <c r="P101" s="21"/>
      <c r="Q101" s="21"/>
      <c r="R101" s="21"/>
      <c r="S101" s="21"/>
      <c r="T101" s="21"/>
      <c r="U101" s="21"/>
      <c r="V101" s="21"/>
      <c r="W101" s="21"/>
      <c r="X101" s="21"/>
      <c r="Y101" s="21"/>
      <c r="Z101" s="21"/>
      <c r="AA101" s="21"/>
    </row>
    <row r="102">
      <c r="A102" s="6" t="str">
        <f t="array" ref="A102">IF(I102="","",IFERROR(INDEX(CONFIGURACION!H:H,MATCH(I102,CONFIGURACION!J:J,0)),""))
</f>
        <v/>
      </c>
      <c r="B102" s="6" t="str">
        <f t="array" ref="B102">IF(I102="","",IFERROR(INDEX(CONFIGURACION!I:I,MATCH(I102,CONFIGURACION!J:J,0)),""))
</f>
        <v/>
      </c>
      <c r="C102" s="6"/>
      <c r="D102" s="25"/>
      <c r="E102" s="24"/>
      <c r="F102" s="21"/>
      <c r="G102" s="21"/>
      <c r="H102" s="21"/>
      <c r="I102" s="21"/>
      <c r="J102" s="21"/>
      <c r="K102" s="21"/>
      <c r="L102" s="21"/>
      <c r="M102" s="21"/>
      <c r="N102" s="21"/>
      <c r="O102" s="21"/>
      <c r="P102" s="21"/>
      <c r="Q102" s="21"/>
      <c r="R102" s="21"/>
      <c r="S102" s="21"/>
      <c r="T102" s="21"/>
      <c r="U102" s="21"/>
      <c r="V102" s="21"/>
      <c r="W102" s="21"/>
      <c r="X102" s="21"/>
      <c r="Y102" s="21"/>
      <c r="Z102" s="21"/>
      <c r="AA102" s="21"/>
    </row>
    <row r="103">
      <c r="A103" s="6" t="str">
        <f t="array" ref="A103">IF(I103="","",IFERROR(INDEX(CONFIGURACION!H:H,MATCH(I103,CONFIGURACION!J:J,0)),""))
</f>
        <v/>
      </c>
      <c r="B103" s="6" t="str">
        <f t="array" ref="B103">IF(I103="","",IFERROR(INDEX(CONFIGURACION!I:I,MATCH(I103,CONFIGURACION!J:J,0)),""))
</f>
        <v/>
      </c>
      <c r="C103" s="6"/>
      <c r="D103" s="25"/>
      <c r="E103" s="24"/>
      <c r="F103" s="21"/>
      <c r="G103" s="21"/>
      <c r="H103" s="21"/>
      <c r="I103" s="21"/>
      <c r="J103" s="21"/>
      <c r="K103" s="21"/>
      <c r="L103" s="21"/>
      <c r="M103" s="21"/>
      <c r="N103" s="21"/>
      <c r="O103" s="21"/>
      <c r="P103" s="21"/>
      <c r="Q103" s="21"/>
      <c r="R103" s="21"/>
      <c r="S103" s="21"/>
      <c r="T103" s="21"/>
      <c r="U103" s="21"/>
      <c r="V103" s="21"/>
      <c r="W103" s="21"/>
      <c r="X103" s="21"/>
      <c r="Y103" s="21"/>
      <c r="Z103" s="21"/>
      <c r="AA103" s="21"/>
    </row>
    <row r="104">
      <c r="A104" s="6" t="str">
        <f t="array" ref="A104">IF(I104="","",IFERROR(INDEX(CONFIGURACION!H:H,MATCH(I104,CONFIGURACION!J:J,0)),""))
</f>
        <v/>
      </c>
      <c r="B104" s="6" t="str">
        <f t="array" ref="B104">IF(I104="","",IFERROR(INDEX(CONFIGURACION!I:I,MATCH(I104,CONFIGURACION!J:J,0)),""))
</f>
        <v/>
      </c>
      <c r="C104" s="6"/>
      <c r="D104" s="25"/>
      <c r="E104" s="24"/>
      <c r="F104" s="21"/>
      <c r="G104" s="21"/>
      <c r="H104" s="21"/>
      <c r="I104" s="21"/>
      <c r="J104" s="21"/>
      <c r="K104" s="21"/>
      <c r="L104" s="21"/>
      <c r="M104" s="21"/>
      <c r="N104" s="21"/>
      <c r="O104" s="21"/>
      <c r="P104" s="21"/>
      <c r="Q104" s="21"/>
      <c r="R104" s="21"/>
      <c r="S104" s="21"/>
      <c r="T104" s="21"/>
      <c r="U104" s="21"/>
      <c r="V104" s="21"/>
      <c r="W104" s="21"/>
      <c r="X104" s="21"/>
      <c r="Y104" s="21"/>
      <c r="Z104" s="21"/>
      <c r="AA104" s="21"/>
    </row>
    <row r="105">
      <c r="A105" s="6" t="str">
        <f t="array" ref="A105">IF(I105="","",IFERROR(INDEX(CONFIGURACION!H:H,MATCH(I105,CONFIGURACION!J:J,0)),""))
</f>
        <v/>
      </c>
      <c r="B105" s="6" t="str">
        <f t="array" ref="B105">IF(I105="","",IFERROR(INDEX(CONFIGURACION!I:I,MATCH(I105,CONFIGURACION!J:J,0)),""))
</f>
        <v/>
      </c>
      <c r="C105" s="6"/>
      <c r="D105" s="25"/>
      <c r="E105" s="24"/>
      <c r="F105" s="21"/>
      <c r="G105" s="21"/>
      <c r="H105" s="21"/>
      <c r="I105" s="21"/>
      <c r="J105" s="21"/>
      <c r="K105" s="21"/>
      <c r="L105" s="21"/>
      <c r="M105" s="21"/>
      <c r="N105" s="21"/>
      <c r="O105" s="21"/>
      <c r="P105" s="21"/>
      <c r="Q105" s="21"/>
      <c r="R105" s="21"/>
      <c r="S105" s="21"/>
      <c r="T105" s="21"/>
      <c r="U105" s="21"/>
      <c r="V105" s="21"/>
      <c r="W105" s="21"/>
      <c r="X105" s="21"/>
      <c r="Y105" s="21"/>
      <c r="Z105" s="21"/>
      <c r="AA105" s="21"/>
    </row>
    <row r="106">
      <c r="A106" s="6" t="str">
        <f t="array" ref="A106">IF(I106="","",IFERROR(INDEX(CONFIGURACION!H:H,MATCH(I106,CONFIGURACION!J:J,0)),""))
</f>
        <v/>
      </c>
      <c r="B106" s="6" t="str">
        <f t="array" ref="B106">IF(I106="","",IFERROR(INDEX(CONFIGURACION!I:I,MATCH(I106,CONFIGURACION!J:J,0)),""))
</f>
        <v/>
      </c>
      <c r="C106" s="6"/>
      <c r="D106" s="25"/>
      <c r="E106" s="24"/>
      <c r="F106" s="21"/>
      <c r="G106" s="21"/>
      <c r="H106" s="21"/>
      <c r="I106" s="21"/>
      <c r="J106" s="21"/>
      <c r="K106" s="21"/>
      <c r="L106" s="21"/>
      <c r="M106" s="21"/>
      <c r="N106" s="21"/>
      <c r="O106" s="21"/>
      <c r="P106" s="21"/>
      <c r="Q106" s="21"/>
      <c r="R106" s="21"/>
      <c r="S106" s="21"/>
      <c r="T106" s="21"/>
      <c r="U106" s="21"/>
      <c r="V106" s="21"/>
      <c r="W106" s="21"/>
      <c r="X106" s="21"/>
      <c r="Y106" s="21"/>
      <c r="Z106" s="21"/>
      <c r="AA106" s="21"/>
    </row>
    <row r="107">
      <c r="A107" s="6" t="str">
        <f t="array" ref="A107">IF(I107="","",IFERROR(INDEX(CONFIGURACION!H:H,MATCH(I107,CONFIGURACION!J:J,0)),""))
</f>
        <v/>
      </c>
      <c r="B107" s="6" t="str">
        <f t="array" ref="B107">IF(I107="","",IFERROR(INDEX(CONFIGURACION!I:I,MATCH(I107,CONFIGURACION!J:J,0)),""))
</f>
        <v/>
      </c>
      <c r="C107" s="6"/>
      <c r="D107" s="25"/>
      <c r="E107" s="24"/>
      <c r="F107" s="21"/>
      <c r="G107" s="21"/>
      <c r="H107" s="21"/>
      <c r="I107" s="21"/>
      <c r="J107" s="21"/>
      <c r="K107" s="21"/>
      <c r="L107" s="21"/>
      <c r="M107" s="21"/>
      <c r="N107" s="21"/>
      <c r="O107" s="21"/>
      <c r="P107" s="21"/>
      <c r="Q107" s="21"/>
      <c r="R107" s="21"/>
      <c r="S107" s="21"/>
      <c r="T107" s="21"/>
      <c r="U107" s="21"/>
      <c r="V107" s="21"/>
      <c r="W107" s="21"/>
      <c r="X107" s="21"/>
      <c r="Y107" s="21"/>
      <c r="Z107" s="21"/>
      <c r="AA107" s="21"/>
    </row>
    <row r="108">
      <c r="A108" s="6" t="str">
        <f t="array" ref="A108">IF(I108="","",IFERROR(INDEX(CONFIGURACION!H:H,MATCH(I108,CONFIGURACION!J:J,0)),""))
</f>
        <v/>
      </c>
      <c r="B108" s="6" t="str">
        <f t="array" ref="B108">IF(I108="","",IFERROR(INDEX(CONFIGURACION!I:I,MATCH(I108,CONFIGURACION!J:J,0)),""))
</f>
        <v/>
      </c>
      <c r="C108" s="6"/>
      <c r="D108" s="25"/>
      <c r="E108" s="24"/>
      <c r="F108" s="21"/>
      <c r="G108" s="21"/>
      <c r="H108" s="21"/>
      <c r="I108" s="21"/>
      <c r="J108" s="21"/>
      <c r="K108" s="21"/>
      <c r="L108" s="21"/>
      <c r="M108" s="21"/>
      <c r="N108" s="21"/>
      <c r="O108" s="21"/>
      <c r="P108" s="21"/>
      <c r="Q108" s="21"/>
      <c r="R108" s="21"/>
      <c r="S108" s="21"/>
      <c r="T108" s="21"/>
      <c r="U108" s="21"/>
      <c r="V108" s="21"/>
      <c r="W108" s="21"/>
      <c r="X108" s="21"/>
      <c r="Y108" s="21"/>
      <c r="Z108" s="21"/>
      <c r="AA108" s="21"/>
    </row>
    <row r="109">
      <c r="A109" s="6" t="str">
        <f t="array" ref="A109">IF(I109="","",IFERROR(INDEX(CONFIGURACION!H:H,MATCH(I109,CONFIGURACION!J:J,0)),""))
</f>
        <v/>
      </c>
      <c r="B109" s="6" t="str">
        <f t="array" ref="B109">IF(I109="","",IFERROR(INDEX(CONFIGURACION!I:I,MATCH(I109,CONFIGURACION!J:J,0)),""))
</f>
        <v/>
      </c>
      <c r="C109" s="6"/>
      <c r="D109" s="25"/>
      <c r="E109" s="24"/>
      <c r="F109" s="21"/>
      <c r="G109" s="21"/>
      <c r="H109" s="21"/>
      <c r="I109" s="21"/>
      <c r="J109" s="21"/>
      <c r="K109" s="21"/>
      <c r="L109" s="21"/>
      <c r="M109" s="21"/>
      <c r="N109" s="21"/>
      <c r="O109" s="21"/>
      <c r="P109" s="21"/>
      <c r="Q109" s="21"/>
      <c r="R109" s="21"/>
      <c r="S109" s="21"/>
      <c r="T109" s="21"/>
      <c r="U109" s="21"/>
      <c r="V109" s="21"/>
      <c r="W109" s="21"/>
      <c r="X109" s="21"/>
      <c r="Y109" s="21"/>
      <c r="Z109" s="21"/>
      <c r="AA109" s="21"/>
    </row>
    <row r="110">
      <c r="A110" s="6" t="str">
        <f t="array" ref="A110">IF(I110="","",IFERROR(INDEX(CONFIGURACION!H:H,MATCH(I110,CONFIGURACION!J:J,0)),""))
</f>
        <v/>
      </c>
      <c r="B110" s="6" t="str">
        <f t="array" ref="B110">IF(I110="","",IFERROR(INDEX(CONFIGURACION!I:I,MATCH(I110,CONFIGURACION!J:J,0)),""))
</f>
        <v/>
      </c>
      <c r="C110" s="6"/>
      <c r="D110" s="25"/>
      <c r="E110" s="24"/>
      <c r="F110" s="21"/>
      <c r="G110" s="21"/>
      <c r="H110" s="21"/>
      <c r="I110" s="21"/>
      <c r="J110" s="21"/>
      <c r="K110" s="21"/>
      <c r="L110" s="21"/>
      <c r="M110" s="21"/>
      <c r="N110" s="21"/>
      <c r="O110" s="21"/>
      <c r="P110" s="21"/>
      <c r="Q110" s="21"/>
      <c r="R110" s="21"/>
      <c r="S110" s="21"/>
      <c r="T110" s="21"/>
      <c r="U110" s="21"/>
      <c r="V110" s="21"/>
      <c r="W110" s="21"/>
      <c r="X110" s="21"/>
      <c r="Y110" s="21"/>
      <c r="Z110" s="21"/>
      <c r="AA110" s="21"/>
    </row>
    <row r="111">
      <c r="A111" s="6" t="str">
        <f t="array" ref="A111">IF(I111="","",IFERROR(INDEX(CONFIGURACION!H:H,MATCH(I111,CONFIGURACION!J:J,0)),""))
</f>
        <v/>
      </c>
      <c r="B111" s="6" t="str">
        <f t="array" ref="B111">IF(I111="","",IFERROR(INDEX(CONFIGURACION!I:I,MATCH(I111,CONFIGURACION!J:J,0)),""))
</f>
        <v/>
      </c>
      <c r="C111" s="6"/>
      <c r="D111" s="25"/>
      <c r="E111" s="24"/>
      <c r="F111" s="21"/>
      <c r="G111" s="21"/>
      <c r="H111" s="21"/>
      <c r="I111" s="21"/>
      <c r="J111" s="21"/>
      <c r="K111" s="21"/>
      <c r="L111" s="21"/>
      <c r="M111" s="21"/>
      <c r="N111" s="21"/>
      <c r="O111" s="21"/>
      <c r="P111" s="21"/>
      <c r="Q111" s="21"/>
      <c r="R111" s="21"/>
      <c r="S111" s="21"/>
      <c r="T111" s="21"/>
      <c r="U111" s="21"/>
      <c r="V111" s="21"/>
      <c r="W111" s="21"/>
      <c r="X111" s="21"/>
      <c r="Y111" s="21"/>
      <c r="Z111" s="21"/>
      <c r="AA111" s="21"/>
    </row>
    <row r="112">
      <c r="A112" s="6" t="str">
        <f t="array" ref="A112">IF(I112="","",IFERROR(INDEX(CONFIGURACION!H:H,MATCH(I112,CONFIGURACION!J:J,0)),""))
</f>
        <v/>
      </c>
      <c r="B112" s="6" t="str">
        <f t="array" ref="B112">IF(I112="","",IFERROR(INDEX(CONFIGURACION!I:I,MATCH(I112,CONFIGURACION!J:J,0)),""))
</f>
        <v/>
      </c>
      <c r="C112" s="6"/>
      <c r="D112" s="25"/>
      <c r="E112" s="24"/>
      <c r="F112" s="21"/>
      <c r="G112" s="21"/>
      <c r="H112" s="21"/>
      <c r="I112" s="21"/>
      <c r="J112" s="21"/>
      <c r="K112" s="21"/>
      <c r="L112" s="21"/>
      <c r="M112" s="21"/>
      <c r="N112" s="21"/>
      <c r="O112" s="21"/>
      <c r="P112" s="21"/>
      <c r="Q112" s="21"/>
      <c r="R112" s="21"/>
      <c r="S112" s="21"/>
      <c r="T112" s="21"/>
      <c r="U112" s="21"/>
      <c r="V112" s="21"/>
      <c r="W112" s="21"/>
      <c r="X112" s="21"/>
      <c r="Y112" s="21"/>
      <c r="Z112" s="21"/>
      <c r="AA112" s="21"/>
    </row>
    <row r="113">
      <c r="A113" s="6" t="str">
        <f t="array" ref="A113">IF(I113="","",IFERROR(INDEX(CONFIGURACION!H:H,MATCH(I113,CONFIGURACION!J:J,0)),""))
</f>
        <v/>
      </c>
      <c r="B113" s="6" t="str">
        <f t="array" ref="B113">IF(I113="","",IFERROR(INDEX(CONFIGURACION!I:I,MATCH(I113,CONFIGURACION!J:J,0)),""))
</f>
        <v/>
      </c>
      <c r="C113" s="6"/>
      <c r="D113" s="25"/>
      <c r="E113" s="24"/>
      <c r="F113" s="21"/>
      <c r="G113" s="21"/>
      <c r="H113" s="21"/>
      <c r="I113" s="21"/>
      <c r="J113" s="21"/>
      <c r="K113" s="21"/>
      <c r="L113" s="21"/>
      <c r="M113" s="21"/>
      <c r="N113" s="21"/>
      <c r="O113" s="21"/>
      <c r="P113" s="21"/>
      <c r="Q113" s="21"/>
      <c r="R113" s="21"/>
      <c r="S113" s="21"/>
      <c r="T113" s="21"/>
      <c r="U113" s="21"/>
      <c r="V113" s="21"/>
      <c r="W113" s="21"/>
      <c r="X113" s="21"/>
      <c r="Y113" s="21"/>
      <c r="Z113" s="21"/>
      <c r="AA113" s="21"/>
    </row>
    <row r="114">
      <c r="A114" s="6" t="str">
        <f t="array" ref="A114">IF(I114="","",IFERROR(INDEX(CONFIGURACION!H:H,MATCH(I114,CONFIGURACION!J:J,0)),""))
</f>
        <v/>
      </c>
      <c r="B114" s="6" t="str">
        <f t="array" ref="B114">IF(I114="","",IFERROR(INDEX(CONFIGURACION!I:I,MATCH(I114,CONFIGURACION!J:J,0)),""))
</f>
        <v/>
      </c>
      <c r="C114" s="6"/>
      <c r="D114" s="25"/>
      <c r="E114" s="24"/>
      <c r="F114" s="21"/>
      <c r="G114" s="21"/>
      <c r="H114" s="21"/>
      <c r="I114" s="21"/>
      <c r="J114" s="21"/>
      <c r="K114" s="21"/>
      <c r="L114" s="21"/>
      <c r="M114" s="21"/>
      <c r="N114" s="21"/>
      <c r="O114" s="21"/>
      <c r="P114" s="21"/>
      <c r="Q114" s="21"/>
      <c r="R114" s="21"/>
      <c r="S114" s="21"/>
      <c r="T114" s="21"/>
      <c r="U114" s="21"/>
      <c r="V114" s="21"/>
      <c r="W114" s="21"/>
      <c r="X114" s="21"/>
      <c r="Y114" s="21"/>
      <c r="Z114" s="21"/>
      <c r="AA114" s="21"/>
    </row>
    <row r="115">
      <c r="A115" s="6" t="str">
        <f t="array" ref="A115">IF(I115="","",IFERROR(INDEX(CONFIGURACION!H:H,MATCH(I115,CONFIGURACION!J:J,0)),""))
</f>
        <v/>
      </c>
      <c r="B115" s="6" t="str">
        <f t="array" ref="B115">IF(I115="","",IFERROR(INDEX(CONFIGURACION!I:I,MATCH(I115,CONFIGURACION!J:J,0)),""))
</f>
        <v/>
      </c>
      <c r="C115" s="6"/>
      <c r="D115" s="25"/>
      <c r="E115" s="24"/>
      <c r="F115" s="21"/>
      <c r="G115" s="21"/>
      <c r="H115" s="21"/>
      <c r="I115" s="21"/>
      <c r="J115" s="21"/>
      <c r="K115" s="21"/>
      <c r="L115" s="21"/>
      <c r="M115" s="21"/>
      <c r="N115" s="21"/>
      <c r="O115" s="21"/>
      <c r="P115" s="21"/>
      <c r="Q115" s="21"/>
      <c r="R115" s="21"/>
      <c r="S115" s="21"/>
      <c r="T115" s="21"/>
      <c r="U115" s="21"/>
      <c r="V115" s="21"/>
      <c r="W115" s="21"/>
      <c r="X115" s="21"/>
      <c r="Y115" s="21"/>
      <c r="Z115" s="21"/>
      <c r="AA115" s="21"/>
    </row>
    <row r="116">
      <c r="A116" s="6" t="str">
        <f t="array" ref="A116">IF(I116="","",IFERROR(INDEX(CONFIGURACION!H:H,MATCH(I116,CONFIGURACION!J:J,0)),""))
</f>
        <v/>
      </c>
      <c r="B116" s="6" t="str">
        <f t="array" ref="B116">IF(I116="","",IFERROR(INDEX(CONFIGURACION!I:I,MATCH(I116,CONFIGURACION!J:J,0)),""))
</f>
        <v/>
      </c>
      <c r="C116" s="6"/>
      <c r="D116" s="25"/>
      <c r="E116" s="24"/>
      <c r="F116" s="21"/>
      <c r="G116" s="21"/>
      <c r="H116" s="21"/>
      <c r="I116" s="21"/>
      <c r="J116" s="21"/>
      <c r="K116" s="21"/>
      <c r="L116" s="21"/>
      <c r="M116" s="21"/>
      <c r="N116" s="21"/>
      <c r="O116" s="21"/>
      <c r="P116" s="21"/>
      <c r="Q116" s="21"/>
      <c r="R116" s="21"/>
      <c r="S116" s="21"/>
      <c r="T116" s="21"/>
      <c r="U116" s="21"/>
      <c r="V116" s="21"/>
      <c r="W116" s="21"/>
      <c r="X116" s="21"/>
      <c r="Y116" s="21"/>
      <c r="Z116" s="21"/>
      <c r="AA116" s="21"/>
    </row>
    <row r="117">
      <c r="A117" s="6" t="str">
        <f t="array" ref="A117">IF(I117="","",IFERROR(INDEX(CONFIGURACION!H:H,MATCH(I117,CONFIGURACION!J:J,0)),""))
</f>
        <v/>
      </c>
      <c r="B117" s="6" t="str">
        <f t="array" ref="B117">IF(I117="","",IFERROR(INDEX(CONFIGURACION!I:I,MATCH(I117,CONFIGURACION!J:J,0)),""))
</f>
        <v/>
      </c>
      <c r="C117" s="6"/>
      <c r="D117" s="25"/>
      <c r="E117" s="24"/>
      <c r="F117" s="21"/>
      <c r="G117" s="21"/>
      <c r="H117" s="21"/>
      <c r="I117" s="21"/>
      <c r="J117" s="21"/>
      <c r="K117" s="21"/>
      <c r="L117" s="21"/>
      <c r="M117" s="21"/>
      <c r="N117" s="21"/>
      <c r="O117" s="21"/>
      <c r="P117" s="21"/>
      <c r="Q117" s="21"/>
      <c r="R117" s="21"/>
      <c r="S117" s="21"/>
      <c r="T117" s="21"/>
      <c r="U117" s="21"/>
      <c r="V117" s="21"/>
      <c r="W117" s="21"/>
      <c r="X117" s="21"/>
      <c r="Y117" s="21"/>
      <c r="Z117" s="21"/>
      <c r="AA117" s="21"/>
    </row>
    <row r="118">
      <c r="A118" s="6" t="str">
        <f t="array" ref="A118">IF(I118="","",IFERROR(INDEX(CONFIGURACION!H:H,MATCH(I118,CONFIGURACION!J:J,0)),""))
</f>
        <v/>
      </c>
      <c r="B118" s="6" t="str">
        <f t="array" ref="B118">IF(I118="","",IFERROR(INDEX(CONFIGURACION!I:I,MATCH(I118,CONFIGURACION!J:J,0)),""))
</f>
        <v/>
      </c>
      <c r="C118" s="6"/>
      <c r="D118" s="25"/>
      <c r="E118" s="24"/>
      <c r="F118" s="21"/>
      <c r="G118" s="21"/>
      <c r="H118" s="21"/>
      <c r="I118" s="21"/>
      <c r="J118" s="21"/>
      <c r="K118" s="21"/>
      <c r="L118" s="21"/>
      <c r="M118" s="21"/>
      <c r="N118" s="21"/>
      <c r="O118" s="21"/>
      <c r="P118" s="21"/>
      <c r="Q118" s="21"/>
      <c r="R118" s="21"/>
      <c r="S118" s="21"/>
      <c r="T118" s="21"/>
      <c r="U118" s="21"/>
      <c r="V118" s="21"/>
      <c r="W118" s="21"/>
      <c r="X118" s="21"/>
      <c r="Y118" s="21"/>
      <c r="Z118" s="21"/>
      <c r="AA118" s="21"/>
    </row>
    <row r="119">
      <c r="A119" s="6" t="str">
        <f t="array" ref="A119">IF(I119="","",IFERROR(INDEX(CONFIGURACION!H:H,MATCH(I119,CONFIGURACION!J:J,0)),""))
</f>
        <v/>
      </c>
      <c r="B119" s="6" t="str">
        <f t="array" ref="B119">IF(I119="","",IFERROR(INDEX(CONFIGURACION!I:I,MATCH(I119,CONFIGURACION!J:J,0)),""))
</f>
        <v/>
      </c>
      <c r="C119" s="6"/>
      <c r="D119" s="25"/>
      <c r="E119" s="24"/>
      <c r="F119" s="21"/>
      <c r="G119" s="21"/>
      <c r="H119" s="21"/>
      <c r="I119" s="21"/>
      <c r="J119" s="21"/>
      <c r="K119" s="21"/>
      <c r="L119" s="21"/>
      <c r="M119" s="21"/>
      <c r="N119" s="21"/>
      <c r="O119" s="21"/>
      <c r="P119" s="21"/>
      <c r="Q119" s="21"/>
      <c r="R119" s="21"/>
      <c r="S119" s="21"/>
      <c r="T119" s="21"/>
      <c r="U119" s="21"/>
      <c r="V119" s="21"/>
      <c r="W119" s="21"/>
      <c r="X119" s="21"/>
      <c r="Y119" s="21"/>
      <c r="Z119" s="21"/>
      <c r="AA119" s="21"/>
    </row>
    <row r="120">
      <c r="A120" s="6" t="str">
        <f t="array" ref="A120">IF(I120="","",IFERROR(INDEX(CONFIGURACION!H:H,MATCH(I120,CONFIGURACION!J:J,0)),""))
</f>
        <v/>
      </c>
      <c r="B120" s="6" t="str">
        <f t="array" ref="B120">IF(I120="","",IFERROR(INDEX(CONFIGURACION!I:I,MATCH(I120,CONFIGURACION!J:J,0)),""))
</f>
        <v/>
      </c>
      <c r="C120" s="6"/>
      <c r="D120" s="25"/>
      <c r="E120" s="24"/>
      <c r="F120" s="21"/>
      <c r="G120" s="21"/>
      <c r="H120" s="21"/>
      <c r="I120" s="21"/>
      <c r="J120" s="21"/>
      <c r="K120" s="21"/>
      <c r="L120" s="21"/>
      <c r="M120" s="21"/>
      <c r="N120" s="21"/>
      <c r="O120" s="21"/>
      <c r="P120" s="21"/>
      <c r="Q120" s="21"/>
      <c r="R120" s="21"/>
      <c r="S120" s="21"/>
      <c r="T120" s="21"/>
      <c r="U120" s="21"/>
      <c r="V120" s="21"/>
      <c r="W120" s="21"/>
      <c r="X120" s="21"/>
      <c r="Y120" s="21"/>
      <c r="Z120" s="21"/>
      <c r="AA120" s="21"/>
    </row>
    <row r="121">
      <c r="A121" s="6" t="str">
        <f t="array" ref="A121">IF(I121="","",IFERROR(INDEX(CONFIGURACION!H:H,MATCH(I121,CONFIGURACION!J:J,0)),""))
</f>
        <v/>
      </c>
      <c r="B121" s="6" t="str">
        <f t="array" ref="B121">IF(I121="","",IFERROR(INDEX(CONFIGURACION!I:I,MATCH(I121,CONFIGURACION!J:J,0)),""))
</f>
        <v/>
      </c>
      <c r="C121" s="6"/>
      <c r="D121" s="25"/>
      <c r="E121" s="24"/>
      <c r="F121" s="21"/>
      <c r="G121" s="21"/>
      <c r="H121" s="21"/>
      <c r="I121" s="21"/>
      <c r="J121" s="21"/>
      <c r="K121" s="21"/>
      <c r="L121" s="21"/>
      <c r="M121" s="21"/>
      <c r="N121" s="21"/>
      <c r="O121" s="21"/>
      <c r="P121" s="21"/>
      <c r="Q121" s="21"/>
      <c r="R121" s="21"/>
      <c r="S121" s="21"/>
      <c r="T121" s="21"/>
      <c r="U121" s="21"/>
      <c r="V121" s="21"/>
      <c r="W121" s="21"/>
      <c r="X121" s="21"/>
      <c r="Y121" s="21"/>
      <c r="Z121" s="21"/>
      <c r="AA121" s="21"/>
    </row>
    <row r="122">
      <c r="A122" s="6" t="str">
        <f t="array" ref="A122">IF(I122="","",IFERROR(INDEX(CONFIGURACION!H:H,MATCH(I122,CONFIGURACION!J:J,0)),""))
</f>
        <v/>
      </c>
      <c r="B122" s="6" t="str">
        <f t="array" ref="B122">IF(I122="","",IFERROR(INDEX(CONFIGURACION!I:I,MATCH(I122,CONFIGURACION!J:J,0)),""))
</f>
        <v/>
      </c>
      <c r="C122" s="6"/>
      <c r="D122" s="25"/>
      <c r="E122" s="24"/>
      <c r="F122" s="21"/>
      <c r="G122" s="21"/>
      <c r="H122" s="21"/>
      <c r="I122" s="21"/>
      <c r="J122" s="21"/>
      <c r="K122" s="21"/>
      <c r="L122" s="21"/>
      <c r="M122" s="21"/>
      <c r="N122" s="21"/>
      <c r="O122" s="21"/>
      <c r="P122" s="21"/>
      <c r="Q122" s="21"/>
      <c r="R122" s="21"/>
      <c r="S122" s="21"/>
      <c r="T122" s="21"/>
      <c r="U122" s="21"/>
      <c r="V122" s="21"/>
      <c r="W122" s="21"/>
      <c r="X122" s="21"/>
      <c r="Y122" s="21"/>
      <c r="Z122" s="21"/>
      <c r="AA122" s="21"/>
    </row>
    <row r="123">
      <c r="A123" s="6" t="str">
        <f t="array" ref="A123">IF(I123="","",IFERROR(INDEX(CONFIGURACION!H:H,MATCH(I123,CONFIGURACION!J:J,0)),""))
</f>
        <v/>
      </c>
      <c r="B123" s="6" t="str">
        <f t="array" ref="B123">IF(I123="","",IFERROR(INDEX(CONFIGURACION!I:I,MATCH(I123,CONFIGURACION!J:J,0)),""))
</f>
        <v/>
      </c>
      <c r="C123" s="6"/>
      <c r="D123" s="25"/>
      <c r="E123" s="24"/>
      <c r="F123" s="21"/>
      <c r="G123" s="21"/>
      <c r="H123" s="21"/>
      <c r="I123" s="21"/>
      <c r="J123" s="21"/>
      <c r="K123" s="21"/>
      <c r="L123" s="21"/>
      <c r="M123" s="21"/>
      <c r="N123" s="21"/>
      <c r="O123" s="21"/>
      <c r="P123" s="21"/>
      <c r="Q123" s="21"/>
      <c r="R123" s="21"/>
      <c r="S123" s="21"/>
      <c r="T123" s="21"/>
      <c r="U123" s="21"/>
      <c r="V123" s="21"/>
      <c r="W123" s="21"/>
      <c r="X123" s="21"/>
      <c r="Y123" s="21"/>
      <c r="Z123" s="21"/>
      <c r="AA123" s="21"/>
    </row>
    <row r="124">
      <c r="A124" s="6" t="str">
        <f t="array" ref="A124">IF(I124="","",IFERROR(INDEX(CONFIGURACION!H:H,MATCH(I124,CONFIGURACION!J:J,0)),""))
</f>
        <v/>
      </c>
      <c r="B124" s="6" t="str">
        <f t="array" ref="B124">IF(I124="","",IFERROR(INDEX(CONFIGURACION!I:I,MATCH(I124,CONFIGURACION!J:J,0)),""))
</f>
        <v/>
      </c>
      <c r="C124" s="6"/>
      <c r="D124" s="25"/>
      <c r="E124" s="24"/>
      <c r="F124" s="21"/>
      <c r="G124" s="21"/>
      <c r="H124" s="21"/>
      <c r="I124" s="21"/>
      <c r="J124" s="21"/>
      <c r="K124" s="21"/>
      <c r="L124" s="21"/>
      <c r="M124" s="21"/>
      <c r="N124" s="21"/>
      <c r="O124" s="21"/>
      <c r="P124" s="21"/>
      <c r="Q124" s="21"/>
      <c r="R124" s="21"/>
      <c r="S124" s="21"/>
      <c r="T124" s="21"/>
      <c r="U124" s="21"/>
      <c r="V124" s="21"/>
      <c r="W124" s="21"/>
      <c r="X124" s="21"/>
      <c r="Y124" s="21"/>
      <c r="Z124" s="21"/>
      <c r="AA124" s="21"/>
    </row>
    <row r="125">
      <c r="A125" s="6" t="str">
        <f t="array" ref="A125">IF(I125="","",IFERROR(INDEX(CONFIGURACION!H:H,MATCH(I125,CONFIGURACION!J:J,0)),""))
</f>
        <v/>
      </c>
      <c r="B125" s="6" t="str">
        <f t="array" ref="B125">IF(I125="","",IFERROR(INDEX(CONFIGURACION!I:I,MATCH(I125,CONFIGURACION!J:J,0)),""))
</f>
        <v/>
      </c>
      <c r="C125" s="6"/>
      <c r="D125" s="25"/>
      <c r="E125" s="24"/>
      <c r="F125" s="21"/>
      <c r="G125" s="21"/>
      <c r="H125" s="21"/>
      <c r="I125" s="21"/>
      <c r="J125" s="21"/>
      <c r="K125" s="21"/>
      <c r="L125" s="21"/>
      <c r="M125" s="21"/>
      <c r="N125" s="21"/>
      <c r="O125" s="21"/>
      <c r="P125" s="21"/>
      <c r="Q125" s="21"/>
      <c r="R125" s="21"/>
      <c r="S125" s="21"/>
      <c r="T125" s="21"/>
      <c r="U125" s="21"/>
      <c r="V125" s="21"/>
      <c r="W125" s="21"/>
      <c r="X125" s="21"/>
      <c r="Y125" s="21"/>
      <c r="Z125" s="21"/>
      <c r="AA125" s="21"/>
    </row>
    <row r="126">
      <c r="A126" s="6" t="str">
        <f t="array" ref="A126">IF(I126="","",IFERROR(INDEX(CONFIGURACION!H:H,MATCH(I126,CONFIGURACION!J:J,0)),""))
</f>
        <v/>
      </c>
      <c r="B126" s="6" t="str">
        <f t="array" ref="B126">IF(I126="","",IFERROR(INDEX(CONFIGURACION!I:I,MATCH(I126,CONFIGURACION!J:J,0)),""))
</f>
        <v/>
      </c>
      <c r="C126" s="6"/>
      <c r="D126" s="25"/>
      <c r="E126" s="24"/>
      <c r="F126" s="21"/>
      <c r="G126" s="21"/>
      <c r="H126" s="21"/>
      <c r="I126" s="21"/>
      <c r="J126" s="21"/>
      <c r="K126" s="21"/>
      <c r="L126" s="21"/>
      <c r="M126" s="21"/>
      <c r="N126" s="21"/>
      <c r="O126" s="21"/>
      <c r="P126" s="21"/>
      <c r="Q126" s="21"/>
      <c r="R126" s="21"/>
      <c r="S126" s="21"/>
      <c r="T126" s="21"/>
      <c r="U126" s="21"/>
      <c r="V126" s="21"/>
      <c r="W126" s="21"/>
      <c r="X126" s="21"/>
      <c r="Y126" s="21"/>
      <c r="Z126" s="21"/>
      <c r="AA126" s="21"/>
    </row>
    <row r="127">
      <c r="A127" s="6" t="str">
        <f t="array" ref="A127">IF(I127="","",IFERROR(INDEX(CONFIGURACION!H:H,MATCH(I127,CONFIGURACION!J:J,0)),""))
</f>
        <v/>
      </c>
      <c r="B127" s="6" t="str">
        <f t="array" ref="B127">IF(I127="","",IFERROR(INDEX(CONFIGURACION!I:I,MATCH(I127,CONFIGURACION!J:J,0)),""))
</f>
        <v/>
      </c>
      <c r="C127" s="6"/>
      <c r="D127" s="25"/>
      <c r="E127" s="24"/>
      <c r="F127" s="21"/>
      <c r="G127" s="21"/>
      <c r="H127" s="21"/>
      <c r="I127" s="21"/>
      <c r="J127" s="21"/>
      <c r="K127" s="21"/>
      <c r="L127" s="21"/>
      <c r="M127" s="21"/>
      <c r="N127" s="21"/>
      <c r="O127" s="21"/>
      <c r="P127" s="21"/>
      <c r="Q127" s="21"/>
      <c r="R127" s="21"/>
      <c r="S127" s="21"/>
      <c r="T127" s="21"/>
      <c r="U127" s="21"/>
      <c r="V127" s="21"/>
      <c r="W127" s="21"/>
      <c r="X127" s="21"/>
      <c r="Y127" s="21"/>
      <c r="Z127" s="21"/>
      <c r="AA127" s="21"/>
    </row>
    <row r="128">
      <c r="A128" s="6" t="str">
        <f t="array" ref="A128">IF(I128="","",IFERROR(INDEX(CONFIGURACION!H:H,MATCH(I128,CONFIGURACION!J:J,0)),""))
</f>
        <v/>
      </c>
      <c r="B128" s="6" t="str">
        <f t="array" ref="B128">IF(I128="","",IFERROR(INDEX(CONFIGURACION!I:I,MATCH(I128,CONFIGURACION!J:J,0)),""))
</f>
        <v/>
      </c>
      <c r="C128" s="6"/>
      <c r="D128" s="25"/>
      <c r="E128" s="24"/>
      <c r="F128" s="21"/>
      <c r="G128" s="21"/>
      <c r="H128" s="21"/>
      <c r="I128" s="21"/>
      <c r="J128" s="21"/>
      <c r="K128" s="21"/>
      <c r="L128" s="21"/>
      <c r="M128" s="21"/>
      <c r="N128" s="21"/>
      <c r="O128" s="21"/>
      <c r="P128" s="21"/>
      <c r="Q128" s="21"/>
      <c r="R128" s="21"/>
      <c r="S128" s="21"/>
      <c r="T128" s="21"/>
      <c r="U128" s="21"/>
      <c r="V128" s="21"/>
      <c r="W128" s="21"/>
      <c r="X128" s="21"/>
      <c r="Y128" s="21"/>
      <c r="Z128" s="21"/>
      <c r="AA128" s="21"/>
    </row>
    <row r="129">
      <c r="A129" s="6" t="str">
        <f t="array" ref="A129">IF(I129="","",IFERROR(INDEX(CONFIGURACION!H:H,MATCH(I129,CONFIGURACION!J:J,0)),""))
</f>
        <v/>
      </c>
      <c r="B129" s="6" t="str">
        <f t="array" ref="B129">IF(I129="","",IFERROR(INDEX(CONFIGURACION!I:I,MATCH(I129,CONFIGURACION!J:J,0)),""))
</f>
        <v/>
      </c>
      <c r="C129" s="6"/>
      <c r="D129" s="25"/>
      <c r="E129" s="24"/>
      <c r="F129" s="21"/>
      <c r="G129" s="21"/>
      <c r="H129" s="21"/>
      <c r="I129" s="21"/>
      <c r="J129" s="21"/>
      <c r="K129" s="21"/>
      <c r="L129" s="21"/>
      <c r="M129" s="21"/>
      <c r="N129" s="21"/>
      <c r="O129" s="21"/>
      <c r="P129" s="21"/>
      <c r="Q129" s="21"/>
      <c r="R129" s="21"/>
      <c r="S129" s="21"/>
      <c r="T129" s="21"/>
      <c r="U129" s="21"/>
      <c r="V129" s="21"/>
      <c r="W129" s="21"/>
      <c r="X129" s="21"/>
      <c r="Y129" s="21"/>
      <c r="Z129" s="21"/>
      <c r="AA129" s="21"/>
    </row>
    <row r="130">
      <c r="A130" s="6" t="str">
        <f t="array" ref="A130">IF(I130="","",IFERROR(INDEX(CONFIGURACION!H:H,MATCH(I130,CONFIGURACION!J:J,0)),""))
</f>
        <v/>
      </c>
      <c r="B130" s="6" t="str">
        <f t="array" ref="B130">IF(I130="","",IFERROR(INDEX(CONFIGURACION!I:I,MATCH(I130,CONFIGURACION!J:J,0)),""))
</f>
        <v/>
      </c>
      <c r="C130" s="6"/>
      <c r="D130" s="25"/>
      <c r="E130" s="24"/>
      <c r="F130" s="21"/>
      <c r="G130" s="21"/>
      <c r="H130" s="21"/>
      <c r="I130" s="21"/>
      <c r="J130" s="21"/>
      <c r="K130" s="21"/>
      <c r="L130" s="21"/>
      <c r="M130" s="21"/>
      <c r="N130" s="21"/>
      <c r="O130" s="21"/>
      <c r="P130" s="21"/>
      <c r="Q130" s="21"/>
      <c r="R130" s="21"/>
      <c r="S130" s="21"/>
      <c r="T130" s="21"/>
      <c r="U130" s="21"/>
      <c r="V130" s="21"/>
      <c r="W130" s="21"/>
      <c r="X130" s="21"/>
      <c r="Y130" s="21"/>
      <c r="Z130" s="21"/>
      <c r="AA130" s="21"/>
    </row>
    <row r="131">
      <c r="A131" s="6" t="str">
        <f t="array" ref="A131">IF(I131="","",IFERROR(INDEX(CONFIGURACION!H:H,MATCH(I131,CONFIGURACION!J:J,0)),""))
</f>
        <v/>
      </c>
      <c r="B131" s="6" t="str">
        <f t="array" ref="B131">IF(I131="","",IFERROR(INDEX(CONFIGURACION!I:I,MATCH(I131,CONFIGURACION!J:J,0)),""))
</f>
        <v/>
      </c>
      <c r="C131" s="6"/>
      <c r="D131" s="25"/>
      <c r="E131" s="24"/>
      <c r="F131" s="21"/>
      <c r="G131" s="21"/>
      <c r="H131" s="21"/>
      <c r="I131" s="21"/>
      <c r="J131" s="21"/>
      <c r="K131" s="21"/>
      <c r="L131" s="21"/>
      <c r="M131" s="21"/>
      <c r="N131" s="21"/>
      <c r="O131" s="21"/>
      <c r="P131" s="21"/>
      <c r="Q131" s="21"/>
      <c r="R131" s="21"/>
      <c r="S131" s="21"/>
      <c r="T131" s="21"/>
      <c r="U131" s="21"/>
      <c r="V131" s="21"/>
      <c r="W131" s="21"/>
      <c r="X131" s="21"/>
      <c r="Y131" s="21"/>
      <c r="Z131" s="21"/>
      <c r="AA131" s="21"/>
    </row>
    <row r="132">
      <c r="A132" s="6" t="str">
        <f t="array" ref="A132">IF(I132="","",IFERROR(INDEX(CONFIGURACION!H:H,MATCH(I132,CONFIGURACION!J:J,0)),""))
</f>
        <v/>
      </c>
      <c r="B132" s="6" t="str">
        <f t="array" ref="B132">IF(I132="","",IFERROR(INDEX(CONFIGURACION!I:I,MATCH(I132,CONFIGURACION!J:J,0)),""))
</f>
        <v/>
      </c>
      <c r="C132" s="6"/>
      <c r="D132" s="25"/>
      <c r="E132" s="24"/>
      <c r="F132" s="21"/>
      <c r="G132" s="21"/>
      <c r="H132" s="21"/>
      <c r="I132" s="21"/>
      <c r="J132" s="21"/>
      <c r="K132" s="21"/>
      <c r="L132" s="21"/>
      <c r="M132" s="21"/>
      <c r="N132" s="21"/>
      <c r="O132" s="21"/>
      <c r="P132" s="21"/>
      <c r="Q132" s="21"/>
      <c r="R132" s="21"/>
      <c r="S132" s="21"/>
      <c r="T132" s="21"/>
      <c r="U132" s="21"/>
      <c r="V132" s="21"/>
      <c r="W132" s="21"/>
      <c r="X132" s="21"/>
      <c r="Y132" s="21"/>
      <c r="Z132" s="21"/>
      <c r="AA132" s="21"/>
    </row>
    <row r="133">
      <c r="A133" s="6" t="str">
        <f t="array" ref="A133">IF(I133="","",IFERROR(INDEX(CONFIGURACION!H:H,MATCH(I133,CONFIGURACION!J:J,0)),""))
</f>
        <v/>
      </c>
      <c r="B133" s="6" t="str">
        <f t="array" ref="B133">IF(I133="","",IFERROR(INDEX(CONFIGURACION!I:I,MATCH(I133,CONFIGURACION!J:J,0)),""))
</f>
        <v/>
      </c>
      <c r="C133" s="6"/>
      <c r="D133" s="25"/>
      <c r="E133" s="24"/>
      <c r="F133" s="21"/>
      <c r="G133" s="21"/>
      <c r="H133" s="21"/>
      <c r="I133" s="21"/>
      <c r="J133" s="21"/>
      <c r="K133" s="21"/>
      <c r="L133" s="21"/>
      <c r="M133" s="21"/>
      <c r="N133" s="21"/>
      <c r="O133" s="21"/>
      <c r="P133" s="21"/>
      <c r="Q133" s="21"/>
      <c r="R133" s="21"/>
      <c r="S133" s="21"/>
      <c r="T133" s="21"/>
      <c r="U133" s="21"/>
      <c r="V133" s="21"/>
      <c r="W133" s="21"/>
      <c r="X133" s="21"/>
      <c r="Y133" s="21"/>
      <c r="Z133" s="21"/>
      <c r="AA133" s="21"/>
    </row>
    <row r="134">
      <c r="A134" s="6" t="str">
        <f t="array" ref="A134">IF(I134="","",IFERROR(INDEX(CONFIGURACION!H:H,MATCH(I134,CONFIGURACION!J:J,0)),""))
</f>
        <v/>
      </c>
      <c r="B134" s="6" t="str">
        <f t="array" ref="B134">IF(I134="","",IFERROR(INDEX(CONFIGURACION!I:I,MATCH(I134,CONFIGURACION!J:J,0)),""))
</f>
        <v/>
      </c>
      <c r="C134" s="6"/>
      <c r="D134" s="25"/>
      <c r="E134" s="24"/>
      <c r="F134" s="21"/>
      <c r="G134" s="21"/>
      <c r="H134" s="21"/>
      <c r="I134" s="21"/>
      <c r="J134" s="21"/>
      <c r="K134" s="21"/>
      <c r="L134" s="21"/>
      <c r="M134" s="21"/>
      <c r="N134" s="21"/>
      <c r="O134" s="21"/>
      <c r="P134" s="21"/>
      <c r="Q134" s="21"/>
      <c r="R134" s="21"/>
      <c r="S134" s="21"/>
      <c r="T134" s="21"/>
      <c r="U134" s="21"/>
      <c r="V134" s="21"/>
      <c r="W134" s="21"/>
      <c r="X134" s="21"/>
      <c r="Y134" s="21"/>
      <c r="Z134" s="21"/>
      <c r="AA134" s="21"/>
    </row>
    <row r="135">
      <c r="A135" s="6" t="str">
        <f t="array" ref="A135">IF(I135="","",IFERROR(INDEX(CONFIGURACION!H:H,MATCH(I135,CONFIGURACION!J:J,0)),""))
</f>
        <v/>
      </c>
      <c r="B135" s="6" t="str">
        <f t="array" ref="B135">IF(I135="","",IFERROR(INDEX(CONFIGURACION!I:I,MATCH(I135,CONFIGURACION!J:J,0)),""))
</f>
        <v/>
      </c>
      <c r="C135" s="6"/>
      <c r="D135" s="25"/>
      <c r="E135" s="24"/>
      <c r="F135" s="21"/>
      <c r="G135" s="21"/>
      <c r="H135" s="21"/>
      <c r="I135" s="21"/>
      <c r="J135" s="21"/>
      <c r="K135" s="21"/>
      <c r="L135" s="21"/>
      <c r="M135" s="21"/>
      <c r="N135" s="21"/>
      <c r="O135" s="21"/>
      <c r="P135" s="21"/>
      <c r="Q135" s="21"/>
      <c r="R135" s="21"/>
      <c r="S135" s="21"/>
      <c r="T135" s="21"/>
      <c r="U135" s="21"/>
      <c r="V135" s="21"/>
      <c r="W135" s="21"/>
      <c r="X135" s="21"/>
      <c r="Y135" s="21"/>
      <c r="Z135" s="21"/>
      <c r="AA135" s="21"/>
    </row>
    <row r="136">
      <c r="A136" s="6" t="str">
        <f t="array" ref="A136">IF(I136="","",IFERROR(INDEX(CONFIGURACION!H:H,MATCH(I136,CONFIGURACION!J:J,0)),""))
</f>
        <v/>
      </c>
      <c r="B136" s="6" t="str">
        <f t="array" ref="B136">IF(I136="","",IFERROR(INDEX(CONFIGURACION!I:I,MATCH(I136,CONFIGURACION!J:J,0)),""))
</f>
        <v/>
      </c>
      <c r="C136" s="6"/>
      <c r="D136" s="25"/>
      <c r="E136" s="24"/>
      <c r="F136" s="21"/>
      <c r="G136" s="21"/>
      <c r="H136" s="21"/>
      <c r="I136" s="21"/>
      <c r="J136" s="21"/>
      <c r="K136" s="21"/>
      <c r="L136" s="21"/>
      <c r="M136" s="21"/>
      <c r="N136" s="21"/>
      <c r="O136" s="21"/>
      <c r="P136" s="21"/>
      <c r="Q136" s="21"/>
      <c r="R136" s="21"/>
      <c r="S136" s="21"/>
      <c r="T136" s="21"/>
      <c r="U136" s="21"/>
      <c r="V136" s="21"/>
      <c r="W136" s="21"/>
      <c r="X136" s="21"/>
      <c r="Y136" s="21"/>
      <c r="Z136" s="21"/>
      <c r="AA136" s="21"/>
    </row>
    <row r="137">
      <c r="A137" s="6" t="str">
        <f t="array" ref="A137">IF(I137="","",IFERROR(INDEX(CONFIGURACION!H:H,MATCH(I137,CONFIGURACION!J:J,0)),""))
</f>
        <v/>
      </c>
      <c r="B137" s="6" t="str">
        <f t="array" ref="B137">IF(I137="","",IFERROR(INDEX(CONFIGURACION!I:I,MATCH(I137,CONFIGURACION!J:J,0)),""))
</f>
        <v/>
      </c>
      <c r="C137" s="6"/>
      <c r="D137" s="25"/>
      <c r="E137" s="24"/>
      <c r="F137" s="21"/>
      <c r="G137" s="21"/>
      <c r="H137" s="21"/>
      <c r="I137" s="21"/>
      <c r="J137" s="21"/>
      <c r="K137" s="21"/>
      <c r="L137" s="21"/>
      <c r="M137" s="21"/>
      <c r="N137" s="21"/>
      <c r="O137" s="21"/>
      <c r="P137" s="21"/>
      <c r="Q137" s="21"/>
      <c r="R137" s="21"/>
      <c r="S137" s="21"/>
      <c r="T137" s="21"/>
      <c r="U137" s="21"/>
      <c r="V137" s="21"/>
      <c r="W137" s="21"/>
      <c r="X137" s="21"/>
      <c r="Y137" s="21"/>
      <c r="Z137" s="21"/>
      <c r="AA137" s="21"/>
    </row>
    <row r="138">
      <c r="A138" s="6" t="str">
        <f t="array" ref="A138">IF(I138="","",IFERROR(INDEX(CONFIGURACION!H:H,MATCH(I138,CONFIGURACION!J:J,0)),""))
</f>
        <v/>
      </c>
      <c r="B138" s="6" t="str">
        <f t="array" ref="B138">IF(I138="","",IFERROR(INDEX(CONFIGURACION!I:I,MATCH(I138,CONFIGURACION!J:J,0)),""))
</f>
        <v/>
      </c>
      <c r="C138" s="6"/>
      <c r="D138" s="25"/>
      <c r="E138" s="24"/>
      <c r="F138" s="21"/>
      <c r="G138" s="21"/>
      <c r="H138" s="21"/>
      <c r="I138" s="21"/>
      <c r="J138" s="21"/>
      <c r="K138" s="21"/>
      <c r="L138" s="21"/>
      <c r="M138" s="21"/>
      <c r="N138" s="21"/>
      <c r="O138" s="21"/>
      <c r="P138" s="21"/>
      <c r="Q138" s="21"/>
      <c r="R138" s="21"/>
      <c r="S138" s="21"/>
      <c r="T138" s="21"/>
      <c r="U138" s="21"/>
      <c r="V138" s="21"/>
      <c r="W138" s="21"/>
      <c r="X138" s="21"/>
      <c r="Y138" s="21"/>
      <c r="Z138" s="21"/>
      <c r="AA138" s="21"/>
    </row>
    <row r="139">
      <c r="A139" s="6" t="str">
        <f t="array" ref="A139">IF(I139="","",IFERROR(INDEX(CONFIGURACION!H:H,MATCH(I139,CONFIGURACION!J:J,0)),""))
</f>
        <v/>
      </c>
      <c r="B139" s="6" t="str">
        <f t="array" ref="B139">IF(I139="","",IFERROR(INDEX(CONFIGURACION!I:I,MATCH(I139,CONFIGURACION!J:J,0)),""))
</f>
        <v/>
      </c>
      <c r="C139" s="6"/>
      <c r="D139" s="25"/>
      <c r="E139" s="24"/>
      <c r="F139" s="21"/>
      <c r="G139" s="21"/>
      <c r="H139" s="21"/>
      <c r="I139" s="21"/>
      <c r="J139" s="21"/>
      <c r="K139" s="21"/>
      <c r="L139" s="21"/>
      <c r="M139" s="21"/>
      <c r="N139" s="21"/>
      <c r="O139" s="21"/>
      <c r="P139" s="21"/>
      <c r="Q139" s="21"/>
      <c r="R139" s="21"/>
      <c r="S139" s="21"/>
      <c r="T139" s="21"/>
      <c r="U139" s="21"/>
      <c r="V139" s="21"/>
      <c r="W139" s="21"/>
      <c r="X139" s="21"/>
      <c r="Y139" s="21"/>
      <c r="Z139" s="21"/>
      <c r="AA139" s="21"/>
    </row>
    <row r="140">
      <c r="A140" s="6" t="str">
        <f t="array" ref="A140">IF(I140="","",IFERROR(INDEX(CONFIGURACION!H:H,MATCH(I140,CONFIGURACION!J:J,0)),""))
</f>
        <v/>
      </c>
      <c r="B140" s="6" t="str">
        <f t="array" ref="B140">IF(I140="","",IFERROR(INDEX(CONFIGURACION!I:I,MATCH(I140,CONFIGURACION!J:J,0)),""))
</f>
        <v/>
      </c>
      <c r="C140" s="6"/>
      <c r="D140" s="25"/>
      <c r="E140" s="24"/>
      <c r="F140" s="21"/>
      <c r="G140" s="21"/>
      <c r="H140" s="21"/>
      <c r="I140" s="21"/>
      <c r="J140" s="21"/>
      <c r="K140" s="21"/>
      <c r="L140" s="21"/>
      <c r="M140" s="21"/>
      <c r="N140" s="21"/>
      <c r="O140" s="21"/>
      <c r="P140" s="21"/>
      <c r="Q140" s="21"/>
      <c r="R140" s="21"/>
      <c r="S140" s="21"/>
      <c r="T140" s="21"/>
      <c r="U140" s="21"/>
      <c r="V140" s="21"/>
      <c r="W140" s="21"/>
      <c r="X140" s="21"/>
      <c r="Y140" s="21"/>
      <c r="Z140" s="21"/>
      <c r="AA140" s="21"/>
    </row>
    <row r="141">
      <c r="A141" s="6" t="str">
        <f t="array" ref="A141">IF(I141="","",IFERROR(INDEX(CONFIGURACION!H:H,MATCH(I141,CONFIGURACION!J:J,0)),""))
</f>
        <v/>
      </c>
      <c r="B141" s="6" t="str">
        <f t="array" ref="B141">IF(I141="","",IFERROR(INDEX(CONFIGURACION!I:I,MATCH(I141,CONFIGURACION!J:J,0)),""))
</f>
        <v/>
      </c>
      <c r="C141" s="6"/>
      <c r="D141" s="25"/>
      <c r="E141" s="24"/>
      <c r="F141" s="21"/>
      <c r="G141" s="21"/>
      <c r="H141" s="21"/>
      <c r="I141" s="21"/>
      <c r="J141" s="21"/>
      <c r="K141" s="21"/>
      <c r="L141" s="21"/>
      <c r="M141" s="21"/>
      <c r="N141" s="21"/>
      <c r="O141" s="21"/>
      <c r="P141" s="21"/>
      <c r="Q141" s="21"/>
      <c r="R141" s="21"/>
      <c r="S141" s="21"/>
      <c r="T141" s="21"/>
      <c r="U141" s="21"/>
      <c r="V141" s="21"/>
      <c r="W141" s="21"/>
      <c r="X141" s="21"/>
      <c r="Y141" s="21"/>
      <c r="Z141" s="21"/>
      <c r="AA141" s="21"/>
    </row>
    <row r="142">
      <c r="A142" s="6" t="str">
        <f t="array" ref="A142">IF(I142="","",IFERROR(INDEX(CONFIGURACION!H:H,MATCH(I142,CONFIGURACION!J:J,0)),""))
</f>
        <v/>
      </c>
      <c r="B142" s="6" t="str">
        <f t="array" ref="B142">IF(I142="","",IFERROR(INDEX(CONFIGURACION!I:I,MATCH(I142,CONFIGURACION!J:J,0)),""))
</f>
        <v/>
      </c>
      <c r="C142" s="6"/>
      <c r="D142" s="25"/>
      <c r="E142" s="24"/>
      <c r="F142" s="21"/>
      <c r="G142" s="21"/>
      <c r="H142" s="21"/>
      <c r="I142" s="21"/>
      <c r="J142" s="21"/>
      <c r="K142" s="21"/>
      <c r="L142" s="21"/>
      <c r="M142" s="21"/>
      <c r="N142" s="21"/>
      <c r="O142" s="21"/>
      <c r="P142" s="21"/>
      <c r="Q142" s="21"/>
      <c r="R142" s="21"/>
      <c r="S142" s="21"/>
      <c r="T142" s="21"/>
      <c r="U142" s="21"/>
      <c r="V142" s="21"/>
      <c r="W142" s="21"/>
      <c r="X142" s="21"/>
      <c r="Y142" s="21"/>
      <c r="Z142" s="21"/>
      <c r="AA142" s="21"/>
    </row>
    <row r="143">
      <c r="A143" s="6" t="str">
        <f t="array" ref="A143">IF(I143="","",IFERROR(INDEX(CONFIGURACION!H:H,MATCH(I143,CONFIGURACION!J:J,0)),""))
</f>
        <v/>
      </c>
      <c r="B143" s="6" t="str">
        <f t="array" ref="B143">IF(I143="","",IFERROR(INDEX(CONFIGURACION!I:I,MATCH(I143,CONFIGURACION!J:J,0)),""))
</f>
        <v/>
      </c>
      <c r="C143" s="6"/>
      <c r="D143" s="25"/>
      <c r="E143" s="24"/>
      <c r="F143" s="21"/>
      <c r="G143" s="21"/>
      <c r="H143" s="21"/>
      <c r="I143" s="21"/>
      <c r="J143" s="21"/>
      <c r="K143" s="21"/>
      <c r="L143" s="21"/>
      <c r="M143" s="21"/>
      <c r="N143" s="21"/>
      <c r="O143" s="21"/>
      <c r="P143" s="21"/>
      <c r="Q143" s="21"/>
      <c r="R143" s="21"/>
      <c r="S143" s="21"/>
      <c r="T143" s="21"/>
      <c r="U143" s="21"/>
      <c r="V143" s="21"/>
      <c r="W143" s="21"/>
      <c r="X143" s="21"/>
      <c r="Y143" s="21"/>
      <c r="Z143" s="21"/>
      <c r="AA143" s="21"/>
    </row>
    <row r="144">
      <c r="A144" s="6" t="str">
        <f t="array" ref="A144">IF(I144="","",IFERROR(INDEX(CONFIGURACION!H:H,MATCH(I144,CONFIGURACION!J:J,0)),""))
</f>
        <v/>
      </c>
      <c r="B144" s="6" t="str">
        <f t="array" ref="B144">IF(I144="","",IFERROR(INDEX(CONFIGURACION!I:I,MATCH(I144,CONFIGURACION!J:J,0)),""))
</f>
        <v/>
      </c>
      <c r="C144" s="6"/>
      <c r="D144" s="25"/>
      <c r="E144" s="24"/>
      <c r="F144" s="21"/>
      <c r="G144" s="21"/>
      <c r="H144" s="21"/>
      <c r="I144" s="21"/>
      <c r="J144" s="21"/>
      <c r="K144" s="21"/>
      <c r="L144" s="21"/>
      <c r="M144" s="21"/>
      <c r="N144" s="21"/>
      <c r="O144" s="21"/>
      <c r="P144" s="21"/>
      <c r="Q144" s="21"/>
      <c r="R144" s="21"/>
      <c r="S144" s="21"/>
      <c r="T144" s="21"/>
      <c r="U144" s="21"/>
      <c r="V144" s="21"/>
      <c r="W144" s="21"/>
      <c r="X144" s="21"/>
      <c r="Y144" s="21"/>
      <c r="Z144" s="21"/>
      <c r="AA144" s="21"/>
    </row>
    <row r="145">
      <c r="A145" s="6" t="str">
        <f t="array" ref="A145">IF(I145="","",IFERROR(INDEX(CONFIGURACION!H:H,MATCH(I145,CONFIGURACION!J:J,0)),""))
</f>
        <v/>
      </c>
      <c r="B145" s="6" t="str">
        <f t="array" ref="B145">IF(I145="","",IFERROR(INDEX(CONFIGURACION!I:I,MATCH(I145,CONFIGURACION!J:J,0)),""))
</f>
        <v/>
      </c>
      <c r="C145" s="6"/>
      <c r="D145" s="25"/>
      <c r="E145" s="24"/>
      <c r="F145" s="21"/>
      <c r="G145" s="21"/>
      <c r="H145" s="21"/>
      <c r="I145" s="21"/>
      <c r="J145" s="21"/>
      <c r="K145" s="21"/>
      <c r="L145" s="21"/>
      <c r="M145" s="21"/>
      <c r="N145" s="21"/>
      <c r="O145" s="21"/>
      <c r="P145" s="21"/>
      <c r="Q145" s="21"/>
      <c r="R145" s="21"/>
      <c r="S145" s="21"/>
      <c r="T145" s="21"/>
      <c r="U145" s="21"/>
      <c r="V145" s="21"/>
      <c r="W145" s="21"/>
      <c r="X145" s="21"/>
      <c r="Y145" s="21"/>
      <c r="Z145" s="21"/>
      <c r="AA145" s="21"/>
    </row>
    <row r="146">
      <c r="A146" s="6" t="str">
        <f t="array" ref="A146">IF(I146="","",IFERROR(INDEX(CONFIGURACION!H:H,MATCH(I146,CONFIGURACION!J:J,0)),""))
</f>
        <v/>
      </c>
      <c r="B146" s="6" t="str">
        <f t="array" ref="B146">IF(I146="","",IFERROR(INDEX(CONFIGURACION!I:I,MATCH(I146,CONFIGURACION!J:J,0)),""))
</f>
        <v/>
      </c>
      <c r="C146" s="6"/>
      <c r="D146" s="25"/>
      <c r="E146" s="24"/>
      <c r="F146" s="21"/>
      <c r="G146" s="21"/>
      <c r="H146" s="21"/>
      <c r="I146" s="21"/>
      <c r="J146" s="21"/>
      <c r="K146" s="21"/>
      <c r="L146" s="21"/>
      <c r="M146" s="21"/>
      <c r="N146" s="21"/>
      <c r="O146" s="21"/>
      <c r="P146" s="21"/>
      <c r="Q146" s="21"/>
      <c r="R146" s="21"/>
      <c r="S146" s="21"/>
      <c r="T146" s="21"/>
      <c r="U146" s="21"/>
      <c r="V146" s="21"/>
      <c r="W146" s="21"/>
      <c r="X146" s="21"/>
      <c r="Y146" s="21"/>
      <c r="Z146" s="21"/>
      <c r="AA146" s="21"/>
    </row>
    <row r="147">
      <c r="A147" s="6" t="str">
        <f t="array" ref="A147">IF(I147="","",IFERROR(INDEX(CONFIGURACION!H:H,MATCH(I147,CONFIGURACION!J:J,0)),""))
</f>
        <v/>
      </c>
      <c r="B147" s="6" t="str">
        <f t="array" ref="B147">IF(I147="","",IFERROR(INDEX(CONFIGURACION!I:I,MATCH(I147,CONFIGURACION!J:J,0)),""))
</f>
        <v/>
      </c>
      <c r="C147" s="6"/>
      <c r="D147" s="25"/>
      <c r="E147" s="24"/>
      <c r="F147" s="21"/>
      <c r="G147" s="21"/>
      <c r="H147" s="21"/>
      <c r="I147" s="21"/>
      <c r="J147" s="21"/>
      <c r="K147" s="21"/>
      <c r="L147" s="21"/>
      <c r="M147" s="21"/>
      <c r="N147" s="21"/>
      <c r="O147" s="21"/>
      <c r="P147" s="21"/>
      <c r="Q147" s="21"/>
      <c r="R147" s="21"/>
      <c r="S147" s="21"/>
      <c r="T147" s="21"/>
      <c r="U147" s="21"/>
      <c r="V147" s="21"/>
      <c r="W147" s="21"/>
      <c r="X147" s="21"/>
      <c r="Y147" s="21"/>
      <c r="Z147" s="21"/>
      <c r="AA147" s="21"/>
    </row>
    <row r="148">
      <c r="A148" s="6" t="str">
        <f t="array" ref="A148">IF(I148="","",IFERROR(INDEX(CONFIGURACION!H:H,MATCH(I148,CONFIGURACION!J:J,0)),""))
</f>
        <v/>
      </c>
      <c r="B148" s="6" t="str">
        <f t="array" ref="B148">IF(I148="","",IFERROR(INDEX(CONFIGURACION!I:I,MATCH(I148,CONFIGURACION!J:J,0)),""))
</f>
        <v/>
      </c>
      <c r="C148" s="6"/>
      <c r="D148" s="25"/>
      <c r="E148" s="24"/>
      <c r="F148" s="21"/>
      <c r="G148" s="21"/>
      <c r="H148" s="21"/>
      <c r="I148" s="21"/>
      <c r="J148" s="21"/>
      <c r="K148" s="21"/>
      <c r="L148" s="21"/>
      <c r="M148" s="21"/>
      <c r="N148" s="21"/>
      <c r="O148" s="21"/>
      <c r="P148" s="21"/>
      <c r="Q148" s="21"/>
      <c r="R148" s="21"/>
      <c r="S148" s="21"/>
      <c r="T148" s="21"/>
      <c r="U148" s="21"/>
      <c r="V148" s="21"/>
      <c r="W148" s="21"/>
      <c r="X148" s="21"/>
      <c r="Y148" s="21"/>
      <c r="Z148" s="21"/>
      <c r="AA148" s="21"/>
    </row>
    <row r="149">
      <c r="A149" s="6" t="str">
        <f t="array" ref="A149">IF(I149="","",IFERROR(INDEX(CONFIGURACION!H:H,MATCH(I149,CONFIGURACION!J:J,0)),""))
</f>
        <v/>
      </c>
      <c r="B149" s="6" t="str">
        <f t="array" ref="B149">IF(I149="","",IFERROR(INDEX(CONFIGURACION!I:I,MATCH(I149,CONFIGURACION!J:J,0)),""))
</f>
        <v/>
      </c>
      <c r="C149" s="6"/>
      <c r="D149" s="25"/>
      <c r="E149" s="24"/>
      <c r="F149" s="21"/>
      <c r="G149" s="21"/>
      <c r="H149" s="21"/>
      <c r="I149" s="21"/>
      <c r="J149" s="21"/>
      <c r="K149" s="21"/>
      <c r="L149" s="21"/>
      <c r="M149" s="21"/>
      <c r="N149" s="21"/>
      <c r="O149" s="21"/>
      <c r="P149" s="21"/>
      <c r="Q149" s="21"/>
      <c r="R149" s="21"/>
      <c r="S149" s="21"/>
      <c r="T149" s="21"/>
      <c r="U149" s="21"/>
      <c r="V149" s="21"/>
      <c r="W149" s="21"/>
      <c r="X149" s="21"/>
      <c r="Y149" s="21"/>
      <c r="Z149" s="21"/>
      <c r="AA149" s="21"/>
    </row>
    <row r="150">
      <c r="A150" s="6" t="str">
        <f t="array" ref="A150">IF(I150="","",IFERROR(INDEX(CONFIGURACION!H:H,MATCH(I150,CONFIGURACION!J:J,0)),""))
</f>
        <v/>
      </c>
      <c r="B150" s="6" t="str">
        <f t="array" ref="B150">IF(I150="","",IFERROR(INDEX(CONFIGURACION!I:I,MATCH(I150,CONFIGURACION!J:J,0)),""))
</f>
        <v/>
      </c>
      <c r="C150" s="6"/>
      <c r="D150" s="25"/>
      <c r="E150" s="24"/>
      <c r="F150" s="21"/>
      <c r="G150" s="21"/>
      <c r="H150" s="21"/>
      <c r="I150" s="21"/>
      <c r="J150" s="21"/>
      <c r="K150" s="21"/>
      <c r="L150" s="21"/>
      <c r="M150" s="21"/>
      <c r="N150" s="21"/>
      <c r="O150" s="21"/>
      <c r="P150" s="21"/>
      <c r="Q150" s="21"/>
      <c r="R150" s="21"/>
      <c r="S150" s="21"/>
      <c r="T150" s="21"/>
      <c r="U150" s="21"/>
      <c r="V150" s="21"/>
      <c r="W150" s="21"/>
      <c r="X150" s="21"/>
      <c r="Y150" s="21"/>
      <c r="Z150" s="21"/>
      <c r="AA150" s="21"/>
    </row>
    <row r="151">
      <c r="A151" s="6" t="str">
        <f t="array" ref="A151">IF(I151="","",IFERROR(INDEX(CONFIGURACION!H:H,MATCH(I151,CONFIGURACION!J:J,0)),""))
</f>
        <v/>
      </c>
      <c r="B151" s="6" t="str">
        <f t="array" ref="B151">IF(I151="","",IFERROR(INDEX(CONFIGURACION!I:I,MATCH(I151,CONFIGURACION!J:J,0)),""))
</f>
        <v/>
      </c>
      <c r="C151" s="6"/>
      <c r="D151" s="25"/>
      <c r="E151" s="24"/>
      <c r="F151" s="21"/>
      <c r="G151" s="21"/>
      <c r="H151" s="21"/>
      <c r="I151" s="21"/>
      <c r="J151" s="21"/>
      <c r="K151" s="21"/>
      <c r="L151" s="21"/>
      <c r="M151" s="21"/>
      <c r="N151" s="21"/>
      <c r="O151" s="21"/>
      <c r="P151" s="21"/>
      <c r="Q151" s="21"/>
      <c r="R151" s="21"/>
      <c r="S151" s="21"/>
      <c r="T151" s="21"/>
      <c r="U151" s="21"/>
      <c r="V151" s="21"/>
      <c r="W151" s="21"/>
      <c r="X151" s="21"/>
      <c r="Y151" s="21"/>
      <c r="Z151" s="21"/>
      <c r="AA151" s="21"/>
    </row>
    <row r="152">
      <c r="A152" s="6" t="str">
        <f t="array" ref="A152">IF(I152="","",IFERROR(INDEX(CONFIGURACION!H:H,MATCH(I152,CONFIGURACION!J:J,0)),""))
</f>
        <v/>
      </c>
      <c r="B152" s="6" t="str">
        <f t="array" ref="B152">IF(I152="","",IFERROR(INDEX(CONFIGURACION!I:I,MATCH(I152,CONFIGURACION!J:J,0)),""))
</f>
        <v/>
      </c>
      <c r="C152" s="6"/>
      <c r="D152" s="25"/>
      <c r="E152" s="24"/>
      <c r="F152" s="21"/>
      <c r="G152" s="21"/>
      <c r="H152" s="21"/>
      <c r="I152" s="21"/>
      <c r="J152" s="21"/>
      <c r="K152" s="21"/>
      <c r="L152" s="21"/>
      <c r="M152" s="21"/>
      <c r="N152" s="21"/>
      <c r="O152" s="21"/>
      <c r="P152" s="21"/>
      <c r="Q152" s="21"/>
      <c r="R152" s="21"/>
      <c r="S152" s="21"/>
      <c r="T152" s="21"/>
      <c r="U152" s="21"/>
      <c r="V152" s="21"/>
      <c r="W152" s="21"/>
      <c r="X152" s="21"/>
      <c r="Y152" s="21"/>
      <c r="Z152" s="21"/>
      <c r="AA152" s="21"/>
    </row>
    <row r="153">
      <c r="A153" s="6" t="str">
        <f t="array" ref="A153">IF(I153="","",IFERROR(INDEX(CONFIGURACION!H:H,MATCH(I153,CONFIGURACION!J:J,0)),""))
</f>
        <v/>
      </c>
      <c r="B153" s="6" t="str">
        <f t="array" ref="B153">IF(I153="","",IFERROR(INDEX(CONFIGURACION!I:I,MATCH(I153,CONFIGURACION!J:J,0)),""))
</f>
        <v/>
      </c>
      <c r="C153" s="6"/>
      <c r="D153" s="25"/>
      <c r="E153" s="24"/>
      <c r="F153" s="21"/>
      <c r="G153" s="21"/>
      <c r="H153" s="21"/>
      <c r="I153" s="21"/>
      <c r="J153" s="21"/>
      <c r="K153" s="21"/>
      <c r="L153" s="21"/>
      <c r="M153" s="21"/>
      <c r="N153" s="21"/>
      <c r="O153" s="21"/>
      <c r="P153" s="21"/>
      <c r="Q153" s="21"/>
      <c r="R153" s="21"/>
      <c r="S153" s="21"/>
      <c r="T153" s="21"/>
      <c r="U153" s="21"/>
      <c r="V153" s="21"/>
      <c r="W153" s="21"/>
      <c r="X153" s="21"/>
      <c r="Y153" s="21"/>
      <c r="Z153" s="21"/>
      <c r="AA153" s="21"/>
    </row>
    <row r="154">
      <c r="A154" s="6" t="str">
        <f t="array" ref="A154">IF(I154="","",IFERROR(INDEX(CONFIGURACION!H:H,MATCH(I154,CONFIGURACION!J:J,0)),""))
</f>
        <v/>
      </c>
      <c r="B154" s="6" t="str">
        <f t="array" ref="B154">IF(I154="","",IFERROR(INDEX(CONFIGURACION!I:I,MATCH(I154,CONFIGURACION!J:J,0)),""))
</f>
        <v/>
      </c>
      <c r="C154" s="6"/>
      <c r="D154" s="25"/>
      <c r="E154" s="24"/>
      <c r="F154" s="21"/>
      <c r="G154" s="21"/>
      <c r="H154" s="21"/>
      <c r="I154" s="21"/>
      <c r="J154" s="21"/>
      <c r="K154" s="21"/>
      <c r="L154" s="21"/>
      <c r="M154" s="21"/>
      <c r="N154" s="21"/>
      <c r="O154" s="21"/>
      <c r="P154" s="21"/>
      <c r="Q154" s="21"/>
      <c r="R154" s="21"/>
      <c r="S154" s="21"/>
      <c r="T154" s="21"/>
      <c r="U154" s="21"/>
      <c r="V154" s="21"/>
      <c r="W154" s="21"/>
      <c r="X154" s="21"/>
      <c r="Y154" s="21"/>
      <c r="Z154" s="21"/>
      <c r="AA154" s="21"/>
    </row>
    <row r="155">
      <c r="A155" s="6" t="str">
        <f t="array" ref="A155">IF(I155="","",IFERROR(INDEX(CONFIGURACION!H:H,MATCH(I155,CONFIGURACION!J:J,0)),""))
</f>
        <v/>
      </c>
      <c r="B155" s="6" t="str">
        <f t="array" ref="B155">IF(I155="","",IFERROR(INDEX(CONFIGURACION!I:I,MATCH(I155,CONFIGURACION!J:J,0)),""))
</f>
        <v/>
      </c>
      <c r="C155" s="6"/>
      <c r="D155" s="25"/>
      <c r="E155" s="24"/>
      <c r="F155" s="21"/>
      <c r="G155" s="21"/>
      <c r="H155" s="21"/>
      <c r="I155" s="21"/>
      <c r="J155" s="21"/>
      <c r="K155" s="21"/>
      <c r="L155" s="21"/>
      <c r="M155" s="21"/>
      <c r="N155" s="21"/>
      <c r="O155" s="21"/>
      <c r="P155" s="21"/>
      <c r="Q155" s="21"/>
      <c r="R155" s="21"/>
      <c r="S155" s="21"/>
      <c r="T155" s="21"/>
      <c r="U155" s="21"/>
      <c r="V155" s="21"/>
      <c r="W155" s="21"/>
      <c r="X155" s="21"/>
      <c r="Y155" s="21"/>
      <c r="Z155" s="21"/>
      <c r="AA155" s="21"/>
    </row>
    <row r="156">
      <c r="A156" s="6" t="str">
        <f t="array" ref="A156">IF(I156="","",IFERROR(INDEX(CONFIGURACION!H:H,MATCH(I156,CONFIGURACION!J:J,0)),""))
</f>
        <v/>
      </c>
      <c r="B156" s="6" t="str">
        <f t="array" ref="B156">IF(I156="","",IFERROR(INDEX(CONFIGURACION!I:I,MATCH(I156,CONFIGURACION!J:J,0)),""))
</f>
        <v/>
      </c>
      <c r="C156" s="6"/>
      <c r="D156" s="25"/>
      <c r="E156" s="24"/>
      <c r="F156" s="21"/>
      <c r="G156" s="21"/>
      <c r="H156" s="21"/>
      <c r="I156" s="21"/>
      <c r="J156" s="21"/>
      <c r="K156" s="21"/>
      <c r="L156" s="21"/>
      <c r="M156" s="21"/>
      <c r="N156" s="21"/>
      <c r="O156" s="21"/>
      <c r="P156" s="21"/>
      <c r="Q156" s="21"/>
      <c r="R156" s="21"/>
      <c r="S156" s="21"/>
      <c r="T156" s="21"/>
      <c r="U156" s="21"/>
      <c r="V156" s="21"/>
      <c r="W156" s="21"/>
      <c r="X156" s="21"/>
      <c r="Y156" s="21"/>
      <c r="Z156" s="21"/>
      <c r="AA156" s="21"/>
    </row>
    <row r="157">
      <c r="A157" s="6" t="str">
        <f t="array" ref="A157">IF(I157="","",IFERROR(INDEX(CONFIGURACION!H:H,MATCH(I157,CONFIGURACION!J:J,0)),""))
</f>
        <v/>
      </c>
      <c r="B157" s="6" t="str">
        <f t="array" ref="B157">IF(I157="","",IFERROR(INDEX(CONFIGURACION!I:I,MATCH(I157,CONFIGURACION!J:J,0)),""))
</f>
        <v/>
      </c>
      <c r="C157" s="6"/>
      <c r="D157" s="25"/>
      <c r="E157" s="24"/>
      <c r="F157" s="21"/>
      <c r="G157" s="21"/>
      <c r="H157" s="21"/>
      <c r="I157" s="21"/>
      <c r="J157" s="21"/>
      <c r="K157" s="21"/>
      <c r="L157" s="21"/>
      <c r="M157" s="21"/>
      <c r="N157" s="21"/>
      <c r="O157" s="21"/>
      <c r="P157" s="21"/>
      <c r="Q157" s="21"/>
      <c r="R157" s="21"/>
      <c r="S157" s="21"/>
      <c r="T157" s="21"/>
      <c r="U157" s="21"/>
      <c r="V157" s="21"/>
      <c r="W157" s="21"/>
      <c r="X157" s="21"/>
      <c r="Y157" s="21"/>
      <c r="Z157" s="21"/>
      <c r="AA157" s="21"/>
    </row>
    <row r="158">
      <c r="A158" s="6" t="str">
        <f t="array" ref="A158">IF(I158="","",IFERROR(INDEX(CONFIGURACION!H:H,MATCH(I158,CONFIGURACION!J:J,0)),""))
</f>
        <v/>
      </c>
      <c r="B158" s="6" t="str">
        <f t="array" ref="B158">IF(I158="","",IFERROR(INDEX(CONFIGURACION!I:I,MATCH(I158,CONFIGURACION!J:J,0)),""))
</f>
        <v/>
      </c>
      <c r="C158" s="6"/>
      <c r="D158" s="25"/>
      <c r="E158" s="24"/>
      <c r="F158" s="21"/>
      <c r="G158" s="21"/>
      <c r="H158" s="21"/>
      <c r="I158" s="21"/>
      <c r="J158" s="21"/>
      <c r="K158" s="21"/>
      <c r="L158" s="21"/>
      <c r="M158" s="21"/>
      <c r="N158" s="21"/>
      <c r="O158" s="21"/>
      <c r="P158" s="21"/>
      <c r="Q158" s="21"/>
      <c r="R158" s="21"/>
      <c r="S158" s="21"/>
      <c r="T158" s="21"/>
      <c r="U158" s="21"/>
      <c r="V158" s="21"/>
      <c r="W158" s="21"/>
      <c r="X158" s="21"/>
      <c r="Y158" s="21"/>
      <c r="Z158" s="21"/>
      <c r="AA158" s="21"/>
    </row>
    <row r="159">
      <c r="A159" s="6" t="str">
        <f t="array" ref="A159">IF(I159="","",IFERROR(INDEX(CONFIGURACION!H:H,MATCH(I159,CONFIGURACION!J:J,0)),""))
</f>
        <v/>
      </c>
      <c r="B159" s="6" t="str">
        <f t="array" ref="B159">IF(I159="","",IFERROR(INDEX(CONFIGURACION!I:I,MATCH(I159,CONFIGURACION!J:J,0)),""))
</f>
        <v/>
      </c>
      <c r="C159" s="6"/>
      <c r="D159" s="25"/>
      <c r="E159" s="24"/>
      <c r="F159" s="21"/>
      <c r="G159" s="21"/>
      <c r="H159" s="21"/>
      <c r="I159" s="21"/>
      <c r="J159" s="21"/>
      <c r="K159" s="21"/>
      <c r="L159" s="21"/>
      <c r="M159" s="21"/>
      <c r="N159" s="21"/>
      <c r="O159" s="21"/>
      <c r="P159" s="21"/>
      <c r="Q159" s="21"/>
      <c r="R159" s="21"/>
      <c r="S159" s="21"/>
      <c r="T159" s="21"/>
      <c r="U159" s="21"/>
      <c r="V159" s="21"/>
      <c r="W159" s="21"/>
      <c r="X159" s="21"/>
      <c r="Y159" s="21"/>
      <c r="Z159" s="21"/>
      <c r="AA159" s="21"/>
    </row>
    <row r="160">
      <c r="A160" s="6" t="str">
        <f t="array" ref="A160">IF(I160="","",IFERROR(INDEX(CONFIGURACION!H:H,MATCH(I160,CONFIGURACION!J:J,0)),""))
</f>
        <v/>
      </c>
      <c r="B160" s="6" t="str">
        <f t="array" ref="B160">IF(I160="","",IFERROR(INDEX(CONFIGURACION!I:I,MATCH(I160,CONFIGURACION!J:J,0)),""))
</f>
        <v/>
      </c>
      <c r="C160" s="6"/>
      <c r="D160" s="25"/>
      <c r="E160" s="24"/>
      <c r="F160" s="21"/>
      <c r="G160" s="21"/>
      <c r="H160" s="21"/>
      <c r="I160" s="21"/>
      <c r="J160" s="21"/>
      <c r="K160" s="21"/>
      <c r="L160" s="21"/>
      <c r="M160" s="21"/>
      <c r="N160" s="21"/>
      <c r="O160" s="21"/>
      <c r="P160" s="21"/>
      <c r="Q160" s="21"/>
      <c r="R160" s="21"/>
      <c r="S160" s="21"/>
      <c r="T160" s="21"/>
      <c r="U160" s="21"/>
      <c r="V160" s="21"/>
      <c r="W160" s="21"/>
      <c r="X160" s="21"/>
      <c r="Y160" s="21"/>
      <c r="Z160" s="21"/>
      <c r="AA160" s="21"/>
    </row>
    <row r="161">
      <c r="A161" s="6" t="str">
        <f t="array" ref="A161">IF(I161="","",IFERROR(INDEX(CONFIGURACION!H:H,MATCH(I161,CONFIGURACION!J:J,0)),""))
</f>
        <v/>
      </c>
      <c r="B161" s="6" t="str">
        <f t="array" ref="B161">IF(I161="","",IFERROR(INDEX(CONFIGURACION!I:I,MATCH(I161,CONFIGURACION!J:J,0)),""))
</f>
        <v/>
      </c>
      <c r="C161" s="6"/>
      <c r="D161" s="25"/>
      <c r="E161" s="24"/>
      <c r="F161" s="21"/>
      <c r="G161" s="21"/>
      <c r="H161" s="21"/>
      <c r="I161" s="21"/>
      <c r="J161" s="21"/>
      <c r="K161" s="21"/>
      <c r="L161" s="21"/>
      <c r="M161" s="21"/>
      <c r="N161" s="21"/>
      <c r="O161" s="21"/>
      <c r="P161" s="21"/>
      <c r="Q161" s="21"/>
      <c r="R161" s="21"/>
      <c r="S161" s="21"/>
      <c r="T161" s="21"/>
      <c r="U161" s="21"/>
      <c r="V161" s="21"/>
      <c r="W161" s="21"/>
      <c r="X161" s="21"/>
      <c r="Y161" s="21"/>
      <c r="Z161" s="21"/>
      <c r="AA161" s="21"/>
    </row>
    <row r="162">
      <c r="A162" s="6" t="str">
        <f t="array" ref="A162">IF(I162="","",IFERROR(INDEX(CONFIGURACION!H:H,MATCH(I162,CONFIGURACION!J:J,0)),""))
</f>
        <v/>
      </c>
      <c r="B162" s="6" t="str">
        <f t="array" ref="B162">IF(I162="","",IFERROR(INDEX(CONFIGURACION!I:I,MATCH(I162,CONFIGURACION!J:J,0)),""))
</f>
        <v/>
      </c>
      <c r="C162" s="6"/>
      <c r="D162" s="25"/>
      <c r="E162" s="24"/>
      <c r="F162" s="21"/>
      <c r="G162" s="21"/>
      <c r="H162" s="21"/>
      <c r="I162" s="21"/>
      <c r="J162" s="21"/>
      <c r="K162" s="21"/>
      <c r="L162" s="21"/>
      <c r="M162" s="21"/>
      <c r="N162" s="21"/>
      <c r="O162" s="21"/>
      <c r="P162" s="21"/>
      <c r="Q162" s="21"/>
      <c r="R162" s="21"/>
      <c r="S162" s="21"/>
      <c r="T162" s="21"/>
      <c r="U162" s="21"/>
      <c r="V162" s="21"/>
      <c r="W162" s="21"/>
      <c r="X162" s="21"/>
      <c r="Y162" s="21"/>
      <c r="Z162" s="21"/>
      <c r="AA162" s="21"/>
    </row>
    <row r="163">
      <c r="A163" s="6" t="str">
        <f t="array" ref="A163">IF(I163="","",IFERROR(INDEX(CONFIGURACION!H:H,MATCH(I163,CONFIGURACION!J:J,0)),""))
</f>
        <v/>
      </c>
      <c r="B163" s="6" t="str">
        <f t="array" ref="B163">IF(I163="","",IFERROR(INDEX(CONFIGURACION!I:I,MATCH(I163,CONFIGURACION!J:J,0)),""))
</f>
        <v/>
      </c>
      <c r="C163" s="6"/>
      <c r="D163" s="25"/>
      <c r="E163" s="24"/>
      <c r="F163" s="21"/>
      <c r="G163" s="21"/>
      <c r="H163" s="21"/>
      <c r="I163" s="21"/>
      <c r="J163" s="21"/>
      <c r="K163" s="21"/>
      <c r="L163" s="21"/>
      <c r="M163" s="21"/>
      <c r="N163" s="21"/>
      <c r="O163" s="21"/>
      <c r="P163" s="21"/>
      <c r="Q163" s="21"/>
      <c r="R163" s="21"/>
      <c r="S163" s="21"/>
      <c r="T163" s="21"/>
      <c r="U163" s="21"/>
      <c r="V163" s="21"/>
      <c r="W163" s="21"/>
      <c r="X163" s="21"/>
      <c r="Y163" s="21"/>
      <c r="Z163" s="21"/>
      <c r="AA163" s="21"/>
    </row>
    <row r="164">
      <c r="A164" s="6" t="str">
        <f t="array" ref="A164">IF(I164="","",IFERROR(INDEX(CONFIGURACION!H:H,MATCH(I164,CONFIGURACION!J:J,0)),""))
</f>
        <v/>
      </c>
      <c r="B164" s="6" t="str">
        <f t="array" ref="B164">IF(I164="","",IFERROR(INDEX(CONFIGURACION!I:I,MATCH(I164,CONFIGURACION!J:J,0)),""))
</f>
        <v/>
      </c>
      <c r="C164" s="6"/>
      <c r="D164" s="25"/>
      <c r="E164" s="24"/>
      <c r="F164" s="21"/>
      <c r="G164" s="21"/>
      <c r="H164" s="21"/>
      <c r="I164" s="21"/>
      <c r="J164" s="21"/>
      <c r="K164" s="21"/>
      <c r="L164" s="21"/>
      <c r="M164" s="21"/>
      <c r="N164" s="21"/>
      <c r="O164" s="21"/>
      <c r="P164" s="21"/>
      <c r="Q164" s="21"/>
      <c r="R164" s="21"/>
      <c r="S164" s="21"/>
      <c r="T164" s="21"/>
      <c r="U164" s="21"/>
      <c r="V164" s="21"/>
      <c r="W164" s="21"/>
      <c r="X164" s="21"/>
      <c r="Y164" s="21"/>
      <c r="Z164" s="21"/>
      <c r="AA164" s="21"/>
    </row>
    <row r="165">
      <c r="A165" s="6" t="str">
        <f t="array" ref="A165">IF(I165="","",IFERROR(INDEX(CONFIGURACION!H:H,MATCH(I165,CONFIGURACION!J:J,0)),""))
</f>
        <v/>
      </c>
      <c r="B165" s="6" t="str">
        <f t="array" ref="B165">IF(I165="","",IFERROR(INDEX(CONFIGURACION!I:I,MATCH(I165,CONFIGURACION!J:J,0)),""))
</f>
        <v/>
      </c>
      <c r="C165" s="6"/>
      <c r="D165" s="25"/>
      <c r="E165" s="24"/>
      <c r="F165" s="21"/>
      <c r="G165" s="21"/>
      <c r="H165" s="21"/>
      <c r="I165" s="21"/>
      <c r="J165" s="21"/>
      <c r="K165" s="21"/>
      <c r="L165" s="21"/>
      <c r="M165" s="21"/>
      <c r="N165" s="21"/>
      <c r="O165" s="21"/>
      <c r="P165" s="21"/>
      <c r="Q165" s="21"/>
      <c r="R165" s="21"/>
      <c r="S165" s="21"/>
      <c r="T165" s="21"/>
      <c r="U165" s="21"/>
      <c r="V165" s="21"/>
      <c r="W165" s="21"/>
      <c r="X165" s="21"/>
      <c r="Y165" s="21"/>
      <c r="Z165" s="21"/>
      <c r="AA165" s="21"/>
    </row>
    <row r="166">
      <c r="A166" s="6" t="str">
        <f t="array" ref="A166">IF(I166="","",IFERROR(INDEX(CONFIGURACION!H:H,MATCH(I166,CONFIGURACION!J:J,0)),""))
</f>
        <v/>
      </c>
      <c r="B166" s="6" t="str">
        <f t="array" ref="B166">IF(I166="","",IFERROR(INDEX(CONFIGURACION!I:I,MATCH(I166,CONFIGURACION!J:J,0)),""))
</f>
        <v/>
      </c>
      <c r="C166" s="6"/>
      <c r="D166" s="25"/>
      <c r="E166" s="24"/>
      <c r="F166" s="21"/>
      <c r="G166" s="21"/>
      <c r="H166" s="21"/>
      <c r="I166" s="21"/>
      <c r="J166" s="21"/>
      <c r="K166" s="21"/>
      <c r="L166" s="21"/>
      <c r="M166" s="21"/>
      <c r="N166" s="21"/>
      <c r="O166" s="21"/>
      <c r="P166" s="21"/>
      <c r="Q166" s="21"/>
      <c r="R166" s="21"/>
      <c r="S166" s="21"/>
      <c r="T166" s="21"/>
      <c r="U166" s="21"/>
      <c r="V166" s="21"/>
      <c r="W166" s="21"/>
      <c r="X166" s="21"/>
      <c r="Y166" s="21"/>
      <c r="Z166" s="21"/>
      <c r="AA166" s="21"/>
    </row>
    <row r="167">
      <c r="A167" s="6" t="str">
        <f t="array" ref="A167">IF(I167="","",IFERROR(INDEX(CONFIGURACION!H:H,MATCH(I167,CONFIGURACION!J:J,0)),""))
</f>
        <v/>
      </c>
      <c r="B167" s="6" t="str">
        <f t="array" ref="B167">IF(I167="","",IFERROR(INDEX(CONFIGURACION!I:I,MATCH(I167,CONFIGURACION!J:J,0)),""))
</f>
        <v/>
      </c>
      <c r="C167" s="6"/>
      <c r="D167" s="25"/>
      <c r="E167" s="24"/>
      <c r="F167" s="21"/>
      <c r="G167" s="21"/>
      <c r="H167" s="21"/>
      <c r="I167" s="21"/>
      <c r="J167" s="21"/>
      <c r="K167" s="21"/>
      <c r="L167" s="21"/>
      <c r="M167" s="21"/>
      <c r="N167" s="21"/>
      <c r="O167" s="21"/>
      <c r="P167" s="21"/>
      <c r="Q167" s="21"/>
      <c r="R167" s="21"/>
      <c r="S167" s="21"/>
      <c r="T167" s="21"/>
      <c r="U167" s="21"/>
      <c r="V167" s="21"/>
      <c r="W167" s="21"/>
      <c r="X167" s="21"/>
      <c r="Y167" s="21"/>
      <c r="Z167" s="21"/>
      <c r="AA167" s="21"/>
    </row>
    <row r="168">
      <c r="A168" s="6" t="str">
        <f t="array" ref="A168">IF(I168="","",IFERROR(INDEX(CONFIGURACION!H:H,MATCH(I168,CONFIGURACION!J:J,0)),""))
</f>
        <v/>
      </c>
      <c r="B168" s="6" t="str">
        <f t="array" ref="B168">IF(I168="","",IFERROR(INDEX(CONFIGURACION!I:I,MATCH(I168,CONFIGURACION!J:J,0)),""))
</f>
        <v/>
      </c>
      <c r="C168" s="6"/>
      <c r="D168" s="25"/>
      <c r="E168" s="24"/>
      <c r="F168" s="21"/>
      <c r="G168" s="21"/>
      <c r="H168" s="21"/>
      <c r="I168" s="21"/>
      <c r="J168" s="21"/>
      <c r="K168" s="21"/>
      <c r="L168" s="21"/>
      <c r="M168" s="21"/>
      <c r="N168" s="21"/>
      <c r="O168" s="21"/>
      <c r="P168" s="21"/>
      <c r="Q168" s="21"/>
      <c r="R168" s="21"/>
      <c r="S168" s="21"/>
      <c r="T168" s="21"/>
      <c r="U168" s="21"/>
      <c r="V168" s="21"/>
      <c r="W168" s="21"/>
      <c r="X168" s="21"/>
      <c r="Y168" s="21"/>
      <c r="Z168" s="21"/>
      <c r="AA168" s="21"/>
    </row>
    <row r="169">
      <c r="A169" s="6" t="str">
        <f t="array" ref="A169">IF(I169="","",IFERROR(INDEX(CONFIGURACION!H:H,MATCH(I169,CONFIGURACION!J:J,0)),""))
</f>
        <v/>
      </c>
      <c r="B169" s="6" t="str">
        <f t="array" ref="B169">IF(I169="","",IFERROR(INDEX(CONFIGURACION!I:I,MATCH(I169,CONFIGURACION!J:J,0)),""))
</f>
        <v/>
      </c>
      <c r="C169" s="6"/>
      <c r="D169" s="25"/>
      <c r="E169" s="24"/>
      <c r="F169" s="21"/>
      <c r="G169" s="21"/>
      <c r="H169" s="21"/>
      <c r="I169" s="21"/>
      <c r="J169" s="21"/>
      <c r="K169" s="21"/>
      <c r="L169" s="21"/>
      <c r="M169" s="21"/>
      <c r="N169" s="21"/>
      <c r="O169" s="21"/>
      <c r="P169" s="21"/>
      <c r="Q169" s="21"/>
      <c r="R169" s="21"/>
      <c r="S169" s="21"/>
      <c r="T169" s="21"/>
      <c r="U169" s="21"/>
      <c r="V169" s="21"/>
      <c r="W169" s="21"/>
      <c r="X169" s="21"/>
      <c r="Y169" s="21"/>
      <c r="Z169" s="21"/>
      <c r="AA169" s="21"/>
    </row>
    <row r="170">
      <c r="A170" s="6" t="str">
        <f t="array" ref="A170">IF(I170="","",IFERROR(INDEX(CONFIGURACION!H:H,MATCH(I170,CONFIGURACION!J:J,0)),""))
</f>
        <v/>
      </c>
      <c r="B170" s="6" t="str">
        <f t="array" ref="B170">IF(I170="","",IFERROR(INDEX(CONFIGURACION!I:I,MATCH(I170,CONFIGURACION!J:J,0)),""))
</f>
        <v/>
      </c>
      <c r="C170" s="6"/>
      <c r="D170" s="25"/>
      <c r="E170" s="24"/>
      <c r="F170" s="21"/>
      <c r="G170" s="21"/>
      <c r="H170" s="21"/>
      <c r="I170" s="21"/>
      <c r="J170" s="21"/>
      <c r="K170" s="21"/>
      <c r="L170" s="21"/>
      <c r="M170" s="21"/>
      <c r="N170" s="21"/>
      <c r="O170" s="21"/>
      <c r="P170" s="21"/>
      <c r="Q170" s="21"/>
      <c r="R170" s="21"/>
      <c r="S170" s="21"/>
      <c r="T170" s="21"/>
      <c r="U170" s="21"/>
      <c r="V170" s="21"/>
      <c r="W170" s="21"/>
      <c r="X170" s="21"/>
      <c r="Y170" s="21"/>
      <c r="Z170" s="21"/>
      <c r="AA170" s="21"/>
    </row>
    <row r="171">
      <c r="A171" s="6" t="str">
        <f t="array" ref="A171">IF(I171="","",IFERROR(INDEX(CONFIGURACION!H:H,MATCH(I171,CONFIGURACION!J:J,0)),""))
</f>
        <v/>
      </c>
      <c r="B171" s="6" t="str">
        <f t="array" ref="B171">IF(I171="","",IFERROR(INDEX(CONFIGURACION!I:I,MATCH(I171,CONFIGURACION!J:J,0)),""))
</f>
        <v/>
      </c>
      <c r="C171" s="6"/>
      <c r="D171" s="25"/>
      <c r="E171" s="24"/>
      <c r="F171" s="21"/>
      <c r="G171" s="21"/>
      <c r="H171" s="21"/>
      <c r="I171" s="21"/>
      <c r="J171" s="21"/>
      <c r="K171" s="21"/>
      <c r="L171" s="21"/>
      <c r="M171" s="21"/>
      <c r="N171" s="21"/>
      <c r="O171" s="21"/>
      <c r="P171" s="21"/>
      <c r="Q171" s="21"/>
      <c r="R171" s="21"/>
      <c r="S171" s="21"/>
      <c r="T171" s="21"/>
      <c r="U171" s="21"/>
      <c r="V171" s="21"/>
      <c r="W171" s="21"/>
      <c r="X171" s="21"/>
      <c r="Y171" s="21"/>
      <c r="Z171" s="21"/>
      <c r="AA171" s="21"/>
    </row>
    <row r="172">
      <c r="A172" s="6" t="str">
        <f t="array" ref="A172">IF(I172="","",IFERROR(INDEX(CONFIGURACION!H:H,MATCH(I172,CONFIGURACION!J:J,0)),""))
</f>
        <v/>
      </c>
      <c r="B172" s="6" t="str">
        <f t="array" ref="B172">IF(I172="","",IFERROR(INDEX(CONFIGURACION!I:I,MATCH(I172,CONFIGURACION!J:J,0)),""))
</f>
        <v/>
      </c>
      <c r="C172" s="6"/>
      <c r="D172" s="25"/>
      <c r="E172" s="24"/>
      <c r="F172" s="21"/>
      <c r="G172" s="21"/>
      <c r="H172" s="21"/>
      <c r="I172" s="21"/>
      <c r="J172" s="21"/>
      <c r="K172" s="21"/>
      <c r="L172" s="21"/>
      <c r="M172" s="21"/>
      <c r="N172" s="21"/>
      <c r="O172" s="21"/>
      <c r="P172" s="21"/>
      <c r="Q172" s="21"/>
      <c r="R172" s="21"/>
      <c r="S172" s="21"/>
      <c r="T172" s="21"/>
      <c r="U172" s="21"/>
      <c r="V172" s="21"/>
      <c r="W172" s="21"/>
      <c r="X172" s="21"/>
      <c r="Y172" s="21"/>
      <c r="Z172" s="21"/>
      <c r="AA172" s="21"/>
    </row>
    <row r="173">
      <c r="A173" s="6" t="str">
        <f t="array" ref="A173">IF(I173="","",IFERROR(INDEX(CONFIGURACION!H:H,MATCH(I173,CONFIGURACION!J:J,0)),""))
</f>
        <v/>
      </c>
      <c r="B173" s="6" t="str">
        <f t="array" ref="B173">IF(I173="","",IFERROR(INDEX(CONFIGURACION!I:I,MATCH(I173,CONFIGURACION!J:J,0)),""))
</f>
        <v/>
      </c>
      <c r="C173" s="6"/>
      <c r="D173" s="25"/>
      <c r="E173" s="24"/>
      <c r="F173" s="21"/>
      <c r="G173" s="21"/>
      <c r="H173" s="21"/>
      <c r="I173" s="21"/>
      <c r="J173" s="21"/>
      <c r="K173" s="21"/>
      <c r="L173" s="21"/>
      <c r="M173" s="21"/>
      <c r="N173" s="21"/>
      <c r="O173" s="21"/>
      <c r="P173" s="21"/>
      <c r="Q173" s="21"/>
      <c r="R173" s="21"/>
      <c r="S173" s="21"/>
      <c r="T173" s="21"/>
      <c r="U173" s="21"/>
      <c r="V173" s="21"/>
      <c r="W173" s="21"/>
      <c r="X173" s="21"/>
      <c r="Y173" s="21"/>
      <c r="Z173" s="21"/>
      <c r="AA173" s="21"/>
    </row>
    <row r="174">
      <c r="A174" s="6" t="str">
        <f t="array" ref="A174">IF(I174="","",IFERROR(INDEX(CONFIGURACION!H:H,MATCH(I174,CONFIGURACION!J:J,0)),""))
</f>
        <v/>
      </c>
      <c r="B174" s="6" t="str">
        <f t="array" ref="B174">IF(I174="","",IFERROR(INDEX(CONFIGURACION!I:I,MATCH(I174,CONFIGURACION!J:J,0)),""))
</f>
        <v/>
      </c>
      <c r="C174" s="6"/>
      <c r="D174" s="25"/>
      <c r="E174" s="24"/>
      <c r="F174" s="21"/>
      <c r="G174" s="21"/>
      <c r="H174" s="21"/>
      <c r="I174" s="21"/>
      <c r="J174" s="21"/>
      <c r="K174" s="21"/>
      <c r="L174" s="21"/>
      <c r="M174" s="21"/>
      <c r="N174" s="21"/>
      <c r="O174" s="21"/>
      <c r="P174" s="21"/>
      <c r="Q174" s="21"/>
      <c r="R174" s="21"/>
      <c r="S174" s="21"/>
      <c r="T174" s="21"/>
      <c r="U174" s="21"/>
      <c r="V174" s="21"/>
      <c r="W174" s="21"/>
      <c r="X174" s="21"/>
      <c r="Y174" s="21"/>
      <c r="Z174" s="21"/>
      <c r="AA174" s="21"/>
    </row>
    <row r="175">
      <c r="A175" s="6" t="str">
        <f t="array" ref="A175">IF(I175="","",IFERROR(INDEX(CONFIGURACION!H:H,MATCH(I175,CONFIGURACION!J:J,0)),""))
</f>
        <v/>
      </c>
      <c r="B175" s="6" t="str">
        <f t="array" ref="B175">IF(I175="","",IFERROR(INDEX(CONFIGURACION!I:I,MATCH(I175,CONFIGURACION!J:J,0)),""))
</f>
        <v/>
      </c>
      <c r="C175" s="6"/>
      <c r="D175" s="25"/>
      <c r="E175" s="24"/>
      <c r="F175" s="21"/>
      <c r="G175" s="21"/>
      <c r="H175" s="21"/>
      <c r="I175" s="21"/>
      <c r="J175" s="21"/>
      <c r="K175" s="21"/>
      <c r="L175" s="21"/>
      <c r="M175" s="21"/>
      <c r="N175" s="21"/>
      <c r="O175" s="21"/>
      <c r="P175" s="21"/>
      <c r="Q175" s="21"/>
      <c r="R175" s="21"/>
      <c r="S175" s="21"/>
      <c r="T175" s="21"/>
      <c r="U175" s="21"/>
      <c r="V175" s="21"/>
      <c r="W175" s="21"/>
      <c r="X175" s="21"/>
      <c r="Y175" s="21"/>
      <c r="Z175" s="21"/>
      <c r="AA175" s="21"/>
    </row>
    <row r="176">
      <c r="A176" s="6" t="str">
        <f t="array" ref="A176">IF(I176="","",IFERROR(INDEX(CONFIGURACION!H:H,MATCH(I176,CONFIGURACION!J:J,0)),""))
</f>
        <v/>
      </c>
      <c r="B176" s="6" t="str">
        <f t="array" ref="B176">IF(I176="","",IFERROR(INDEX(CONFIGURACION!I:I,MATCH(I176,CONFIGURACION!J:J,0)),""))
</f>
        <v/>
      </c>
      <c r="C176" s="6"/>
      <c r="D176" s="25"/>
      <c r="E176" s="24"/>
      <c r="F176" s="21"/>
      <c r="G176" s="21"/>
      <c r="H176" s="21"/>
      <c r="I176" s="21"/>
      <c r="J176" s="21"/>
      <c r="K176" s="21"/>
      <c r="L176" s="21"/>
      <c r="M176" s="21"/>
      <c r="N176" s="21"/>
      <c r="O176" s="21"/>
      <c r="P176" s="21"/>
      <c r="Q176" s="21"/>
      <c r="R176" s="21"/>
      <c r="S176" s="21"/>
      <c r="T176" s="21"/>
      <c r="U176" s="21"/>
      <c r="V176" s="21"/>
      <c r="W176" s="21"/>
      <c r="X176" s="21"/>
      <c r="Y176" s="21"/>
      <c r="Z176" s="21"/>
      <c r="AA176" s="21"/>
    </row>
    <row r="177">
      <c r="A177" s="6" t="str">
        <f t="array" ref="A177">IF(I177="","",IFERROR(INDEX(CONFIGURACION!H:H,MATCH(I177,CONFIGURACION!J:J,0)),""))
</f>
        <v/>
      </c>
      <c r="B177" s="6" t="str">
        <f t="array" ref="B177">IF(I177="","",IFERROR(INDEX(CONFIGURACION!I:I,MATCH(I177,CONFIGURACION!J:J,0)),""))
</f>
        <v/>
      </c>
      <c r="C177" s="6"/>
      <c r="D177" s="25"/>
      <c r="E177" s="24"/>
      <c r="F177" s="21"/>
      <c r="G177" s="21"/>
      <c r="H177" s="21"/>
      <c r="I177" s="21"/>
      <c r="J177" s="21"/>
      <c r="K177" s="21"/>
      <c r="L177" s="21"/>
      <c r="M177" s="21"/>
      <c r="N177" s="21"/>
      <c r="O177" s="21"/>
      <c r="P177" s="21"/>
      <c r="Q177" s="21"/>
      <c r="R177" s="21"/>
      <c r="S177" s="21"/>
      <c r="T177" s="21"/>
      <c r="U177" s="21"/>
      <c r="V177" s="21"/>
      <c r="W177" s="21"/>
      <c r="X177" s="21"/>
      <c r="Y177" s="21"/>
      <c r="Z177" s="21"/>
      <c r="AA177" s="21"/>
    </row>
    <row r="178">
      <c r="A178" s="6" t="str">
        <f t="array" ref="A178">IF(I178="","",IFERROR(INDEX(CONFIGURACION!H:H,MATCH(I178,CONFIGURACION!J:J,0)),""))
</f>
        <v/>
      </c>
      <c r="B178" s="6" t="str">
        <f t="array" ref="B178">IF(I178="","",IFERROR(INDEX(CONFIGURACION!I:I,MATCH(I178,CONFIGURACION!J:J,0)),""))
</f>
        <v/>
      </c>
      <c r="C178" s="6"/>
      <c r="D178" s="25"/>
      <c r="E178" s="24"/>
      <c r="F178" s="21"/>
      <c r="G178" s="21"/>
      <c r="H178" s="21"/>
      <c r="I178" s="21"/>
      <c r="J178" s="21"/>
      <c r="K178" s="21"/>
      <c r="L178" s="21"/>
      <c r="M178" s="21"/>
      <c r="N178" s="21"/>
      <c r="O178" s="21"/>
      <c r="P178" s="21"/>
      <c r="Q178" s="21"/>
      <c r="R178" s="21"/>
      <c r="S178" s="21"/>
      <c r="T178" s="21"/>
      <c r="U178" s="21"/>
      <c r="V178" s="21"/>
      <c r="W178" s="21"/>
      <c r="X178" s="21"/>
      <c r="Y178" s="21"/>
      <c r="Z178" s="21"/>
      <c r="AA178" s="21"/>
    </row>
    <row r="179">
      <c r="A179" s="6" t="str">
        <f t="array" ref="A179">IF(I179="","",IFERROR(INDEX(CONFIGURACION!H:H,MATCH(I179,CONFIGURACION!J:J,0)),""))
</f>
        <v/>
      </c>
      <c r="B179" s="6" t="str">
        <f t="array" ref="B179">IF(I179="","",IFERROR(INDEX(CONFIGURACION!I:I,MATCH(I179,CONFIGURACION!J:J,0)),""))
</f>
        <v/>
      </c>
      <c r="C179" s="6"/>
      <c r="D179" s="25"/>
      <c r="E179" s="24"/>
      <c r="F179" s="21"/>
      <c r="G179" s="21"/>
      <c r="H179" s="21"/>
      <c r="I179" s="21"/>
      <c r="J179" s="21"/>
      <c r="K179" s="21"/>
      <c r="L179" s="21"/>
      <c r="M179" s="21"/>
      <c r="N179" s="21"/>
      <c r="O179" s="21"/>
      <c r="P179" s="21"/>
      <c r="Q179" s="21"/>
      <c r="R179" s="21"/>
      <c r="S179" s="21"/>
      <c r="T179" s="21"/>
      <c r="U179" s="21"/>
      <c r="V179" s="21"/>
      <c r="W179" s="21"/>
      <c r="X179" s="21"/>
      <c r="Y179" s="21"/>
      <c r="Z179" s="21"/>
      <c r="AA179" s="21"/>
    </row>
    <row r="180">
      <c r="A180" s="6" t="str">
        <f t="array" ref="A180">IF(I180="","",IFERROR(INDEX(CONFIGURACION!H:H,MATCH(I180,CONFIGURACION!J:J,0)),""))
</f>
        <v/>
      </c>
      <c r="B180" s="6" t="str">
        <f t="array" ref="B180">IF(I180="","",IFERROR(INDEX(CONFIGURACION!I:I,MATCH(I180,CONFIGURACION!J:J,0)),""))
</f>
        <v/>
      </c>
      <c r="C180" s="6"/>
      <c r="D180" s="25"/>
      <c r="E180" s="24"/>
      <c r="F180" s="21"/>
      <c r="G180" s="21"/>
      <c r="H180" s="21"/>
      <c r="I180" s="21"/>
      <c r="J180" s="21"/>
      <c r="K180" s="21"/>
      <c r="L180" s="21"/>
      <c r="M180" s="21"/>
      <c r="N180" s="21"/>
      <c r="O180" s="21"/>
      <c r="P180" s="21"/>
      <c r="Q180" s="21"/>
      <c r="R180" s="21"/>
      <c r="S180" s="21"/>
      <c r="T180" s="21"/>
      <c r="U180" s="21"/>
      <c r="V180" s="21"/>
      <c r="W180" s="21"/>
      <c r="X180" s="21"/>
      <c r="Y180" s="21"/>
      <c r="Z180" s="21"/>
      <c r="AA180" s="21"/>
    </row>
    <row r="181">
      <c r="A181" s="6" t="str">
        <f t="array" ref="A181">IF(I181="","",IFERROR(INDEX(CONFIGURACION!H:H,MATCH(I181,CONFIGURACION!J:J,0)),""))
</f>
        <v/>
      </c>
      <c r="B181" s="6" t="str">
        <f t="array" ref="B181">IF(I181="","",IFERROR(INDEX(CONFIGURACION!I:I,MATCH(I181,CONFIGURACION!J:J,0)),""))
</f>
        <v/>
      </c>
      <c r="C181" s="6"/>
      <c r="D181" s="25"/>
      <c r="E181" s="24"/>
      <c r="F181" s="21"/>
      <c r="G181" s="21"/>
      <c r="H181" s="21"/>
      <c r="I181" s="21"/>
      <c r="J181" s="21"/>
      <c r="K181" s="21"/>
      <c r="L181" s="21"/>
      <c r="M181" s="21"/>
      <c r="N181" s="21"/>
      <c r="O181" s="21"/>
      <c r="P181" s="21"/>
      <c r="Q181" s="21"/>
      <c r="R181" s="21"/>
      <c r="S181" s="21"/>
      <c r="T181" s="21"/>
      <c r="U181" s="21"/>
      <c r="V181" s="21"/>
      <c r="W181" s="21"/>
      <c r="X181" s="21"/>
      <c r="Y181" s="21"/>
      <c r="Z181" s="21"/>
      <c r="AA181" s="21"/>
    </row>
    <row r="182">
      <c r="A182" s="6" t="str">
        <f t="array" ref="A182">IF(I182="","",IFERROR(INDEX(CONFIGURACION!H:H,MATCH(I182,CONFIGURACION!J:J,0)),""))
</f>
        <v/>
      </c>
      <c r="B182" s="6" t="str">
        <f t="array" ref="B182">IF(I182="","",IFERROR(INDEX(CONFIGURACION!I:I,MATCH(I182,CONFIGURACION!J:J,0)),""))
</f>
        <v/>
      </c>
      <c r="C182" s="6"/>
      <c r="D182" s="25"/>
      <c r="E182" s="24"/>
      <c r="F182" s="21"/>
      <c r="G182" s="21"/>
      <c r="H182" s="21"/>
      <c r="I182" s="21"/>
      <c r="J182" s="21"/>
      <c r="K182" s="21"/>
      <c r="L182" s="21"/>
      <c r="M182" s="21"/>
      <c r="N182" s="21"/>
      <c r="O182" s="21"/>
      <c r="P182" s="21"/>
      <c r="Q182" s="21"/>
      <c r="R182" s="21"/>
      <c r="S182" s="21"/>
      <c r="T182" s="21"/>
      <c r="U182" s="21"/>
      <c r="V182" s="21"/>
      <c r="W182" s="21"/>
      <c r="X182" s="21"/>
      <c r="Y182" s="21"/>
      <c r="Z182" s="21"/>
      <c r="AA182" s="21"/>
    </row>
    <row r="183">
      <c r="A183" s="6" t="str">
        <f t="array" ref="A183">IF(I183="","",IFERROR(INDEX(CONFIGURACION!H:H,MATCH(I183,CONFIGURACION!J:J,0)),""))
</f>
        <v/>
      </c>
      <c r="B183" s="6" t="str">
        <f t="array" ref="B183">IF(I183="","",IFERROR(INDEX(CONFIGURACION!I:I,MATCH(I183,CONFIGURACION!J:J,0)),""))
</f>
        <v/>
      </c>
      <c r="C183" s="6"/>
      <c r="D183" s="25"/>
      <c r="E183" s="24"/>
      <c r="F183" s="21"/>
      <c r="G183" s="21"/>
      <c r="H183" s="21"/>
      <c r="I183" s="21"/>
      <c r="J183" s="21"/>
      <c r="K183" s="21"/>
      <c r="L183" s="21"/>
      <c r="M183" s="21"/>
      <c r="N183" s="21"/>
      <c r="O183" s="21"/>
      <c r="P183" s="21"/>
      <c r="Q183" s="21"/>
      <c r="R183" s="21"/>
      <c r="S183" s="21"/>
      <c r="T183" s="21"/>
      <c r="U183" s="21"/>
      <c r="V183" s="21"/>
      <c r="W183" s="21"/>
      <c r="X183" s="21"/>
      <c r="Y183" s="21"/>
      <c r="Z183" s="21"/>
      <c r="AA183" s="21"/>
    </row>
    <row r="184">
      <c r="A184" s="6" t="str">
        <f t="array" ref="A184">IF(I184="","",IFERROR(INDEX(CONFIGURACION!H:H,MATCH(I184,CONFIGURACION!J:J,0)),""))
</f>
        <v/>
      </c>
      <c r="B184" s="6" t="str">
        <f t="array" ref="B184">IF(I184="","",IFERROR(INDEX(CONFIGURACION!I:I,MATCH(I184,CONFIGURACION!J:J,0)),""))
</f>
        <v/>
      </c>
      <c r="C184" s="6"/>
      <c r="D184" s="25"/>
      <c r="E184" s="24"/>
      <c r="F184" s="21"/>
      <c r="G184" s="21"/>
      <c r="H184" s="21"/>
      <c r="I184" s="21"/>
      <c r="J184" s="21"/>
      <c r="K184" s="21"/>
      <c r="L184" s="21"/>
      <c r="M184" s="21"/>
      <c r="N184" s="21"/>
      <c r="O184" s="21"/>
      <c r="P184" s="21"/>
      <c r="Q184" s="21"/>
      <c r="R184" s="21"/>
      <c r="S184" s="21"/>
      <c r="T184" s="21"/>
      <c r="U184" s="21"/>
      <c r="V184" s="21"/>
      <c r="W184" s="21"/>
      <c r="X184" s="21"/>
      <c r="Y184" s="21"/>
      <c r="Z184" s="21"/>
      <c r="AA184" s="21"/>
    </row>
    <row r="185">
      <c r="A185" s="6" t="str">
        <f t="array" ref="A185">IF(I185="","",IFERROR(INDEX(CONFIGURACION!H:H,MATCH(I185,CONFIGURACION!J:J,0)),""))
</f>
        <v/>
      </c>
      <c r="B185" s="6" t="str">
        <f t="array" ref="B185">IF(I185="","",IFERROR(INDEX(CONFIGURACION!I:I,MATCH(I185,CONFIGURACION!J:J,0)),""))
</f>
        <v/>
      </c>
      <c r="C185" s="6"/>
      <c r="D185" s="25"/>
      <c r="E185" s="24"/>
      <c r="F185" s="21"/>
      <c r="G185" s="21"/>
      <c r="H185" s="21"/>
      <c r="I185" s="21"/>
      <c r="J185" s="21"/>
      <c r="K185" s="21"/>
      <c r="L185" s="21"/>
      <c r="M185" s="21"/>
      <c r="N185" s="21"/>
      <c r="O185" s="21"/>
      <c r="P185" s="21"/>
      <c r="Q185" s="21"/>
      <c r="R185" s="21"/>
      <c r="S185" s="21"/>
      <c r="T185" s="21"/>
      <c r="U185" s="21"/>
      <c r="V185" s="21"/>
      <c r="W185" s="21"/>
      <c r="X185" s="21"/>
      <c r="Y185" s="21"/>
      <c r="Z185" s="21"/>
      <c r="AA185" s="21"/>
    </row>
    <row r="186">
      <c r="A186" s="6" t="str">
        <f t="array" ref="A186">IF(I186="","",IFERROR(INDEX(CONFIGURACION!H:H,MATCH(I186,CONFIGURACION!J:J,0)),""))
</f>
        <v/>
      </c>
      <c r="B186" s="6" t="str">
        <f t="array" ref="B186">IF(I186="","",IFERROR(INDEX(CONFIGURACION!I:I,MATCH(I186,CONFIGURACION!J:J,0)),""))
</f>
        <v/>
      </c>
      <c r="C186" s="6"/>
      <c r="D186" s="25"/>
      <c r="E186" s="24"/>
      <c r="F186" s="21"/>
      <c r="G186" s="21"/>
      <c r="H186" s="21"/>
      <c r="I186" s="21"/>
      <c r="J186" s="21"/>
      <c r="K186" s="21"/>
      <c r="L186" s="21"/>
      <c r="M186" s="21"/>
      <c r="N186" s="21"/>
      <c r="O186" s="21"/>
      <c r="P186" s="21"/>
      <c r="Q186" s="21"/>
      <c r="R186" s="21"/>
      <c r="S186" s="21"/>
      <c r="T186" s="21"/>
      <c r="U186" s="21"/>
      <c r="V186" s="21"/>
      <c r="W186" s="21"/>
      <c r="X186" s="21"/>
      <c r="Y186" s="21"/>
      <c r="Z186" s="21"/>
      <c r="AA186" s="21"/>
    </row>
    <row r="187">
      <c r="A187" s="6" t="str">
        <f t="array" ref="A187">IF(I187="","",IFERROR(INDEX(CONFIGURACION!H:H,MATCH(I187,CONFIGURACION!J:J,0)),""))
</f>
        <v/>
      </c>
      <c r="B187" s="6" t="str">
        <f t="array" ref="B187">IF(I187="","",IFERROR(INDEX(CONFIGURACION!I:I,MATCH(I187,CONFIGURACION!J:J,0)),""))
</f>
        <v/>
      </c>
      <c r="C187" s="6"/>
      <c r="D187" s="25"/>
      <c r="E187" s="24"/>
      <c r="F187" s="21"/>
      <c r="G187" s="21"/>
      <c r="H187" s="21"/>
      <c r="I187" s="21"/>
      <c r="J187" s="21"/>
      <c r="K187" s="21"/>
      <c r="L187" s="21"/>
      <c r="M187" s="21"/>
      <c r="N187" s="21"/>
      <c r="O187" s="21"/>
      <c r="P187" s="21"/>
      <c r="Q187" s="21"/>
      <c r="R187" s="21"/>
      <c r="S187" s="21"/>
      <c r="T187" s="21"/>
      <c r="U187" s="21"/>
      <c r="V187" s="21"/>
      <c r="W187" s="21"/>
      <c r="X187" s="21"/>
      <c r="Y187" s="21"/>
      <c r="Z187" s="21"/>
      <c r="AA187" s="21"/>
    </row>
    <row r="188">
      <c r="A188" s="6" t="str">
        <f t="array" ref="A188">IF(I188="","",IFERROR(INDEX(CONFIGURACION!H:H,MATCH(I188,CONFIGURACION!J:J,0)),""))
</f>
        <v/>
      </c>
      <c r="B188" s="6" t="str">
        <f t="array" ref="B188">IF(I188="","",IFERROR(INDEX(CONFIGURACION!I:I,MATCH(I188,CONFIGURACION!J:J,0)),""))
</f>
        <v/>
      </c>
      <c r="C188" s="6"/>
      <c r="D188" s="25"/>
      <c r="E188" s="24"/>
      <c r="F188" s="21"/>
      <c r="G188" s="21"/>
      <c r="H188" s="21"/>
      <c r="I188" s="21"/>
      <c r="J188" s="21"/>
      <c r="K188" s="21"/>
      <c r="L188" s="21"/>
      <c r="M188" s="21"/>
      <c r="N188" s="21"/>
      <c r="O188" s="21"/>
      <c r="P188" s="21"/>
      <c r="Q188" s="21"/>
      <c r="R188" s="21"/>
      <c r="S188" s="21"/>
      <c r="T188" s="21"/>
      <c r="U188" s="21"/>
      <c r="V188" s="21"/>
      <c r="W188" s="21"/>
      <c r="X188" s="21"/>
      <c r="Y188" s="21"/>
      <c r="Z188" s="21"/>
      <c r="AA188" s="21"/>
    </row>
    <row r="189">
      <c r="A189" s="6" t="str">
        <f t="array" ref="A189">IF(I189="","",IFERROR(INDEX(CONFIGURACION!H:H,MATCH(I189,CONFIGURACION!J:J,0)),""))
</f>
        <v/>
      </c>
      <c r="B189" s="6" t="str">
        <f t="array" ref="B189">IF(I189="","",IFERROR(INDEX(CONFIGURACION!I:I,MATCH(I189,CONFIGURACION!J:J,0)),""))
</f>
        <v/>
      </c>
      <c r="C189" s="6"/>
      <c r="D189" s="25"/>
      <c r="E189" s="24"/>
      <c r="F189" s="21"/>
      <c r="G189" s="21"/>
      <c r="H189" s="21"/>
      <c r="I189" s="21"/>
      <c r="J189" s="21"/>
      <c r="K189" s="21"/>
      <c r="L189" s="21"/>
      <c r="M189" s="21"/>
      <c r="N189" s="21"/>
      <c r="O189" s="21"/>
      <c r="P189" s="21"/>
      <c r="Q189" s="21"/>
      <c r="R189" s="21"/>
      <c r="S189" s="21"/>
      <c r="T189" s="21"/>
      <c r="U189" s="21"/>
      <c r="V189" s="21"/>
      <c r="W189" s="21"/>
      <c r="X189" s="21"/>
      <c r="Y189" s="21"/>
      <c r="Z189" s="21"/>
      <c r="AA189" s="21"/>
    </row>
    <row r="190">
      <c r="A190" s="6" t="str">
        <f t="array" ref="A190">IF(I190="","",IFERROR(INDEX(CONFIGURACION!H:H,MATCH(I190,CONFIGURACION!J:J,0)),""))
</f>
        <v/>
      </c>
      <c r="B190" s="6" t="str">
        <f t="array" ref="B190">IF(I190="","",IFERROR(INDEX(CONFIGURACION!I:I,MATCH(I190,CONFIGURACION!J:J,0)),""))
</f>
        <v/>
      </c>
      <c r="C190" s="6"/>
      <c r="D190" s="25"/>
      <c r="E190" s="24"/>
      <c r="F190" s="21"/>
      <c r="G190" s="21"/>
      <c r="H190" s="21"/>
      <c r="I190" s="21"/>
      <c r="J190" s="21"/>
      <c r="K190" s="21"/>
      <c r="L190" s="21"/>
      <c r="M190" s="21"/>
      <c r="N190" s="21"/>
      <c r="O190" s="21"/>
      <c r="P190" s="21"/>
      <c r="Q190" s="21"/>
      <c r="R190" s="21"/>
      <c r="S190" s="21"/>
      <c r="T190" s="21"/>
      <c r="U190" s="21"/>
      <c r="V190" s="21"/>
      <c r="W190" s="21"/>
      <c r="X190" s="21"/>
      <c r="Y190" s="21"/>
      <c r="Z190" s="21"/>
      <c r="AA190" s="21"/>
    </row>
    <row r="191">
      <c r="A191" s="6" t="str">
        <f t="array" ref="A191">IF(I191="","",IFERROR(INDEX(CONFIGURACION!H:H,MATCH(I191,CONFIGURACION!J:J,0)),""))
</f>
        <v/>
      </c>
      <c r="B191" s="6" t="str">
        <f t="array" ref="B191">IF(I191="","",IFERROR(INDEX(CONFIGURACION!I:I,MATCH(I191,CONFIGURACION!J:J,0)),""))
</f>
        <v/>
      </c>
      <c r="C191" s="6"/>
      <c r="D191" s="25"/>
      <c r="E191" s="24"/>
      <c r="F191" s="21"/>
      <c r="G191" s="21"/>
      <c r="H191" s="21"/>
      <c r="I191" s="21"/>
      <c r="J191" s="21"/>
      <c r="K191" s="21"/>
      <c r="L191" s="21"/>
      <c r="M191" s="21"/>
      <c r="N191" s="21"/>
      <c r="O191" s="21"/>
      <c r="P191" s="21"/>
      <c r="Q191" s="21"/>
      <c r="R191" s="21"/>
      <c r="S191" s="21"/>
      <c r="T191" s="21"/>
      <c r="U191" s="21"/>
      <c r="V191" s="21"/>
      <c r="W191" s="21"/>
      <c r="X191" s="21"/>
      <c r="Y191" s="21"/>
      <c r="Z191" s="21"/>
      <c r="AA191" s="21"/>
    </row>
    <row r="192">
      <c r="A192" s="6" t="str">
        <f t="array" ref="A192">IF(I192="","",IFERROR(INDEX(CONFIGURACION!H:H,MATCH(I192,CONFIGURACION!J:J,0)),""))
</f>
        <v/>
      </c>
      <c r="B192" s="6" t="str">
        <f t="array" ref="B192">IF(I192="","",IFERROR(INDEX(CONFIGURACION!I:I,MATCH(I192,CONFIGURACION!J:J,0)),""))
</f>
        <v/>
      </c>
      <c r="C192" s="6"/>
      <c r="D192" s="25"/>
      <c r="E192" s="24"/>
      <c r="F192" s="21"/>
      <c r="G192" s="21"/>
      <c r="H192" s="21"/>
      <c r="I192" s="21"/>
      <c r="J192" s="21"/>
      <c r="K192" s="21"/>
      <c r="L192" s="21"/>
      <c r="M192" s="21"/>
      <c r="N192" s="21"/>
      <c r="O192" s="21"/>
      <c r="P192" s="21"/>
      <c r="Q192" s="21"/>
      <c r="R192" s="21"/>
      <c r="S192" s="21"/>
      <c r="T192" s="21"/>
      <c r="U192" s="21"/>
      <c r="V192" s="21"/>
      <c r="W192" s="21"/>
      <c r="X192" s="21"/>
      <c r="Y192" s="21"/>
      <c r="Z192" s="21"/>
      <c r="AA192" s="21"/>
    </row>
    <row r="193">
      <c r="A193" s="6" t="str">
        <f t="array" ref="A193">IF(I193="","",IFERROR(INDEX(CONFIGURACION!H:H,MATCH(I193,CONFIGURACION!J:J,0)),""))
</f>
        <v/>
      </c>
      <c r="B193" s="6" t="str">
        <f t="array" ref="B193">IF(I193="","",IFERROR(INDEX(CONFIGURACION!I:I,MATCH(I193,CONFIGURACION!J:J,0)),""))
</f>
        <v/>
      </c>
      <c r="C193" s="6"/>
      <c r="D193" s="25"/>
      <c r="E193" s="24"/>
      <c r="F193" s="21"/>
      <c r="G193" s="21"/>
      <c r="H193" s="21"/>
      <c r="I193" s="21"/>
      <c r="J193" s="21"/>
      <c r="K193" s="21"/>
      <c r="L193" s="21"/>
      <c r="M193" s="21"/>
      <c r="N193" s="21"/>
      <c r="O193" s="21"/>
      <c r="P193" s="21"/>
      <c r="Q193" s="21"/>
      <c r="R193" s="21"/>
      <c r="S193" s="21"/>
      <c r="T193" s="21"/>
      <c r="U193" s="21"/>
      <c r="V193" s="21"/>
      <c r="W193" s="21"/>
      <c r="X193" s="21"/>
      <c r="Y193" s="21"/>
      <c r="Z193" s="21"/>
      <c r="AA193" s="21"/>
    </row>
    <row r="194">
      <c r="A194" s="6" t="str">
        <f t="array" ref="A194">IF(I194="","",IFERROR(INDEX(CONFIGURACION!H:H,MATCH(I194,CONFIGURACION!J:J,0)),""))
</f>
        <v/>
      </c>
      <c r="B194" s="6" t="str">
        <f t="array" ref="B194">IF(I194="","",IFERROR(INDEX(CONFIGURACION!I:I,MATCH(I194,CONFIGURACION!J:J,0)),""))
</f>
        <v/>
      </c>
      <c r="C194" s="6"/>
      <c r="D194" s="25"/>
      <c r="E194" s="24"/>
      <c r="F194" s="21"/>
      <c r="G194" s="21"/>
      <c r="H194" s="21"/>
      <c r="I194" s="21"/>
      <c r="J194" s="21"/>
      <c r="K194" s="21"/>
      <c r="L194" s="21"/>
      <c r="M194" s="21"/>
      <c r="N194" s="21"/>
      <c r="O194" s="21"/>
      <c r="P194" s="21"/>
      <c r="Q194" s="21"/>
      <c r="R194" s="21"/>
      <c r="S194" s="21"/>
      <c r="T194" s="21"/>
      <c r="U194" s="21"/>
      <c r="V194" s="21"/>
      <c r="W194" s="21"/>
      <c r="X194" s="21"/>
      <c r="Y194" s="21"/>
      <c r="Z194" s="21"/>
      <c r="AA194" s="21"/>
    </row>
    <row r="195">
      <c r="A195" s="6" t="str">
        <f t="array" ref="A195">IF(I195="","",IFERROR(INDEX(CONFIGURACION!H:H,MATCH(I195,CONFIGURACION!J:J,0)),""))
</f>
        <v/>
      </c>
      <c r="B195" s="6" t="str">
        <f t="array" ref="B195">IF(I195="","",IFERROR(INDEX(CONFIGURACION!I:I,MATCH(I195,CONFIGURACION!J:J,0)),""))
</f>
        <v/>
      </c>
      <c r="C195" s="6"/>
      <c r="D195" s="25"/>
      <c r="E195" s="24"/>
      <c r="F195" s="21"/>
      <c r="G195" s="21"/>
      <c r="H195" s="21"/>
      <c r="I195" s="21"/>
      <c r="J195" s="21"/>
      <c r="K195" s="21"/>
      <c r="L195" s="21"/>
      <c r="M195" s="21"/>
      <c r="N195" s="21"/>
      <c r="O195" s="21"/>
      <c r="P195" s="21"/>
      <c r="Q195" s="21"/>
      <c r="R195" s="21"/>
      <c r="S195" s="21"/>
      <c r="T195" s="21"/>
      <c r="U195" s="21"/>
      <c r="V195" s="21"/>
      <c r="W195" s="21"/>
      <c r="X195" s="21"/>
      <c r="Y195" s="21"/>
      <c r="Z195" s="21"/>
      <c r="AA195" s="21"/>
    </row>
    <row r="196">
      <c r="A196" s="6" t="str">
        <f t="array" ref="A196">IF(I196="","",IFERROR(INDEX(CONFIGURACION!H:H,MATCH(I196,CONFIGURACION!J:J,0)),""))
</f>
        <v/>
      </c>
      <c r="B196" s="6" t="str">
        <f t="array" ref="B196">IF(I196="","",IFERROR(INDEX(CONFIGURACION!I:I,MATCH(I196,CONFIGURACION!J:J,0)),""))
</f>
        <v/>
      </c>
      <c r="C196" s="6"/>
      <c r="D196" s="25"/>
      <c r="E196" s="24"/>
      <c r="F196" s="21"/>
      <c r="G196" s="21"/>
      <c r="H196" s="21"/>
      <c r="I196" s="21"/>
      <c r="J196" s="21"/>
      <c r="K196" s="21"/>
      <c r="L196" s="21"/>
      <c r="M196" s="21"/>
      <c r="N196" s="21"/>
      <c r="O196" s="21"/>
      <c r="P196" s="21"/>
      <c r="Q196" s="21"/>
      <c r="R196" s="21"/>
      <c r="S196" s="21"/>
      <c r="T196" s="21"/>
      <c r="U196" s="21"/>
      <c r="V196" s="21"/>
      <c r="W196" s="21"/>
      <c r="X196" s="21"/>
      <c r="Y196" s="21"/>
      <c r="Z196" s="21"/>
      <c r="AA196" s="21"/>
    </row>
    <row r="197">
      <c r="A197" s="6" t="str">
        <f t="array" ref="A197">IF(I197="","",IFERROR(INDEX(CONFIGURACION!H:H,MATCH(I197,CONFIGURACION!J:J,0)),""))
</f>
        <v/>
      </c>
      <c r="B197" s="6" t="str">
        <f t="array" ref="B197">IF(I197="","",IFERROR(INDEX(CONFIGURACION!I:I,MATCH(I197,CONFIGURACION!J:J,0)),""))
</f>
        <v/>
      </c>
      <c r="C197" s="6"/>
      <c r="D197" s="25"/>
      <c r="E197" s="24"/>
      <c r="F197" s="21"/>
      <c r="G197" s="21"/>
      <c r="H197" s="21"/>
      <c r="I197" s="21"/>
      <c r="J197" s="21"/>
      <c r="K197" s="21"/>
      <c r="L197" s="21"/>
      <c r="M197" s="21"/>
      <c r="N197" s="21"/>
      <c r="O197" s="21"/>
      <c r="P197" s="21"/>
      <c r="Q197" s="21"/>
      <c r="R197" s="21"/>
      <c r="S197" s="21"/>
      <c r="T197" s="21"/>
      <c r="U197" s="21"/>
      <c r="V197" s="21"/>
      <c r="W197" s="21"/>
      <c r="X197" s="21"/>
      <c r="Y197" s="21"/>
      <c r="Z197" s="21"/>
      <c r="AA197" s="21"/>
    </row>
    <row r="198">
      <c r="A198" s="6" t="str">
        <f t="array" ref="A198">IF(I198="","",IFERROR(INDEX(CONFIGURACION!H:H,MATCH(I198,CONFIGURACION!J:J,0)),""))
</f>
        <v/>
      </c>
      <c r="B198" s="6" t="str">
        <f t="array" ref="B198">IF(I198="","",IFERROR(INDEX(CONFIGURACION!I:I,MATCH(I198,CONFIGURACION!J:J,0)),""))
</f>
        <v/>
      </c>
      <c r="C198" s="6"/>
      <c r="D198" s="25"/>
      <c r="E198" s="24"/>
      <c r="F198" s="21"/>
      <c r="G198" s="21"/>
      <c r="H198" s="21"/>
      <c r="I198" s="21"/>
      <c r="J198" s="21"/>
      <c r="K198" s="21"/>
      <c r="L198" s="21"/>
      <c r="M198" s="21"/>
      <c r="N198" s="21"/>
      <c r="O198" s="21"/>
      <c r="P198" s="21"/>
      <c r="Q198" s="21"/>
      <c r="R198" s="21"/>
      <c r="S198" s="21"/>
      <c r="T198" s="21"/>
      <c r="U198" s="21"/>
      <c r="V198" s="21"/>
      <c r="W198" s="21"/>
      <c r="X198" s="21"/>
      <c r="Y198" s="21"/>
      <c r="Z198" s="21"/>
      <c r="AA198" s="21"/>
    </row>
    <row r="199">
      <c r="A199" s="6" t="str">
        <f t="array" ref="A199">IF(I199="","",IFERROR(INDEX(CONFIGURACION!H:H,MATCH(I199,CONFIGURACION!J:J,0)),""))
</f>
        <v/>
      </c>
      <c r="B199" s="6" t="str">
        <f t="array" ref="B199">IF(I199="","",IFERROR(INDEX(CONFIGURACION!I:I,MATCH(I199,CONFIGURACION!J:J,0)),""))
</f>
        <v/>
      </c>
      <c r="C199" s="6"/>
      <c r="D199" s="25"/>
      <c r="E199" s="24"/>
      <c r="F199" s="21"/>
      <c r="G199" s="21"/>
      <c r="H199" s="21"/>
      <c r="I199" s="21"/>
      <c r="J199" s="21"/>
      <c r="K199" s="21"/>
      <c r="L199" s="21"/>
      <c r="M199" s="21"/>
      <c r="N199" s="21"/>
      <c r="O199" s="21"/>
      <c r="P199" s="21"/>
      <c r="Q199" s="21"/>
      <c r="R199" s="21"/>
      <c r="S199" s="21"/>
      <c r="T199" s="21"/>
      <c r="U199" s="21"/>
      <c r="V199" s="21"/>
      <c r="W199" s="21"/>
      <c r="X199" s="21"/>
      <c r="Y199" s="21"/>
      <c r="Z199" s="21"/>
      <c r="AA199" s="21"/>
    </row>
    <row r="200">
      <c r="A200" s="6" t="str">
        <f t="array" ref="A200">IF(I200="","",IFERROR(INDEX(CONFIGURACION!H:H,MATCH(I200,CONFIGURACION!J:J,0)),""))
</f>
        <v/>
      </c>
      <c r="B200" s="6" t="str">
        <f t="array" ref="B200">IF(I200="","",IFERROR(INDEX(CONFIGURACION!I:I,MATCH(I200,CONFIGURACION!J:J,0)),""))
</f>
        <v/>
      </c>
      <c r="C200" s="6"/>
      <c r="D200" s="25"/>
      <c r="E200" s="24"/>
      <c r="F200" s="21"/>
      <c r="G200" s="21"/>
      <c r="H200" s="21"/>
      <c r="I200" s="21"/>
      <c r="J200" s="21"/>
      <c r="K200" s="21"/>
      <c r="L200" s="21"/>
      <c r="M200" s="21"/>
      <c r="N200" s="21"/>
      <c r="O200" s="21"/>
      <c r="P200" s="21"/>
      <c r="Q200" s="21"/>
      <c r="R200" s="21"/>
      <c r="S200" s="21"/>
      <c r="T200" s="21"/>
      <c r="U200" s="21"/>
      <c r="V200" s="21"/>
      <c r="W200" s="21"/>
      <c r="X200" s="21"/>
      <c r="Y200" s="21"/>
      <c r="Z200" s="21"/>
      <c r="AA200" s="21"/>
    </row>
    <row r="201">
      <c r="A201" s="6" t="str">
        <f t="array" ref="A201">IF(I201="","",IFERROR(INDEX(CONFIGURACION!H:H,MATCH(I201,CONFIGURACION!J:J,0)),""))
</f>
        <v/>
      </c>
      <c r="B201" s="6" t="str">
        <f t="array" ref="B201">IF(I201="","",IFERROR(INDEX(CONFIGURACION!I:I,MATCH(I201,CONFIGURACION!J:J,0)),""))
</f>
        <v/>
      </c>
      <c r="C201" s="6"/>
      <c r="D201" s="25"/>
      <c r="E201" s="24"/>
      <c r="F201" s="21"/>
      <c r="G201" s="21"/>
      <c r="H201" s="21"/>
      <c r="I201" s="21"/>
      <c r="J201" s="21"/>
      <c r="K201" s="21"/>
      <c r="L201" s="21"/>
      <c r="M201" s="21"/>
      <c r="N201" s="21"/>
      <c r="O201" s="21"/>
      <c r="P201" s="21"/>
      <c r="Q201" s="21"/>
      <c r="R201" s="21"/>
      <c r="S201" s="21"/>
      <c r="T201" s="21"/>
      <c r="U201" s="21"/>
      <c r="V201" s="21"/>
      <c r="W201" s="21"/>
      <c r="X201" s="21"/>
      <c r="Y201" s="21"/>
      <c r="Z201" s="21"/>
      <c r="AA201" s="21"/>
    </row>
    <row r="202">
      <c r="A202" s="6" t="str">
        <f t="array" ref="A202">IF(I202="","",IFERROR(INDEX(CONFIGURACION!H:H,MATCH(I202,CONFIGURACION!J:J,0)),""))
</f>
        <v/>
      </c>
      <c r="B202" s="6" t="str">
        <f t="array" ref="B202">IF(I202="","",IFERROR(INDEX(CONFIGURACION!I:I,MATCH(I202,CONFIGURACION!J:J,0)),""))
</f>
        <v/>
      </c>
      <c r="C202" s="6"/>
      <c r="D202" s="25"/>
      <c r="E202" s="24"/>
      <c r="F202" s="21"/>
      <c r="G202" s="21"/>
      <c r="H202" s="21"/>
      <c r="I202" s="21"/>
      <c r="J202" s="21"/>
      <c r="K202" s="21"/>
      <c r="L202" s="21"/>
      <c r="M202" s="21"/>
      <c r="N202" s="21"/>
      <c r="O202" s="21"/>
      <c r="P202" s="21"/>
      <c r="Q202" s="21"/>
      <c r="R202" s="21"/>
      <c r="S202" s="21"/>
      <c r="T202" s="21"/>
      <c r="U202" s="21"/>
      <c r="V202" s="21"/>
      <c r="W202" s="21"/>
      <c r="X202" s="21"/>
      <c r="Y202" s="21"/>
      <c r="Z202" s="21"/>
      <c r="AA202" s="21"/>
    </row>
    <row r="203">
      <c r="A203" s="6" t="str">
        <f t="array" ref="A203">IF(I203="","",IFERROR(INDEX(CONFIGURACION!H:H,MATCH(I203,CONFIGURACION!J:J,0)),""))
</f>
        <v/>
      </c>
      <c r="B203" s="6" t="str">
        <f t="array" ref="B203">IF(I203="","",IFERROR(INDEX(CONFIGURACION!I:I,MATCH(I203,CONFIGURACION!J:J,0)),""))
</f>
        <v/>
      </c>
      <c r="C203" s="6"/>
      <c r="D203" s="25"/>
      <c r="E203" s="24"/>
      <c r="F203" s="21"/>
      <c r="G203" s="21"/>
      <c r="H203" s="21"/>
      <c r="I203" s="21"/>
      <c r="J203" s="21"/>
      <c r="K203" s="21"/>
      <c r="L203" s="21"/>
      <c r="M203" s="21"/>
      <c r="N203" s="21"/>
      <c r="O203" s="21"/>
      <c r="P203" s="21"/>
      <c r="Q203" s="21"/>
      <c r="R203" s="21"/>
      <c r="S203" s="21"/>
      <c r="T203" s="21"/>
      <c r="U203" s="21"/>
      <c r="V203" s="21"/>
      <c r="W203" s="21"/>
      <c r="X203" s="21"/>
      <c r="Y203" s="21"/>
      <c r="Z203" s="21"/>
      <c r="AA203" s="21"/>
    </row>
    <row r="204">
      <c r="A204" s="6" t="str">
        <f t="array" ref="A204">IF(I204="","",IFERROR(INDEX(CONFIGURACION!H:H,MATCH(I204,CONFIGURACION!J:J,0)),""))
</f>
        <v/>
      </c>
      <c r="B204" s="6" t="str">
        <f t="array" ref="B204">IF(I204="","",IFERROR(INDEX(CONFIGURACION!I:I,MATCH(I204,CONFIGURACION!J:J,0)),""))
</f>
        <v/>
      </c>
      <c r="C204" s="6"/>
      <c r="D204" s="25"/>
      <c r="E204" s="24"/>
      <c r="F204" s="21"/>
      <c r="G204" s="21"/>
      <c r="H204" s="21"/>
      <c r="I204" s="21"/>
      <c r="J204" s="21"/>
      <c r="K204" s="21"/>
      <c r="L204" s="21"/>
      <c r="M204" s="21"/>
      <c r="N204" s="21"/>
      <c r="O204" s="21"/>
      <c r="P204" s="21"/>
      <c r="Q204" s="21"/>
      <c r="R204" s="21"/>
      <c r="S204" s="21"/>
      <c r="T204" s="21"/>
      <c r="U204" s="21"/>
      <c r="V204" s="21"/>
      <c r="W204" s="21"/>
      <c r="X204" s="21"/>
      <c r="Y204" s="21"/>
      <c r="Z204" s="21"/>
      <c r="AA204" s="21"/>
    </row>
    <row r="205">
      <c r="A205" s="6" t="str">
        <f t="array" ref="A205">IF(I205="","",IFERROR(INDEX(CONFIGURACION!H:H,MATCH(I205,CONFIGURACION!J:J,0)),""))
</f>
        <v/>
      </c>
      <c r="B205" s="6" t="str">
        <f t="array" ref="B205">IF(I205="","",IFERROR(INDEX(CONFIGURACION!I:I,MATCH(I205,CONFIGURACION!J:J,0)),""))
</f>
        <v/>
      </c>
      <c r="C205" s="6"/>
      <c r="D205" s="25"/>
      <c r="E205" s="24"/>
      <c r="F205" s="21"/>
      <c r="G205" s="21"/>
      <c r="H205" s="21"/>
      <c r="I205" s="21"/>
      <c r="J205" s="21"/>
      <c r="K205" s="21"/>
      <c r="L205" s="21"/>
      <c r="M205" s="21"/>
      <c r="N205" s="21"/>
      <c r="O205" s="21"/>
      <c r="P205" s="21"/>
      <c r="Q205" s="21"/>
      <c r="R205" s="21"/>
      <c r="S205" s="21"/>
      <c r="T205" s="21"/>
      <c r="U205" s="21"/>
      <c r="V205" s="21"/>
      <c r="W205" s="21"/>
      <c r="X205" s="21"/>
      <c r="Y205" s="21"/>
      <c r="Z205" s="21"/>
      <c r="AA205" s="21"/>
    </row>
    <row r="206">
      <c r="A206" s="6" t="str">
        <f t="array" ref="A206">IF(I206="","",IFERROR(INDEX(CONFIGURACION!H:H,MATCH(I206,CONFIGURACION!J:J,0)),""))
</f>
        <v/>
      </c>
      <c r="B206" s="6" t="str">
        <f t="array" ref="B206">IF(I206="","",IFERROR(INDEX(CONFIGURACION!I:I,MATCH(I206,CONFIGURACION!J:J,0)),""))
</f>
        <v/>
      </c>
      <c r="C206" s="6"/>
      <c r="D206" s="25"/>
      <c r="E206" s="24"/>
      <c r="F206" s="21"/>
      <c r="G206" s="21"/>
      <c r="H206" s="21"/>
      <c r="I206" s="21"/>
      <c r="J206" s="21"/>
      <c r="K206" s="21"/>
      <c r="L206" s="21"/>
      <c r="M206" s="21"/>
      <c r="N206" s="21"/>
      <c r="O206" s="21"/>
      <c r="P206" s="21"/>
      <c r="Q206" s="21"/>
      <c r="R206" s="21"/>
      <c r="S206" s="21"/>
      <c r="T206" s="21"/>
      <c r="U206" s="21"/>
      <c r="V206" s="21"/>
      <c r="W206" s="21"/>
      <c r="X206" s="21"/>
      <c r="Y206" s="21"/>
      <c r="Z206" s="21"/>
      <c r="AA206" s="21"/>
    </row>
    <row r="207">
      <c r="A207" s="6" t="str">
        <f t="array" ref="A207">IF(I207="","",IFERROR(INDEX(CONFIGURACION!H:H,MATCH(I207,CONFIGURACION!J:J,0)),""))
</f>
        <v/>
      </c>
      <c r="B207" s="6" t="str">
        <f t="array" ref="B207">IF(I207="","",IFERROR(INDEX(CONFIGURACION!I:I,MATCH(I207,CONFIGURACION!J:J,0)),""))
</f>
        <v/>
      </c>
      <c r="C207" s="6"/>
      <c r="D207" s="25"/>
      <c r="E207" s="24"/>
      <c r="F207" s="21"/>
      <c r="G207" s="21"/>
      <c r="H207" s="21"/>
      <c r="I207" s="21"/>
      <c r="J207" s="21"/>
      <c r="K207" s="21"/>
      <c r="L207" s="21"/>
      <c r="M207" s="21"/>
      <c r="N207" s="21"/>
      <c r="O207" s="21"/>
      <c r="P207" s="21"/>
      <c r="Q207" s="21"/>
      <c r="R207" s="21"/>
      <c r="S207" s="21"/>
      <c r="T207" s="21"/>
      <c r="U207" s="21"/>
      <c r="V207" s="21"/>
      <c r="W207" s="21"/>
      <c r="X207" s="21"/>
      <c r="Y207" s="21"/>
      <c r="Z207" s="21"/>
      <c r="AA207" s="21"/>
    </row>
    <row r="208">
      <c r="A208" s="6" t="str">
        <f t="array" ref="A208">IF(I208="","",IFERROR(INDEX(CONFIGURACION!H:H,MATCH(I208,CONFIGURACION!J:J,0)),""))
</f>
        <v/>
      </c>
      <c r="B208" s="6" t="str">
        <f t="array" ref="B208">IF(I208="","",IFERROR(INDEX(CONFIGURACION!I:I,MATCH(I208,CONFIGURACION!J:J,0)),""))
</f>
        <v/>
      </c>
      <c r="C208" s="6"/>
      <c r="D208" s="25"/>
      <c r="E208" s="24"/>
      <c r="F208" s="21"/>
      <c r="G208" s="21"/>
      <c r="H208" s="21"/>
      <c r="I208" s="21"/>
      <c r="J208" s="21"/>
      <c r="K208" s="21"/>
      <c r="L208" s="21"/>
      <c r="M208" s="21"/>
      <c r="N208" s="21"/>
      <c r="O208" s="21"/>
      <c r="P208" s="21"/>
      <c r="Q208" s="21"/>
      <c r="R208" s="21"/>
      <c r="S208" s="21"/>
      <c r="T208" s="21"/>
      <c r="U208" s="21"/>
      <c r="V208" s="21"/>
      <c r="W208" s="21"/>
      <c r="X208" s="21"/>
      <c r="Y208" s="21"/>
      <c r="Z208" s="21"/>
      <c r="AA208" s="21"/>
    </row>
    <row r="209">
      <c r="A209" s="6" t="str">
        <f t="array" ref="A209">IF(I209="","",IFERROR(INDEX(CONFIGURACION!H:H,MATCH(I209,CONFIGURACION!J:J,0)),""))
</f>
        <v/>
      </c>
      <c r="B209" s="6" t="str">
        <f t="array" ref="B209">IF(I209="","",IFERROR(INDEX(CONFIGURACION!I:I,MATCH(I209,CONFIGURACION!J:J,0)),""))
</f>
        <v/>
      </c>
      <c r="C209" s="6"/>
      <c r="D209" s="25"/>
      <c r="E209" s="24"/>
      <c r="F209" s="21"/>
      <c r="G209" s="21"/>
      <c r="H209" s="21"/>
      <c r="I209" s="21"/>
      <c r="J209" s="21"/>
      <c r="K209" s="21"/>
      <c r="L209" s="21"/>
      <c r="M209" s="21"/>
      <c r="N209" s="21"/>
      <c r="O209" s="21"/>
      <c r="P209" s="21"/>
      <c r="Q209" s="21"/>
      <c r="R209" s="21"/>
      <c r="S209" s="21"/>
      <c r="T209" s="21"/>
      <c r="U209" s="21"/>
      <c r="V209" s="21"/>
      <c r="W209" s="21"/>
      <c r="X209" s="21"/>
      <c r="Y209" s="21"/>
      <c r="Z209" s="21"/>
      <c r="AA209" s="21"/>
    </row>
    <row r="210">
      <c r="A210" s="6" t="str">
        <f t="array" ref="A210">IF(I210="","",IFERROR(INDEX(CONFIGURACION!H:H,MATCH(I210,CONFIGURACION!J:J,0)),""))
</f>
        <v/>
      </c>
      <c r="B210" s="6" t="str">
        <f t="array" ref="B210">IF(I210="","",IFERROR(INDEX(CONFIGURACION!I:I,MATCH(I210,CONFIGURACION!J:J,0)),""))
</f>
        <v/>
      </c>
      <c r="C210" s="6"/>
      <c r="D210" s="25"/>
      <c r="E210" s="24"/>
      <c r="F210" s="21"/>
      <c r="G210" s="21"/>
      <c r="H210" s="21"/>
      <c r="I210" s="21"/>
      <c r="J210" s="21"/>
      <c r="K210" s="21"/>
      <c r="L210" s="21"/>
      <c r="M210" s="21"/>
      <c r="N210" s="21"/>
      <c r="O210" s="21"/>
      <c r="P210" s="21"/>
      <c r="Q210" s="21"/>
      <c r="R210" s="21"/>
      <c r="S210" s="21"/>
      <c r="T210" s="21"/>
      <c r="U210" s="21"/>
      <c r="V210" s="21"/>
      <c r="W210" s="21"/>
      <c r="X210" s="21"/>
      <c r="Y210" s="21"/>
      <c r="Z210" s="21"/>
      <c r="AA210" s="21"/>
    </row>
    <row r="211">
      <c r="A211" s="6" t="str">
        <f t="array" ref="A211">IF(I211="","",IFERROR(INDEX(CONFIGURACION!H:H,MATCH(I211,CONFIGURACION!J:J,0)),""))
</f>
        <v/>
      </c>
      <c r="B211" s="6" t="str">
        <f t="array" ref="B211">IF(I211="","",IFERROR(INDEX(CONFIGURACION!I:I,MATCH(I211,CONFIGURACION!J:J,0)),""))
</f>
        <v/>
      </c>
      <c r="C211" s="6"/>
      <c r="D211" s="25"/>
      <c r="E211" s="24"/>
      <c r="F211" s="21"/>
      <c r="G211" s="21"/>
      <c r="H211" s="21"/>
      <c r="I211" s="21"/>
      <c r="J211" s="21"/>
      <c r="K211" s="21"/>
      <c r="L211" s="21"/>
      <c r="M211" s="21"/>
      <c r="N211" s="21"/>
      <c r="O211" s="21"/>
      <c r="P211" s="21"/>
      <c r="Q211" s="21"/>
      <c r="R211" s="21"/>
      <c r="S211" s="21"/>
      <c r="T211" s="21"/>
      <c r="U211" s="21"/>
      <c r="V211" s="21"/>
      <c r="W211" s="21"/>
      <c r="X211" s="21"/>
      <c r="Y211" s="21"/>
      <c r="Z211" s="21"/>
      <c r="AA211" s="21"/>
    </row>
    <row r="212">
      <c r="A212" s="6" t="str">
        <f t="array" ref="A212">IF(I212="","",IFERROR(INDEX(CONFIGURACION!H:H,MATCH(I212,CONFIGURACION!J:J,0)),""))
</f>
        <v/>
      </c>
      <c r="B212" s="6" t="str">
        <f t="array" ref="B212">IF(I212="","",IFERROR(INDEX(CONFIGURACION!I:I,MATCH(I212,CONFIGURACION!J:J,0)),""))
</f>
        <v/>
      </c>
      <c r="C212" s="6"/>
      <c r="D212" s="25"/>
      <c r="E212" s="24"/>
      <c r="F212" s="21"/>
      <c r="G212" s="21"/>
      <c r="H212" s="21"/>
      <c r="I212" s="21"/>
      <c r="J212" s="21"/>
      <c r="K212" s="21"/>
      <c r="L212" s="21"/>
      <c r="M212" s="21"/>
      <c r="N212" s="21"/>
      <c r="O212" s="21"/>
      <c r="P212" s="21"/>
      <c r="Q212" s="21"/>
      <c r="R212" s="21"/>
      <c r="S212" s="21"/>
      <c r="T212" s="21"/>
      <c r="U212" s="21"/>
      <c r="V212" s="21"/>
      <c r="W212" s="21"/>
      <c r="X212" s="21"/>
      <c r="Y212" s="21"/>
      <c r="Z212" s="21"/>
      <c r="AA212" s="21"/>
    </row>
    <row r="213">
      <c r="A213" s="6" t="str">
        <f t="array" ref="A213">IF(I213="","",IFERROR(INDEX(CONFIGURACION!H:H,MATCH(I213,CONFIGURACION!J:J,0)),""))
</f>
        <v/>
      </c>
      <c r="B213" s="6" t="str">
        <f t="array" ref="B213">IF(I213="","",IFERROR(INDEX(CONFIGURACION!I:I,MATCH(I213,CONFIGURACION!J:J,0)),""))
</f>
        <v/>
      </c>
      <c r="C213" s="6"/>
      <c r="D213" s="25"/>
      <c r="E213" s="24"/>
      <c r="F213" s="21"/>
      <c r="G213" s="21"/>
      <c r="H213" s="21"/>
      <c r="I213" s="21"/>
      <c r="J213" s="21"/>
      <c r="K213" s="21"/>
      <c r="L213" s="21"/>
      <c r="M213" s="21"/>
      <c r="N213" s="21"/>
      <c r="O213" s="21"/>
      <c r="P213" s="21"/>
      <c r="Q213" s="21"/>
      <c r="R213" s="21"/>
      <c r="S213" s="21"/>
      <c r="T213" s="21"/>
      <c r="U213" s="21"/>
      <c r="V213" s="21"/>
      <c r="W213" s="21"/>
      <c r="X213" s="21"/>
      <c r="Y213" s="21"/>
      <c r="Z213" s="21"/>
      <c r="AA213" s="21"/>
    </row>
    <row r="214">
      <c r="A214" s="6" t="str">
        <f t="array" ref="A214">IF(I214="","",IFERROR(INDEX(CONFIGURACION!H:H,MATCH(I214,CONFIGURACION!J:J,0)),""))
</f>
        <v/>
      </c>
      <c r="B214" s="6" t="str">
        <f t="array" ref="B214">IF(I214="","",IFERROR(INDEX(CONFIGURACION!I:I,MATCH(I214,CONFIGURACION!J:J,0)),""))
</f>
        <v/>
      </c>
      <c r="C214" s="6"/>
      <c r="D214" s="25"/>
      <c r="E214" s="24"/>
      <c r="F214" s="21"/>
      <c r="G214" s="21"/>
      <c r="H214" s="21"/>
      <c r="I214" s="21"/>
      <c r="J214" s="21"/>
      <c r="K214" s="21"/>
      <c r="L214" s="21"/>
      <c r="M214" s="21"/>
      <c r="N214" s="21"/>
      <c r="O214" s="21"/>
      <c r="P214" s="21"/>
      <c r="Q214" s="21"/>
      <c r="R214" s="21"/>
      <c r="S214" s="21"/>
      <c r="T214" s="21"/>
      <c r="U214" s="21"/>
      <c r="V214" s="21"/>
      <c r="W214" s="21"/>
      <c r="X214" s="21"/>
      <c r="Y214" s="21"/>
      <c r="Z214" s="21"/>
      <c r="AA214" s="21"/>
    </row>
    <row r="215">
      <c r="A215" s="6" t="str">
        <f t="array" ref="A215">IF(I215="","",IFERROR(INDEX(CONFIGURACION!H:H,MATCH(I215,CONFIGURACION!J:J,0)),""))
</f>
        <v/>
      </c>
      <c r="B215" s="6" t="str">
        <f t="array" ref="B215">IF(I215="","",IFERROR(INDEX(CONFIGURACION!I:I,MATCH(I215,CONFIGURACION!J:J,0)),""))
</f>
        <v/>
      </c>
      <c r="C215" s="6"/>
      <c r="D215" s="25"/>
      <c r="E215" s="24"/>
      <c r="F215" s="21"/>
      <c r="G215" s="21"/>
      <c r="H215" s="21"/>
      <c r="I215" s="21"/>
      <c r="J215" s="21"/>
      <c r="K215" s="21"/>
      <c r="L215" s="21"/>
      <c r="M215" s="21"/>
      <c r="N215" s="21"/>
      <c r="O215" s="21"/>
      <c r="P215" s="21"/>
      <c r="Q215" s="21"/>
      <c r="R215" s="21"/>
      <c r="S215" s="21"/>
      <c r="T215" s="21"/>
      <c r="U215" s="21"/>
      <c r="V215" s="21"/>
      <c r="W215" s="21"/>
      <c r="X215" s="21"/>
      <c r="Y215" s="21"/>
      <c r="Z215" s="21"/>
      <c r="AA215" s="21"/>
    </row>
    <row r="216">
      <c r="A216" s="6" t="str">
        <f t="array" ref="A216">IF(I216="","",IFERROR(INDEX(CONFIGURACION!H:H,MATCH(I216,CONFIGURACION!J:J,0)),""))
</f>
        <v/>
      </c>
      <c r="B216" s="6" t="str">
        <f t="array" ref="B216">IF(I216="","",IFERROR(INDEX(CONFIGURACION!I:I,MATCH(I216,CONFIGURACION!J:J,0)),""))
</f>
        <v/>
      </c>
      <c r="C216" s="6"/>
      <c r="D216" s="25"/>
      <c r="E216" s="24"/>
      <c r="F216" s="21"/>
      <c r="G216" s="21"/>
      <c r="H216" s="21"/>
      <c r="I216" s="21"/>
      <c r="J216" s="21"/>
      <c r="K216" s="21"/>
      <c r="L216" s="21"/>
      <c r="M216" s="21"/>
      <c r="N216" s="21"/>
      <c r="O216" s="21"/>
      <c r="P216" s="21"/>
      <c r="Q216" s="21"/>
      <c r="R216" s="21"/>
      <c r="S216" s="21"/>
      <c r="T216" s="21"/>
      <c r="U216" s="21"/>
      <c r="V216" s="21"/>
      <c r="W216" s="21"/>
      <c r="X216" s="21"/>
      <c r="Y216" s="21"/>
      <c r="Z216" s="21"/>
      <c r="AA216" s="21"/>
    </row>
    <row r="217">
      <c r="A217" s="6" t="str">
        <f t="array" ref="A217">IF(I217="","",IFERROR(INDEX(CONFIGURACION!H:H,MATCH(I217,CONFIGURACION!J:J,0)),""))
</f>
        <v/>
      </c>
      <c r="B217" s="6" t="str">
        <f t="array" ref="B217">IF(I217="","",IFERROR(INDEX(CONFIGURACION!I:I,MATCH(I217,CONFIGURACION!J:J,0)),""))
</f>
        <v/>
      </c>
      <c r="C217" s="6"/>
      <c r="D217" s="25"/>
      <c r="E217" s="24"/>
      <c r="F217" s="21"/>
      <c r="G217" s="21"/>
      <c r="H217" s="21"/>
      <c r="I217" s="21"/>
      <c r="J217" s="21"/>
      <c r="K217" s="21"/>
      <c r="L217" s="21"/>
      <c r="M217" s="21"/>
      <c r="N217" s="21"/>
      <c r="O217" s="21"/>
      <c r="P217" s="21"/>
      <c r="Q217" s="21"/>
      <c r="R217" s="21"/>
      <c r="S217" s="21"/>
      <c r="T217" s="21"/>
      <c r="U217" s="21"/>
      <c r="V217" s="21"/>
      <c r="W217" s="21"/>
      <c r="X217" s="21"/>
      <c r="Y217" s="21"/>
      <c r="Z217" s="21"/>
      <c r="AA217" s="21"/>
    </row>
    <row r="218">
      <c r="A218" s="6" t="str">
        <f t="array" ref="A218">IF(I218="","",IFERROR(INDEX(CONFIGURACION!H:H,MATCH(I218,CONFIGURACION!J:J,0)),""))
</f>
        <v/>
      </c>
      <c r="B218" s="6" t="str">
        <f t="array" ref="B218">IF(I218="","",IFERROR(INDEX(CONFIGURACION!I:I,MATCH(I218,CONFIGURACION!J:J,0)),""))
</f>
        <v/>
      </c>
      <c r="C218" s="6"/>
      <c r="D218" s="25"/>
      <c r="E218" s="24"/>
      <c r="F218" s="21"/>
      <c r="G218" s="21"/>
      <c r="H218" s="21"/>
      <c r="I218" s="21"/>
      <c r="J218" s="21"/>
      <c r="K218" s="21"/>
      <c r="L218" s="21"/>
      <c r="M218" s="21"/>
      <c r="N218" s="21"/>
      <c r="O218" s="21"/>
      <c r="P218" s="21"/>
      <c r="Q218" s="21"/>
      <c r="R218" s="21"/>
      <c r="S218" s="21"/>
      <c r="T218" s="21"/>
      <c r="U218" s="21"/>
      <c r="V218" s="21"/>
      <c r="W218" s="21"/>
      <c r="X218" s="21"/>
      <c r="Y218" s="21"/>
      <c r="Z218" s="21"/>
      <c r="AA218" s="21"/>
    </row>
    <row r="219">
      <c r="A219" s="6" t="str">
        <f t="array" ref="A219">IF(I219="","",IFERROR(INDEX(CONFIGURACION!H:H,MATCH(I219,CONFIGURACION!J:J,0)),""))
</f>
        <v/>
      </c>
      <c r="B219" s="6" t="str">
        <f t="array" ref="B219">IF(I219="","",IFERROR(INDEX(CONFIGURACION!I:I,MATCH(I219,CONFIGURACION!J:J,0)),""))
</f>
        <v/>
      </c>
      <c r="C219" s="6"/>
      <c r="D219" s="25"/>
      <c r="E219" s="24"/>
      <c r="F219" s="21"/>
      <c r="G219" s="21"/>
      <c r="H219" s="21"/>
      <c r="I219" s="21"/>
      <c r="J219" s="21"/>
      <c r="K219" s="21"/>
      <c r="L219" s="21"/>
      <c r="M219" s="21"/>
      <c r="N219" s="21"/>
      <c r="O219" s="21"/>
      <c r="P219" s="21"/>
      <c r="Q219" s="21"/>
      <c r="R219" s="21"/>
      <c r="S219" s="21"/>
      <c r="T219" s="21"/>
      <c r="U219" s="21"/>
      <c r="V219" s="21"/>
      <c r="W219" s="21"/>
      <c r="X219" s="21"/>
      <c r="Y219" s="21"/>
      <c r="Z219" s="21"/>
      <c r="AA219" s="21"/>
    </row>
    <row r="220">
      <c r="A220" s="6" t="str">
        <f t="array" ref="A220">IF(I220="","",IFERROR(INDEX(CONFIGURACION!H:H,MATCH(I220,CONFIGURACION!J:J,0)),""))
</f>
        <v/>
      </c>
      <c r="B220" s="6" t="str">
        <f t="array" ref="B220">IF(I220="","",IFERROR(INDEX(CONFIGURACION!I:I,MATCH(I220,CONFIGURACION!J:J,0)),""))
</f>
        <v/>
      </c>
      <c r="C220" s="6"/>
      <c r="D220" s="25"/>
      <c r="E220" s="24"/>
      <c r="F220" s="21"/>
      <c r="G220" s="21"/>
      <c r="H220" s="21"/>
      <c r="I220" s="21"/>
      <c r="J220" s="21"/>
      <c r="K220" s="21"/>
      <c r="L220" s="21"/>
      <c r="M220" s="21"/>
      <c r="N220" s="21"/>
      <c r="O220" s="21"/>
      <c r="P220" s="21"/>
      <c r="Q220" s="21"/>
      <c r="R220" s="21"/>
      <c r="S220" s="21"/>
      <c r="T220" s="21"/>
      <c r="U220" s="21"/>
      <c r="V220" s="21"/>
      <c r="W220" s="21"/>
      <c r="X220" s="21"/>
      <c r="Y220" s="21"/>
      <c r="Z220" s="21"/>
      <c r="AA220" s="21"/>
    </row>
    <row r="221">
      <c r="A221" s="6" t="str">
        <f t="array" ref="A221">IF(I221="","",IFERROR(INDEX(CONFIGURACION!H:H,MATCH(I221,CONFIGURACION!J:J,0)),""))
</f>
        <v/>
      </c>
      <c r="B221" s="6" t="str">
        <f t="array" ref="B221">IF(I221="","",IFERROR(INDEX(CONFIGURACION!I:I,MATCH(I221,CONFIGURACION!J:J,0)),""))
</f>
        <v/>
      </c>
      <c r="C221" s="6"/>
      <c r="D221" s="25"/>
      <c r="E221" s="24"/>
      <c r="F221" s="21"/>
      <c r="G221" s="21"/>
      <c r="H221" s="21"/>
      <c r="I221" s="21"/>
      <c r="J221" s="21"/>
      <c r="K221" s="21"/>
      <c r="L221" s="21"/>
      <c r="M221" s="21"/>
      <c r="N221" s="21"/>
      <c r="O221" s="21"/>
      <c r="P221" s="21"/>
      <c r="Q221" s="21"/>
      <c r="R221" s="21"/>
      <c r="S221" s="21"/>
      <c r="T221" s="21"/>
      <c r="U221" s="21"/>
      <c r="V221" s="21"/>
      <c r="W221" s="21"/>
      <c r="X221" s="21"/>
      <c r="Y221" s="21"/>
      <c r="Z221" s="21"/>
      <c r="AA221" s="21"/>
    </row>
    <row r="222">
      <c r="A222" s="6" t="str">
        <f t="array" ref="A222">IF(I222="","",IFERROR(INDEX(CONFIGURACION!H:H,MATCH(I222,CONFIGURACION!J:J,0)),""))
</f>
        <v/>
      </c>
      <c r="B222" s="6" t="str">
        <f t="array" ref="B222">IF(I222="","",IFERROR(INDEX(CONFIGURACION!I:I,MATCH(I222,CONFIGURACION!J:J,0)),""))
</f>
        <v/>
      </c>
      <c r="C222" s="6"/>
      <c r="D222" s="25"/>
      <c r="E222" s="24"/>
      <c r="F222" s="21"/>
      <c r="G222" s="21"/>
      <c r="H222" s="21"/>
      <c r="I222" s="21"/>
      <c r="J222" s="21"/>
      <c r="K222" s="21"/>
      <c r="L222" s="21"/>
      <c r="M222" s="21"/>
      <c r="N222" s="21"/>
      <c r="O222" s="21"/>
      <c r="P222" s="21"/>
      <c r="Q222" s="21"/>
      <c r="R222" s="21"/>
      <c r="S222" s="21"/>
      <c r="T222" s="21"/>
      <c r="U222" s="21"/>
      <c r="V222" s="21"/>
      <c r="W222" s="21"/>
      <c r="X222" s="21"/>
      <c r="Y222" s="21"/>
      <c r="Z222" s="21"/>
      <c r="AA222" s="21"/>
    </row>
    <row r="223">
      <c r="A223" s="6" t="str">
        <f t="array" ref="A223">IF(I223="","",IFERROR(INDEX(CONFIGURACION!H:H,MATCH(I223,CONFIGURACION!J:J,0)),""))
</f>
        <v/>
      </c>
      <c r="B223" s="6" t="str">
        <f t="array" ref="B223">IF(I223="","",IFERROR(INDEX(CONFIGURACION!I:I,MATCH(I223,CONFIGURACION!J:J,0)),""))
</f>
        <v/>
      </c>
      <c r="C223" s="6"/>
      <c r="D223" s="25"/>
      <c r="E223" s="24"/>
      <c r="F223" s="21"/>
      <c r="G223" s="21"/>
      <c r="H223" s="21"/>
      <c r="I223" s="21"/>
      <c r="J223" s="21"/>
      <c r="K223" s="21"/>
      <c r="L223" s="21"/>
      <c r="M223" s="21"/>
      <c r="N223" s="21"/>
      <c r="O223" s="21"/>
      <c r="P223" s="21"/>
      <c r="Q223" s="21"/>
      <c r="R223" s="21"/>
      <c r="S223" s="21"/>
      <c r="T223" s="21"/>
      <c r="U223" s="21"/>
      <c r="V223" s="21"/>
      <c r="W223" s="21"/>
      <c r="X223" s="21"/>
      <c r="Y223" s="21"/>
      <c r="Z223" s="21"/>
      <c r="AA223" s="21"/>
    </row>
    <row r="224">
      <c r="A224" s="6" t="str">
        <f t="array" ref="A224">IF(I224="","",IFERROR(INDEX(CONFIGURACION!H:H,MATCH(I224,CONFIGURACION!J:J,0)),""))
</f>
        <v/>
      </c>
      <c r="B224" s="6" t="str">
        <f t="array" ref="B224">IF(I224="","",IFERROR(INDEX(CONFIGURACION!I:I,MATCH(I224,CONFIGURACION!J:J,0)),""))
</f>
        <v/>
      </c>
      <c r="C224" s="6"/>
      <c r="D224" s="25"/>
      <c r="E224" s="24"/>
      <c r="F224" s="21"/>
      <c r="G224" s="21"/>
      <c r="H224" s="21"/>
      <c r="I224" s="21"/>
      <c r="J224" s="21"/>
      <c r="K224" s="21"/>
      <c r="L224" s="21"/>
      <c r="M224" s="21"/>
      <c r="N224" s="21"/>
      <c r="O224" s="21"/>
      <c r="P224" s="21"/>
      <c r="Q224" s="21"/>
      <c r="R224" s="21"/>
      <c r="S224" s="21"/>
      <c r="T224" s="21"/>
      <c r="U224" s="21"/>
      <c r="V224" s="21"/>
      <c r="W224" s="21"/>
      <c r="X224" s="21"/>
      <c r="Y224" s="21"/>
      <c r="Z224" s="21"/>
      <c r="AA224" s="21"/>
    </row>
    <row r="225">
      <c r="A225" s="6" t="str">
        <f t="array" ref="A225">IF(I225="","",IFERROR(INDEX(CONFIGURACION!H:H,MATCH(I225,CONFIGURACION!J:J,0)),""))
</f>
        <v/>
      </c>
      <c r="B225" s="6" t="str">
        <f t="array" ref="B225">IF(I225="","",IFERROR(INDEX(CONFIGURACION!I:I,MATCH(I225,CONFIGURACION!J:J,0)),""))
</f>
        <v/>
      </c>
      <c r="C225" s="6"/>
      <c r="D225" s="25"/>
      <c r="E225" s="24"/>
      <c r="F225" s="21"/>
      <c r="G225" s="21"/>
      <c r="H225" s="21"/>
      <c r="I225" s="21"/>
      <c r="J225" s="21"/>
      <c r="K225" s="21"/>
      <c r="L225" s="21"/>
      <c r="M225" s="21"/>
      <c r="N225" s="21"/>
      <c r="O225" s="21"/>
      <c r="P225" s="21"/>
      <c r="Q225" s="21"/>
      <c r="R225" s="21"/>
      <c r="S225" s="21"/>
      <c r="T225" s="21"/>
      <c r="U225" s="21"/>
      <c r="V225" s="21"/>
      <c r="W225" s="21"/>
      <c r="X225" s="21"/>
      <c r="Y225" s="21"/>
      <c r="Z225" s="21"/>
      <c r="AA225" s="21"/>
    </row>
    <row r="226">
      <c r="A226" s="6" t="str">
        <f t="array" ref="A226">IF(I226="","",IFERROR(INDEX(CONFIGURACION!H:H,MATCH(I226,CONFIGURACION!J:J,0)),""))
</f>
        <v/>
      </c>
      <c r="B226" s="6" t="str">
        <f t="array" ref="B226">IF(I226="","",IFERROR(INDEX(CONFIGURACION!I:I,MATCH(I226,CONFIGURACION!J:J,0)),""))
</f>
        <v/>
      </c>
      <c r="C226" s="6"/>
      <c r="D226" s="25"/>
      <c r="E226" s="24"/>
      <c r="F226" s="21"/>
      <c r="G226" s="21"/>
      <c r="H226" s="21"/>
      <c r="I226" s="21"/>
      <c r="J226" s="21"/>
      <c r="K226" s="21"/>
      <c r="L226" s="21"/>
      <c r="M226" s="21"/>
      <c r="N226" s="21"/>
      <c r="O226" s="21"/>
      <c r="P226" s="21"/>
      <c r="Q226" s="21"/>
      <c r="R226" s="21"/>
      <c r="S226" s="21"/>
      <c r="T226" s="21"/>
      <c r="U226" s="21"/>
      <c r="V226" s="21"/>
      <c r="W226" s="21"/>
      <c r="X226" s="21"/>
      <c r="Y226" s="21"/>
      <c r="Z226" s="21"/>
      <c r="AA226" s="21"/>
    </row>
    <row r="227">
      <c r="A227" s="6" t="str">
        <f t="array" ref="A227">IF(I227="","",IFERROR(INDEX(CONFIGURACION!H:H,MATCH(I227,CONFIGURACION!J:J,0)),""))
</f>
        <v/>
      </c>
      <c r="B227" s="6" t="str">
        <f t="array" ref="B227">IF(I227="","",IFERROR(INDEX(CONFIGURACION!I:I,MATCH(I227,CONFIGURACION!J:J,0)),""))
</f>
        <v/>
      </c>
      <c r="C227" s="6"/>
      <c r="D227" s="25"/>
      <c r="E227" s="24"/>
      <c r="F227" s="21"/>
      <c r="G227" s="21"/>
      <c r="H227" s="21"/>
      <c r="I227" s="21"/>
      <c r="J227" s="21"/>
      <c r="K227" s="21"/>
      <c r="L227" s="21"/>
      <c r="M227" s="21"/>
      <c r="N227" s="21"/>
      <c r="O227" s="21"/>
      <c r="P227" s="21"/>
      <c r="Q227" s="21"/>
      <c r="R227" s="21"/>
      <c r="S227" s="21"/>
      <c r="T227" s="21"/>
      <c r="U227" s="21"/>
      <c r="V227" s="21"/>
      <c r="W227" s="21"/>
      <c r="X227" s="21"/>
      <c r="Y227" s="21"/>
      <c r="Z227" s="21"/>
      <c r="AA227" s="21"/>
    </row>
    <row r="228">
      <c r="A228" s="6" t="str">
        <f t="array" ref="A228">IF(I228="","",IFERROR(INDEX(CONFIGURACION!H:H,MATCH(I228,CONFIGURACION!J:J,0)),""))
</f>
        <v/>
      </c>
      <c r="B228" s="6" t="str">
        <f t="array" ref="B228">IF(I228="","",IFERROR(INDEX(CONFIGURACION!I:I,MATCH(I228,CONFIGURACION!J:J,0)),""))
</f>
        <v/>
      </c>
      <c r="C228" s="6"/>
      <c r="D228" s="25"/>
      <c r="E228" s="24"/>
      <c r="F228" s="21"/>
      <c r="G228" s="21"/>
      <c r="H228" s="21"/>
      <c r="I228" s="21"/>
      <c r="J228" s="21"/>
      <c r="K228" s="21"/>
      <c r="L228" s="21"/>
      <c r="M228" s="21"/>
      <c r="N228" s="21"/>
      <c r="O228" s="21"/>
      <c r="P228" s="21"/>
      <c r="Q228" s="21"/>
      <c r="R228" s="21"/>
      <c r="S228" s="21"/>
      <c r="T228" s="21"/>
      <c r="U228" s="21"/>
      <c r="V228" s="21"/>
      <c r="W228" s="21"/>
      <c r="X228" s="21"/>
      <c r="Y228" s="21"/>
      <c r="Z228" s="21"/>
      <c r="AA228" s="21"/>
    </row>
    <row r="229">
      <c r="A229" s="6" t="str">
        <f t="array" ref="A229">IF(I229="","",IFERROR(INDEX(CONFIGURACION!H:H,MATCH(I229,CONFIGURACION!J:J,0)),""))
</f>
        <v/>
      </c>
      <c r="B229" s="6" t="str">
        <f t="array" ref="B229">IF(I229="","",IFERROR(INDEX(CONFIGURACION!I:I,MATCH(I229,CONFIGURACION!J:J,0)),""))
</f>
        <v/>
      </c>
      <c r="C229" s="6"/>
      <c r="D229" s="25"/>
      <c r="E229" s="24"/>
      <c r="F229" s="21"/>
      <c r="G229" s="21"/>
      <c r="H229" s="21"/>
      <c r="I229" s="21"/>
      <c r="J229" s="21"/>
      <c r="K229" s="21"/>
      <c r="L229" s="21"/>
      <c r="M229" s="21"/>
      <c r="N229" s="21"/>
      <c r="O229" s="21"/>
      <c r="P229" s="21"/>
      <c r="Q229" s="21"/>
      <c r="R229" s="21"/>
      <c r="S229" s="21"/>
      <c r="T229" s="21"/>
      <c r="U229" s="21"/>
      <c r="V229" s="21"/>
      <c r="W229" s="21"/>
      <c r="X229" s="21"/>
      <c r="Y229" s="21"/>
      <c r="Z229" s="21"/>
      <c r="AA229" s="21"/>
    </row>
    <row r="230">
      <c r="A230" s="6" t="str">
        <f t="array" ref="A230">IF(I230="","",IFERROR(INDEX(CONFIGURACION!H:H,MATCH(I230,CONFIGURACION!J:J,0)),""))
</f>
        <v/>
      </c>
      <c r="B230" s="6" t="str">
        <f t="array" ref="B230">IF(I230="","",IFERROR(INDEX(CONFIGURACION!I:I,MATCH(I230,CONFIGURACION!J:J,0)),""))
</f>
        <v/>
      </c>
      <c r="C230" s="6"/>
      <c r="D230" s="25"/>
      <c r="E230" s="24"/>
      <c r="F230" s="21"/>
      <c r="G230" s="21"/>
      <c r="H230" s="21"/>
      <c r="I230" s="21"/>
      <c r="J230" s="21"/>
      <c r="K230" s="21"/>
      <c r="L230" s="21"/>
      <c r="M230" s="21"/>
      <c r="N230" s="21"/>
      <c r="O230" s="21"/>
      <c r="P230" s="21"/>
      <c r="Q230" s="21"/>
      <c r="R230" s="21"/>
      <c r="S230" s="21"/>
      <c r="T230" s="21"/>
      <c r="U230" s="21"/>
      <c r="V230" s="21"/>
      <c r="W230" s="21"/>
      <c r="X230" s="21"/>
      <c r="Y230" s="21"/>
      <c r="Z230" s="21"/>
      <c r="AA230" s="21"/>
    </row>
    <row r="231">
      <c r="A231" s="6" t="str">
        <f t="array" ref="A231">IF(I231="","",IFERROR(INDEX(CONFIGURACION!H:H,MATCH(I231,CONFIGURACION!J:J,0)),""))
</f>
        <v/>
      </c>
      <c r="B231" s="6" t="str">
        <f t="array" ref="B231">IF(I231="","",IFERROR(INDEX(CONFIGURACION!I:I,MATCH(I231,CONFIGURACION!J:J,0)),""))
</f>
        <v/>
      </c>
      <c r="C231" s="6"/>
      <c r="D231" s="25"/>
      <c r="E231" s="24"/>
      <c r="F231" s="21"/>
      <c r="G231" s="21"/>
      <c r="H231" s="21"/>
      <c r="I231" s="21"/>
      <c r="J231" s="21"/>
      <c r="K231" s="21"/>
      <c r="L231" s="21"/>
      <c r="M231" s="21"/>
      <c r="N231" s="21"/>
      <c r="O231" s="21"/>
      <c r="P231" s="21"/>
      <c r="Q231" s="21"/>
      <c r="R231" s="21"/>
      <c r="S231" s="21"/>
      <c r="T231" s="21"/>
      <c r="U231" s="21"/>
      <c r="V231" s="21"/>
      <c r="W231" s="21"/>
      <c r="X231" s="21"/>
      <c r="Y231" s="21"/>
      <c r="Z231" s="21"/>
      <c r="AA231" s="21"/>
    </row>
    <row r="232">
      <c r="A232" s="6" t="str">
        <f t="array" ref="A232">IF(I232="","",IFERROR(INDEX(CONFIGURACION!H:H,MATCH(I232,CONFIGURACION!J:J,0)),""))
</f>
        <v/>
      </c>
      <c r="B232" s="6" t="str">
        <f t="array" ref="B232">IF(I232="","",IFERROR(INDEX(CONFIGURACION!I:I,MATCH(I232,CONFIGURACION!J:J,0)),""))
</f>
        <v/>
      </c>
      <c r="C232" s="6"/>
      <c r="D232" s="25"/>
      <c r="E232" s="24"/>
      <c r="F232" s="21"/>
      <c r="G232" s="21"/>
      <c r="H232" s="21"/>
      <c r="I232" s="21"/>
      <c r="J232" s="21"/>
      <c r="K232" s="21"/>
      <c r="L232" s="21"/>
      <c r="M232" s="21"/>
      <c r="N232" s="21"/>
      <c r="O232" s="21"/>
      <c r="P232" s="21"/>
      <c r="Q232" s="21"/>
      <c r="R232" s="21"/>
      <c r="S232" s="21"/>
      <c r="T232" s="21"/>
      <c r="U232" s="21"/>
      <c r="V232" s="21"/>
      <c r="W232" s="21"/>
      <c r="X232" s="21"/>
      <c r="Y232" s="21"/>
      <c r="Z232" s="21"/>
      <c r="AA232" s="21"/>
    </row>
    <row r="233">
      <c r="A233" s="6" t="str">
        <f t="array" ref="A233">IF(I233="","",IFERROR(INDEX(CONFIGURACION!H:H,MATCH(I233,CONFIGURACION!J:J,0)),""))
</f>
        <v/>
      </c>
      <c r="B233" s="6" t="str">
        <f t="array" ref="B233">IF(I233="","",IFERROR(INDEX(CONFIGURACION!I:I,MATCH(I233,CONFIGURACION!J:J,0)),""))
</f>
        <v/>
      </c>
      <c r="C233" s="6"/>
      <c r="D233" s="25"/>
      <c r="E233" s="24"/>
      <c r="F233" s="21"/>
      <c r="G233" s="21"/>
      <c r="H233" s="21"/>
      <c r="I233" s="21"/>
      <c r="J233" s="21"/>
      <c r="K233" s="21"/>
      <c r="L233" s="21"/>
      <c r="M233" s="21"/>
      <c r="N233" s="21"/>
      <c r="O233" s="21"/>
      <c r="P233" s="21"/>
      <c r="Q233" s="21"/>
      <c r="R233" s="21"/>
      <c r="S233" s="21"/>
      <c r="T233" s="21"/>
      <c r="U233" s="21"/>
      <c r="V233" s="21"/>
      <c r="W233" s="21"/>
      <c r="X233" s="21"/>
      <c r="Y233" s="21"/>
      <c r="Z233" s="21"/>
      <c r="AA233" s="21"/>
    </row>
    <row r="234">
      <c r="A234" s="6" t="str">
        <f t="array" ref="A234">IF(I234="","",IFERROR(INDEX(CONFIGURACION!H:H,MATCH(I234,CONFIGURACION!J:J,0)),""))
</f>
        <v/>
      </c>
      <c r="B234" s="6" t="str">
        <f t="array" ref="B234">IF(I234="","",IFERROR(INDEX(CONFIGURACION!I:I,MATCH(I234,CONFIGURACION!J:J,0)),""))
</f>
        <v/>
      </c>
      <c r="C234" s="6"/>
      <c r="D234" s="25"/>
      <c r="E234" s="24"/>
      <c r="F234" s="21"/>
      <c r="G234" s="21"/>
      <c r="H234" s="21"/>
      <c r="I234" s="21"/>
      <c r="J234" s="21"/>
      <c r="K234" s="21"/>
      <c r="L234" s="21"/>
      <c r="M234" s="21"/>
      <c r="N234" s="21"/>
      <c r="O234" s="21"/>
      <c r="P234" s="21"/>
      <c r="Q234" s="21"/>
      <c r="R234" s="21"/>
      <c r="S234" s="21"/>
      <c r="T234" s="21"/>
      <c r="U234" s="21"/>
      <c r="V234" s="21"/>
      <c r="W234" s="21"/>
      <c r="X234" s="21"/>
      <c r="Y234" s="21"/>
      <c r="Z234" s="21"/>
      <c r="AA234" s="21"/>
    </row>
    <row r="235">
      <c r="A235" s="6" t="str">
        <f t="array" ref="A235">IF(I235="","",IFERROR(INDEX(CONFIGURACION!H:H,MATCH(I235,CONFIGURACION!J:J,0)),""))
</f>
        <v/>
      </c>
      <c r="B235" s="6" t="str">
        <f t="array" ref="B235">IF(I235="","",IFERROR(INDEX(CONFIGURACION!I:I,MATCH(I235,CONFIGURACION!J:J,0)),""))
</f>
        <v/>
      </c>
      <c r="C235" s="6"/>
      <c r="D235" s="25"/>
      <c r="E235" s="24"/>
      <c r="F235" s="21"/>
      <c r="G235" s="21"/>
      <c r="H235" s="21"/>
      <c r="I235" s="21"/>
      <c r="J235" s="21"/>
      <c r="K235" s="21"/>
      <c r="L235" s="21"/>
      <c r="M235" s="21"/>
      <c r="N235" s="21"/>
      <c r="O235" s="21"/>
      <c r="P235" s="21"/>
      <c r="Q235" s="21"/>
      <c r="R235" s="21"/>
      <c r="S235" s="21"/>
      <c r="T235" s="21"/>
      <c r="U235" s="21"/>
      <c r="V235" s="21"/>
      <c r="W235" s="21"/>
      <c r="X235" s="21"/>
      <c r="Y235" s="21"/>
      <c r="Z235" s="21"/>
      <c r="AA235" s="21"/>
    </row>
    <row r="236">
      <c r="A236" s="6" t="str">
        <f t="array" ref="A236">IF(I236="","",IFERROR(INDEX(CONFIGURACION!H:H,MATCH(I236,CONFIGURACION!J:J,0)),""))
</f>
        <v/>
      </c>
      <c r="B236" s="6" t="str">
        <f t="array" ref="B236">IF(I236="","",IFERROR(INDEX(CONFIGURACION!I:I,MATCH(I236,CONFIGURACION!J:J,0)),""))
</f>
        <v/>
      </c>
      <c r="C236" s="6"/>
      <c r="D236" s="25"/>
      <c r="E236" s="24"/>
      <c r="F236" s="21"/>
      <c r="G236" s="21"/>
      <c r="H236" s="21"/>
      <c r="I236" s="21"/>
      <c r="J236" s="21"/>
      <c r="K236" s="21"/>
      <c r="L236" s="21"/>
      <c r="M236" s="21"/>
      <c r="N236" s="21"/>
      <c r="O236" s="21"/>
      <c r="P236" s="21"/>
      <c r="Q236" s="21"/>
      <c r="R236" s="21"/>
      <c r="S236" s="21"/>
      <c r="T236" s="21"/>
      <c r="U236" s="21"/>
      <c r="V236" s="21"/>
      <c r="W236" s="21"/>
      <c r="X236" s="21"/>
      <c r="Y236" s="21"/>
      <c r="Z236" s="21"/>
      <c r="AA236" s="21"/>
    </row>
    <row r="237">
      <c r="A237" s="6" t="str">
        <f t="array" ref="A237">IF(I237="","",IFERROR(INDEX(CONFIGURACION!H:H,MATCH(I237,CONFIGURACION!J:J,0)),""))
</f>
        <v/>
      </c>
      <c r="B237" s="6" t="str">
        <f t="array" ref="B237">IF(I237="","",IFERROR(INDEX(CONFIGURACION!I:I,MATCH(I237,CONFIGURACION!J:J,0)),""))
</f>
        <v/>
      </c>
      <c r="C237" s="6"/>
      <c r="D237" s="25"/>
      <c r="E237" s="24"/>
      <c r="F237" s="21"/>
      <c r="G237" s="21"/>
      <c r="H237" s="21"/>
      <c r="I237" s="21"/>
      <c r="J237" s="21"/>
      <c r="K237" s="21"/>
      <c r="L237" s="21"/>
      <c r="M237" s="21"/>
      <c r="N237" s="21"/>
      <c r="O237" s="21"/>
      <c r="P237" s="21"/>
      <c r="Q237" s="21"/>
      <c r="R237" s="21"/>
      <c r="S237" s="21"/>
      <c r="T237" s="21"/>
      <c r="U237" s="21"/>
      <c r="V237" s="21"/>
      <c r="W237" s="21"/>
      <c r="X237" s="21"/>
      <c r="Y237" s="21"/>
      <c r="Z237" s="21"/>
      <c r="AA237" s="21"/>
    </row>
    <row r="238">
      <c r="A238" s="6" t="str">
        <f t="array" ref="A238">IF(I238="","",IFERROR(INDEX(CONFIGURACION!H:H,MATCH(I238,CONFIGURACION!J:J,0)),""))
</f>
        <v/>
      </c>
      <c r="B238" s="6" t="str">
        <f t="array" ref="B238">IF(I238="","",IFERROR(INDEX(CONFIGURACION!I:I,MATCH(I238,CONFIGURACION!J:J,0)),""))
</f>
        <v/>
      </c>
      <c r="C238" s="6"/>
      <c r="D238" s="25"/>
      <c r="E238" s="24"/>
      <c r="F238" s="21"/>
      <c r="G238" s="21"/>
      <c r="H238" s="21"/>
      <c r="I238" s="21"/>
      <c r="J238" s="21"/>
      <c r="K238" s="21"/>
      <c r="L238" s="21"/>
      <c r="M238" s="21"/>
      <c r="N238" s="21"/>
      <c r="O238" s="21"/>
      <c r="P238" s="21"/>
      <c r="Q238" s="21"/>
      <c r="R238" s="21"/>
      <c r="S238" s="21"/>
      <c r="T238" s="21"/>
      <c r="U238" s="21"/>
      <c r="V238" s="21"/>
      <c r="W238" s="21"/>
      <c r="X238" s="21"/>
      <c r="Y238" s="21"/>
      <c r="Z238" s="21"/>
      <c r="AA238" s="21"/>
    </row>
    <row r="239">
      <c r="A239" s="6" t="str">
        <f t="array" ref="A239">IF(I239="","",IFERROR(INDEX(CONFIGURACION!H:H,MATCH(I239,CONFIGURACION!J:J,0)),""))
</f>
        <v/>
      </c>
      <c r="B239" s="6" t="str">
        <f t="array" ref="B239">IF(I239="","",IFERROR(INDEX(CONFIGURACION!I:I,MATCH(I239,CONFIGURACION!J:J,0)),""))
</f>
        <v/>
      </c>
      <c r="C239" s="6"/>
      <c r="D239" s="25"/>
      <c r="E239" s="24"/>
      <c r="F239" s="21"/>
      <c r="G239" s="21"/>
      <c r="H239" s="21"/>
      <c r="I239" s="21"/>
      <c r="J239" s="21"/>
      <c r="K239" s="21"/>
      <c r="L239" s="21"/>
      <c r="M239" s="21"/>
      <c r="N239" s="21"/>
      <c r="O239" s="21"/>
      <c r="P239" s="21"/>
      <c r="Q239" s="21"/>
      <c r="R239" s="21"/>
      <c r="S239" s="21"/>
      <c r="T239" s="21"/>
      <c r="U239" s="21"/>
      <c r="V239" s="21"/>
      <c r="W239" s="21"/>
      <c r="X239" s="21"/>
      <c r="Y239" s="21"/>
      <c r="Z239" s="21"/>
      <c r="AA239" s="21"/>
    </row>
    <row r="240">
      <c r="A240" s="6" t="str">
        <f t="array" ref="A240">IF(I240="","",IFERROR(INDEX(CONFIGURACION!H:H,MATCH(I240,CONFIGURACION!J:J,0)),""))
</f>
        <v/>
      </c>
      <c r="B240" s="6" t="str">
        <f t="array" ref="B240">IF(I240="","",IFERROR(INDEX(CONFIGURACION!I:I,MATCH(I240,CONFIGURACION!J:J,0)),""))
</f>
        <v/>
      </c>
      <c r="C240" s="6"/>
      <c r="D240" s="25"/>
      <c r="E240" s="24"/>
      <c r="F240" s="21"/>
      <c r="G240" s="21"/>
      <c r="H240" s="21"/>
      <c r="I240" s="21"/>
      <c r="J240" s="21"/>
      <c r="K240" s="21"/>
      <c r="L240" s="21"/>
      <c r="M240" s="21"/>
      <c r="N240" s="21"/>
      <c r="O240" s="21"/>
      <c r="P240" s="21"/>
      <c r="Q240" s="21"/>
      <c r="R240" s="21"/>
      <c r="S240" s="21"/>
      <c r="T240" s="21"/>
      <c r="U240" s="21"/>
      <c r="V240" s="21"/>
      <c r="W240" s="21"/>
      <c r="X240" s="21"/>
      <c r="Y240" s="21"/>
      <c r="Z240" s="21"/>
      <c r="AA240" s="21"/>
    </row>
    <row r="241">
      <c r="A241" s="6" t="str">
        <f t="array" ref="A241">IF(I241="","",IFERROR(INDEX(CONFIGURACION!H:H,MATCH(I241,CONFIGURACION!J:J,0)),""))
</f>
        <v/>
      </c>
      <c r="B241" s="6" t="str">
        <f t="array" ref="B241">IF(I241="","",IFERROR(INDEX(CONFIGURACION!I:I,MATCH(I241,CONFIGURACION!J:J,0)),""))
</f>
        <v/>
      </c>
      <c r="C241" s="6"/>
      <c r="D241" s="25"/>
      <c r="E241" s="24"/>
      <c r="F241" s="21"/>
      <c r="G241" s="21"/>
      <c r="H241" s="21"/>
      <c r="I241" s="21"/>
      <c r="J241" s="21"/>
      <c r="K241" s="21"/>
      <c r="L241" s="21"/>
      <c r="M241" s="21"/>
      <c r="N241" s="21"/>
      <c r="O241" s="21"/>
      <c r="P241" s="21"/>
      <c r="Q241" s="21"/>
      <c r="R241" s="21"/>
      <c r="S241" s="21"/>
      <c r="T241" s="21"/>
      <c r="U241" s="21"/>
      <c r="V241" s="21"/>
      <c r="W241" s="21"/>
      <c r="X241" s="21"/>
      <c r="Y241" s="21"/>
      <c r="Z241" s="21"/>
      <c r="AA241" s="21"/>
    </row>
    <row r="242">
      <c r="A242" s="6" t="str">
        <f t="array" ref="A242">IF(I242="","",IFERROR(INDEX(CONFIGURACION!H:H,MATCH(I242,CONFIGURACION!J:J,0)),""))
</f>
        <v/>
      </c>
      <c r="B242" s="6" t="str">
        <f t="array" ref="B242">IF(I242="","",IFERROR(INDEX(CONFIGURACION!I:I,MATCH(I242,CONFIGURACION!J:J,0)),""))
</f>
        <v/>
      </c>
      <c r="C242" s="6"/>
      <c r="D242" s="25"/>
      <c r="E242" s="24"/>
      <c r="F242" s="21"/>
      <c r="G242" s="21"/>
      <c r="H242" s="21"/>
      <c r="I242" s="21"/>
      <c r="J242" s="21"/>
      <c r="K242" s="21"/>
      <c r="L242" s="21"/>
      <c r="M242" s="21"/>
      <c r="N242" s="21"/>
      <c r="O242" s="21"/>
      <c r="P242" s="21"/>
      <c r="Q242" s="21"/>
      <c r="R242" s="21"/>
      <c r="S242" s="21"/>
      <c r="T242" s="21"/>
      <c r="U242" s="21"/>
      <c r="V242" s="21"/>
      <c r="W242" s="21"/>
      <c r="X242" s="21"/>
      <c r="Y242" s="21"/>
      <c r="Z242" s="21"/>
      <c r="AA242" s="21"/>
    </row>
    <row r="243">
      <c r="A243" s="6" t="str">
        <f t="array" ref="A243">IF(I243="","",IFERROR(INDEX(CONFIGURACION!H:H,MATCH(I243,CONFIGURACION!J:J,0)),""))
</f>
        <v/>
      </c>
      <c r="B243" s="6" t="str">
        <f t="array" ref="B243">IF(I243="","",IFERROR(INDEX(CONFIGURACION!I:I,MATCH(I243,CONFIGURACION!J:J,0)),""))
</f>
        <v/>
      </c>
      <c r="C243" s="6"/>
      <c r="D243" s="25"/>
      <c r="E243" s="24"/>
      <c r="F243" s="21"/>
      <c r="G243" s="21"/>
      <c r="H243" s="21"/>
      <c r="I243" s="21"/>
      <c r="J243" s="21"/>
      <c r="K243" s="21"/>
      <c r="L243" s="21"/>
      <c r="M243" s="21"/>
      <c r="N243" s="21"/>
      <c r="O243" s="21"/>
      <c r="P243" s="21"/>
      <c r="Q243" s="21"/>
      <c r="R243" s="21"/>
      <c r="S243" s="21"/>
      <c r="T243" s="21"/>
      <c r="U243" s="21"/>
      <c r="V243" s="21"/>
      <c r="W243" s="21"/>
      <c r="X243" s="21"/>
      <c r="Y243" s="21"/>
      <c r="Z243" s="21"/>
      <c r="AA243" s="21"/>
    </row>
    <row r="244">
      <c r="A244" s="6" t="str">
        <f t="array" ref="A244">IF(I244="","",IFERROR(INDEX(CONFIGURACION!H:H,MATCH(I244,CONFIGURACION!J:J,0)),""))
</f>
        <v/>
      </c>
      <c r="B244" s="6" t="str">
        <f t="array" ref="B244">IF(I244="","",IFERROR(INDEX(CONFIGURACION!I:I,MATCH(I244,CONFIGURACION!J:J,0)),""))
</f>
        <v/>
      </c>
      <c r="C244" s="6"/>
      <c r="D244" s="25"/>
      <c r="E244" s="24"/>
      <c r="F244" s="21"/>
      <c r="G244" s="21"/>
      <c r="H244" s="21"/>
      <c r="I244" s="21"/>
      <c r="J244" s="21"/>
      <c r="K244" s="21"/>
      <c r="L244" s="21"/>
      <c r="M244" s="21"/>
      <c r="N244" s="21"/>
      <c r="O244" s="21"/>
      <c r="P244" s="21"/>
      <c r="Q244" s="21"/>
      <c r="R244" s="21"/>
      <c r="S244" s="21"/>
      <c r="T244" s="21"/>
      <c r="U244" s="21"/>
      <c r="V244" s="21"/>
      <c r="W244" s="21"/>
      <c r="X244" s="21"/>
      <c r="Y244" s="21"/>
      <c r="Z244" s="21"/>
      <c r="AA244" s="21"/>
    </row>
    <row r="245">
      <c r="A245" s="6" t="str">
        <f t="array" ref="A245">IF(I245="","",IFERROR(INDEX(CONFIGURACION!H:H,MATCH(I245,CONFIGURACION!J:J,0)),""))
</f>
        <v/>
      </c>
      <c r="B245" s="6" t="str">
        <f t="array" ref="B245">IF(I245="","",IFERROR(INDEX(CONFIGURACION!I:I,MATCH(I245,CONFIGURACION!J:J,0)),""))
</f>
        <v/>
      </c>
      <c r="C245" s="6"/>
      <c r="D245" s="25"/>
      <c r="E245" s="24"/>
      <c r="F245" s="21"/>
      <c r="G245" s="21"/>
      <c r="H245" s="21"/>
      <c r="I245" s="21"/>
      <c r="J245" s="21"/>
      <c r="K245" s="21"/>
      <c r="L245" s="21"/>
      <c r="M245" s="21"/>
      <c r="N245" s="21"/>
      <c r="O245" s="21"/>
      <c r="P245" s="21"/>
      <c r="Q245" s="21"/>
      <c r="R245" s="21"/>
      <c r="S245" s="21"/>
      <c r="T245" s="21"/>
      <c r="U245" s="21"/>
      <c r="V245" s="21"/>
      <c r="W245" s="21"/>
      <c r="X245" s="21"/>
      <c r="Y245" s="21"/>
      <c r="Z245" s="21"/>
      <c r="AA245" s="21"/>
    </row>
    <row r="246">
      <c r="A246" s="6" t="str">
        <f t="array" ref="A246">IF(I246="","",IFERROR(INDEX(CONFIGURACION!H:H,MATCH(I246,CONFIGURACION!J:J,0)),""))
</f>
        <v/>
      </c>
      <c r="B246" s="6" t="str">
        <f t="array" ref="B246">IF(I246="","",IFERROR(INDEX(CONFIGURACION!I:I,MATCH(I246,CONFIGURACION!J:J,0)),""))
</f>
        <v/>
      </c>
      <c r="C246" s="6"/>
      <c r="D246" s="25"/>
      <c r="E246" s="24"/>
      <c r="F246" s="21"/>
      <c r="G246" s="21"/>
      <c r="H246" s="21"/>
      <c r="I246" s="21"/>
      <c r="J246" s="21"/>
      <c r="K246" s="21"/>
      <c r="L246" s="21"/>
      <c r="M246" s="21"/>
      <c r="N246" s="21"/>
      <c r="O246" s="21"/>
      <c r="P246" s="21"/>
      <c r="Q246" s="21"/>
      <c r="R246" s="21"/>
      <c r="S246" s="21"/>
      <c r="T246" s="21"/>
      <c r="U246" s="21"/>
      <c r="V246" s="21"/>
      <c r="W246" s="21"/>
      <c r="X246" s="21"/>
      <c r="Y246" s="21"/>
      <c r="Z246" s="21"/>
      <c r="AA246" s="21"/>
    </row>
    <row r="247">
      <c r="A247" s="6" t="str">
        <f t="array" ref="A247">IF(I247="","",IFERROR(INDEX(CONFIGURACION!H:H,MATCH(I247,CONFIGURACION!J:J,0)),""))
</f>
        <v/>
      </c>
      <c r="B247" s="6" t="str">
        <f t="array" ref="B247">IF(I247="","",IFERROR(INDEX(CONFIGURACION!I:I,MATCH(I247,CONFIGURACION!J:J,0)),""))
</f>
        <v/>
      </c>
      <c r="C247" s="6"/>
      <c r="D247" s="25"/>
      <c r="E247" s="24"/>
      <c r="F247" s="21"/>
      <c r="G247" s="21"/>
      <c r="H247" s="21"/>
      <c r="I247" s="21"/>
      <c r="J247" s="21"/>
      <c r="K247" s="21"/>
      <c r="L247" s="21"/>
      <c r="M247" s="21"/>
      <c r="N247" s="21"/>
      <c r="O247" s="21"/>
      <c r="P247" s="21"/>
      <c r="Q247" s="21"/>
      <c r="R247" s="21"/>
      <c r="S247" s="21"/>
      <c r="T247" s="21"/>
      <c r="U247" s="21"/>
      <c r="V247" s="21"/>
      <c r="W247" s="21"/>
      <c r="X247" s="21"/>
      <c r="Y247" s="21"/>
      <c r="Z247" s="21"/>
      <c r="AA247" s="21"/>
    </row>
    <row r="248">
      <c r="A248" s="6" t="str">
        <f t="array" ref="A248">IF(I248="","",IFERROR(INDEX(CONFIGURACION!H:H,MATCH(I248,CONFIGURACION!J:J,0)),""))
</f>
        <v/>
      </c>
      <c r="B248" s="6" t="str">
        <f t="array" ref="B248">IF(I248="","",IFERROR(INDEX(CONFIGURACION!I:I,MATCH(I248,CONFIGURACION!J:J,0)),""))
</f>
        <v/>
      </c>
      <c r="C248" s="6"/>
      <c r="D248" s="25"/>
      <c r="E248" s="24"/>
      <c r="F248" s="21"/>
      <c r="G248" s="21"/>
      <c r="H248" s="21"/>
      <c r="I248" s="21"/>
      <c r="J248" s="21"/>
      <c r="K248" s="21"/>
      <c r="L248" s="21"/>
      <c r="M248" s="21"/>
      <c r="N248" s="21"/>
      <c r="O248" s="21"/>
      <c r="P248" s="21"/>
      <c r="Q248" s="21"/>
      <c r="R248" s="21"/>
      <c r="S248" s="21"/>
      <c r="T248" s="21"/>
      <c r="U248" s="21"/>
      <c r="V248" s="21"/>
      <c r="W248" s="21"/>
      <c r="X248" s="21"/>
      <c r="Y248" s="21"/>
      <c r="Z248" s="21"/>
      <c r="AA248" s="21"/>
    </row>
    <row r="249">
      <c r="A249" s="6" t="str">
        <f t="array" ref="A249">IF(I249="","",IFERROR(INDEX(CONFIGURACION!H:H,MATCH(I249,CONFIGURACION!J:J,0)),""))
</f>
        <v/>
      </c>
      <c r="B249" s="6" t="str">
        <f t="array" ref="B249">IF(I249="","",IFERROR(INDEX(CONFIGURACION!I:I,MATCH(I249,CONFIGURACION!J:J,0)),""))
</f>
        <v/>
      </c>
      <c r="C249" s="6"/>
      <c r="D249" s="25"/>
      <c r="E249" s="24"/>
      <c r="F249" s="21"/>
      <c r="G249" s="21"/>
      <c r="H249" s="21"/>
      <c r="I249" s="21"/>
      <c r="J249" s="21"/>
      <c r="K249" s="21"/>
      <c r="L249" s="21"/>
      <c r="M249" s="21"/>
      <c r="N249" s="21"/>
      <c r="O249" s="21"/>
      <c r="P249" s="21"/>
      <c r="Q249" s="21"/>
      <c r="R249" s="21"/>
      <c r="S249" s="21"/>
      <c r="T249" s="21"/>
      <c r="U249" s="21"/>
      <c r="V249" s="21"/>
      <c r="W249" s="21"/>
      <c r="X249" s="21"/>
      <c r="Y249" s="21"/>
      <c r="Z249" s="21"/>
      <c r="AA249" s="21"/>
    </row>
    <row r="250">
      <c r="A250" s="6" t="str">
        <f t="array" ref="A250">IF(I250="","",IFERROR(INDEX(CONFIGURACION!H:H,MATCH(I250,CONFIGURACION!J:J,0)),""))
</f>
        <v/>
      </c>
      <c r="B250" s="6" t="str">
        <f t="array" ref="B250">IF(I250="","",IFERROR(INDEX(CONFIGURACION!I:I,MATCH(I250,CONFIGURACION!J:J,0)),""))
</f>
        <v/>
      </c>
      <c r="C250" s="6"/>
      <c r="D250" s="25"/>
      <c r="E250" s="24"/>
      <c r="F250" s="21"/>
      <c r="G250" s="21"/>
      <c r="H250" s="21"/>
      <c r="I250" s="21"/>
      <c r="J250" s="21"/>
      <c r="K250" s="21"/>
      <c r="L250" s="21"/>
      <c r="M250" s="21"/>
      <c r="N250" s="21"/>
      <c r="O250" s="21"/>
      <c r="P250" s="21"/>
      <c r="Q250" s="21"/>
      <c r="R250" s="21"/>
      <c r="S250" s="21"/>
      <c r="T250" s="21"/>
      <c r="U250" s="21"/>
      <c r="V250" s="21"/>
      <c r="W250" s="21"/>
      <c r="X250" s="21"/>
      <c r="Y250" s="21"/>
      <c r="Z250" s="21"/>
      <c r="AA250" s="21"/>
    </row>
    <row r="251">
      <c r="A251" s="6" t="str">
        <f t="array" ref="A251">IF(I251="","",IFERROR(INDEX(CONFIGURACION!H:H,MATCH(I251,CONFIGURACION!J:J,0)),""))
</f>
        <v/>
      </c>
      <c r="B251" s="6" t="str">
        <f t="array" ref="B251">IF(I251="","",IFERROR(INDEX(CONFIGURACION!I:I,MATCH(I251,CONFIGURACION!J:J,0)),""))
</f>
        <v/>
      </c>
      <c r="C251" s="6"/>
      <c r="D251" s="25"/>
      <c r="E251" s="24"/>
      <c r="F251" s="21"/>
      <c r="G251" s="21"/>
      <c r="H251" s="21"/>
      <c r="I251" s="21"/>
      <c r="J251" s="21"/>
      <c r="K251" s="21"/>
      <c r="L251" s="21"/>
      <c r="M251" s="21"/>
      <c r="N251" s="21"/>
      <c r="O251" s="21"/>
      <c r="P251" s="21"/>
      <c r="Q251" s="21"/>
      <c r="R251" s="21"/>
      <c r="S251" s="21"/>
      <c r="T251" s="21"/>
      <c r="U251" s="21"/>
      <c r="V251" s="21"/>
      <c r="W251" s="21"/>
      <c r="X251" s="21"/>
      <c r="Y251" s="21"/>
      <c r="Z251" s="21"/>
      <c r="AA251" s="21"/>
    </row>
    <row r="252">
      <c r="A252" s="6" t="str">
        <f t="array" ref="A252">IF(I252="","",IFERROR(INDEX(CONFIGURACION!H:H,MATCH(I252,CONFIGURACION!J:J,0)),""))
</f>
        <v/>
      </c>
      <c r="B252" s="6" t="str">
        <f t="array" ref="B252">IF(I252="","",IFERROR(INDEX(CONFIGURACION!I:I,MATCH(I252,CONFIGURACION!J:J,0)),""))
</f>
        <v/>
      </c>
      <c r="C252" s="6"/>
      <c r="D252" s="25"/>
      <c r="E252" s="24"/>
      <c r="F252" s="21"/>
      <c r="G252" s="21"/>
      <c r="H252" s="21"/>
      <c r="I252" s="21"/>
      <c r="J252" s="21"/>
      <c r="K252" s="21"/>
      <c r="L252" s="21"/>
      <c r="M252" s="21"/>
      <c r="N252" s="21"/>
      <c r="O252" s="21"/>
      <c r="P252" s="21"/>
      <c r="Q252" s="21"/>
      <c r="R252" s="21"/>
      <c r="S252" s="21"/>
      <c r="T252" s="21"/>
      <c r="U252" s="21"/>
      <c r="V252" s="21"/>
      <c r="W252" s="21"/>
      <c r="X252" s="21"/>
      <c r="Y252" s="21"/>
      <c r="Z252" s="21"/>
      <c r="AA252" s="21"/>
    </row>
    <row r="253">
      <c r="A253" s="6" t="str">
        <f t="array" ref="A253">IF(I253="","",IFERROR(INDEX(CONFIGURACION!H:H,MATCH(I253,CONFIGURACION!J:J,0)),""))
</f>
        <v/>
      </c>
      <c r="B253" s="6" t="str">
        <f t="array" ref="B253">IF(I253="","",IFERROR(INDEX(CONFIGURACION!I:I,MATCH(I253,CONFIGURACION!J:J,0)),""))
</f>
        <v/>
      </c>
      <c r="C253" s="6"/>
      <c r="D253" s="25"/>
      <c r="E253" s="24"/>
      <c r="F253" s="21"/>
      <c r="G253" s="21"/>
      <c r="H253" s="21"/>
      <c r="I253" s="21"/>
      <c r="J253" s="21"/>
      <c r="K253" s="21"/>
      <c r="L253" s="21"/>
      <c r="M253" s="21"/>
      <c r="N253" s="21"/>
      <c r="O253" s="21"/>
      <c r="P253" s="21"/>
      <c r="Q253" s="21"/>
      <c r="R253" s="21"/>
      <c r="S253" s="21"/>
      <c r="T253" s="21"/>
      <c r="U253" s="21"/>
      <c r="V253" s="21"/>
      <c r="W253" s="21"/>
      <c r="X253" s="21"/>
      <c r="Y253" s="21"/>
      <c r="Z253" s="21"/>
      <c r="AA253" s="21"/>
    </row>
    <row r="254">
      <c r="A254" s="6" t="str">
        <f t="array" ref="A254">IF(I254="","",IFERROR(INDEX(CONFIGURACION!H:H,MATCH(I254,CONFIGURACION!J:J,0)),""))
</f>
        <v/>
      </c>
      <c r="B254" s="6" t="str">
        <f t="array" ref="B254">IF(I254="","",IFERROR(INDEX(CONFIGURACION!I:I,MATCH(I254,CONFIGURACION!J:J,0)),""))
</f>
        <v/>
      </c>
      <c r="C254" s="6"/>
      <c r="D254" s="25"/>
      <c r="E254" s="24"/>
      <c r="F254" s="21"/>
      <c r="G254" s="21"/>
      <c r="H254" s="21"/>
      <c r="I254" s="21"/>
      <c r="J254" s="21"/>
      <c r="K254" s="21"/>
      <c r="L254" s="21"/>
      <c r="M254" s="21"/>
      <c r="N254" s="21"/>
      <c r="O254" s="21"/>
      <c r="P254" s="21"/>
      <c r="Q254" s="21"/>
      <c r="R254" s="21"/>
      <c r="S254" s="21"/>
      <c r="T254" s="21"/>
      <c r="U254" s="21"/>
      <c r="V254" s="21"/>
      <c r="W254" s="21"/>
      <c r="X254" s="21"/>
      <c r="Y254" s="21"/>
      <c r="Z254" s="21"/>
      <c r="AA254" s="21"/>
    </row>
    <row r="255">
      <c r="A255" s="6" t="str">
        <f t="array" ref="A255">IF(I255="","",IFERROR(INDEX(CONFIGURACION!H:H,MATCH(I255,CONFIGURACION!J:J,0)),""))
</f>
        <v/>
      </c>
      <c r="B255" s="6" t="str">
        <f t="array" ref="B255">IF(I255="","",IFERROR(INDEX(CONFIGURACION!I:I,MATCH(I255,CONFIGURACION!J:J,0)),""))
</f>
        <v/>
      </c>
      <c r="C255" s="6"/>
      <c r="D255" s="25"/>
      <c r="E255" s="24"/>
      <c r="F255" s="21"/>
      <c r="G255" s="21"/>
      <c r="H255" s="21"/>
      <c r="I255" s="21"/>
      <c r="J255" s="21"/>
      <c r="K255" s="21"/>
      <c r="L255" s="21"/>
      <c r="M255" s="21"/>
      <c r="N255" s="21"/>
      <c r="O255" s="21"/>
      <c r="P255" s="21"/>
      <c r="Q255" s="21"/>
      <c r="R255" s="21"/>
      <c r="S255" s="21"/>
      <c r="T255" s="21"/>
      <c r="U255" s="21"/>
      <c r="V255" s="21"/>
      <c r="W255" s="21"/>
      <c r="X255" s="21"/>
      <c r="Y255" s="21"/>
      <c r="Z255" s="21"/>
      <c r="AA255" s="21"/>
    </row>
    <row r="256">
      <c r="A256" s="6" t="str">
        <f t="array" ref="A256">IF(I256="","",IFERROR(INDEX(CONFIGURACION!H:H,MATCH(I256,CONFIGURACION!J:J,0)),""))
</f>
        <v/>
      </c>
      <c r="B256" s="6" t="str">
        <f t="array" ref="B256">IF(I256="","",IFERROR(INDEX(CONFIGURACION!I:I,MATCH(I256,CONFIGURACION!J:J,0)),""))
</f>
        <v/>
      </c>
      <c r="C256" s="6"/>
      <c r="D256" s="25"/>
      <c r="E256" s="24"/>
      <c r="F256" s="21"/>
      <c r="G256" s="21"/>
      <c r="H256" s="21"/>
      <c r="I256" s="21"/>
      <c r="J256" s="21"/>
      <c r="K256" s="21"/>
      <c r="L256" s="21"/>
      <c r="M256" s="21"/>
      <c r="N256" s="21"/>
      <c r="O256" s="21"/>
      <c r="P256" s="21"/>
      <c r="Q256" s="21"/>
      <c r="R256" s="21"/>
      <c r="S256" s="21"/>
      <c r="T256" s="21"/>
      <c r="U256" s="21"/>
      <c r="V256" s="21"/>
      <c r="W256" s="21"/>
      <c r="X256" s="21"/>
      <c r="Y256" s="21"/>
      <c r="Z256" s="21"/>
      <c r="AA256" s="21"/>
    </row>
    <row r="257">
      <c r="A257" s="6" t="str">
        <f t="array" ref="A257">IF(I257="","",IFERROR(INDEX(CONFIGURACION!H:H,MATCH(I257,CONFIGURACION!J:J,0)),""))
</f>
        <v/>
      </c>
      <c r="B257" s="6" t="str">
        <f t="array" ref="B257">IF(I257="","",IFERROR(INDEX(CONFIGURACION!I:I,MATCH(I257,CONFIGURACION!J:J,0)),""))
</f>
        <v/>
      </c>
      <c r="C257" s="6"/>
      <c r="D257" s="25"/>
      <c r="E257" s="24"/>
      <c r="F257" s="21"/>
      <c r="G257" s="21"/>
      <c r="H257" s="21"/>
      <c r="I257" s="21"/>
      <c r="J257" s="21"/>
      <c r="K257" s="21"/>
      <c r="L257" s="21"/>
      <c r="M257" s="21"/>
      <c r="N257" s="21"/>
      <c r="O257" s="21"/>
      <c r="P257" s="21"/>
      <c r="Q257" s="21"/>
      <c r="R257" s="21"/>
      <c r="S257" s="21"/>
      <c r="T257" s="21"/>
      <c r="U257" s="21"/>
      <c r="V257" s="21"/>
      <c r="W257" s="21"/>
      <c r="X257" s="21"/>
      <c r="Y257" s="21"/>
      <c r="Z257" s="21"/>
      <c r="AA257" s="21"/>
    </row>
    <row r="258">
      <c r="A258" s="6" t="str">
        <f t="array" ref="A258">IF(I258="","",IFERROR(INDEX(CONFIGURACION!H:H,MATCH(I258,CONFIGURACION!J:J,0)),""))
</f>
        <v/>
      </c>
      <c r="B258" s="6" t="str">
        <f t="array" ref="B258">IF(I258="","",IFERROR(INDEX(CONFIGURACION!I:I,MATCH(I258,CONFIGURACION!J:J,0)),""))
</f>
        <v/>
      </c>
      <c r="C258" s="6"/>
      <c r="D258" s="25"/>
      <c r="E258" s="24"/>
      <c r="F258" s="21"/>
      <c r="G258" s="21"/>
      <c r="H258" s="21"/>
      <c r="I258" s="21"/>
      <c r="J258" s="21"/>
      <c r="K258" s="21"/>
      <c r="L258" s="21"/>
      <c r="M258" s="21"/>
      <c r="N258" s="21"/>
      <c r="O258" s="21"/>
      <c r="P258" s="21"/>
      <c r="Q258" s="21"/>
      <c r="R258" s="21"/>
      <c r="S258" s="21"/>
      <c r="T258" s="21"/>
      <c r="U258" s="21"/>
      <c r="V258" s="21"/>
      <c r="W258" s="21"/>
      <c r="X258" s="21"/>
      <c r="Y258" s="21"/>
      <c r="Z258" s="21"/>
      <c r="AA258" s="21"/>
    </row>
    <row r="259">
      <c r="A259" s="6" t="str">
        <f t="array" ref="A259">IF(I259="","",IFERROR(INDEX(CONFIGURACION!H:H,MATCH(I259,CONFIGURACION!J:J,0)),""))
</f>
        <v/>
      </c>
      <c r="B259" s="6" t="str">
        <f t="array" ref="B259">IF(I259="","",IFERROR(INDEX(CONFIGURACION!I:I,MATCH(I259,CONFIGURACION!J:J,0)),""))
</f>
        <v/>
      </c>
      <c r="C259" s="6"/>
      <c r="D259" s="25"/>
      <c r="E259" s="24"/>
      <c r="F259" s="21"/>
      <c r="G259" s="21"/>
      <c r="H259" s="21"/>
      <c r="I259" s="21"/>
      <c r="J259" s="21"/>
      <c r="K259" s="21"/>
      <c r="L259" s="21"/>
      <c r="M259" s="21"/>
      <c r="N259" s="21"/>
      <c r="O259" s="21"/>
      <c r="P259" s="21"/>
      <c r="Q259" s="21"/>
      <c r="R259" s="21"/>
      <c r="S259" s="21"/>
      <c r="T259" s="21"/>
      <c r="U259" s="21"/>
      <c r="V259" s="21"/>
      <c r="W259" s="21"/>
      <c r="X259" s="21"/>
      <c r="Y259" s="21"/>
      <c r="Z259" s="21"/>
      <c r="AA259" s="21"/>
    </row>
    <row r="260">
      <c r="A260" s="6" t="str">
        <f t="array" ref="A260">IF(I260="","",IFERROR(INDEX(CONFIGURACION!H:H,MATCH(I260,CONFIGURACION!J:J,0)),""))
</f>
        <v/>
      </c>
      <c r="B260" s="6" t="str">
        <f t="array" ref="B260">IF(I260="","",IFERROR(INDEX(CONFIGURACION!I:I,MATCH(I260,CONFIGURACION!J:J,0)),""))
</f>
        <v/>
      </c>
      <c r="C260" s="6"/>
      <c r="D260" s="25"/>
      <c r="E260" s="24"/>
      <c r="F260" s="21"/>
      <c r="G260" s="21"/>
      <c r="H260" s="21"/>
      <c r="I260" s="21"/>
      <c r="J260" s="21"/>
      <c r="K260" s="21"/>
      <c r="L260" s="21"/>
      <c r="M260" s="21"/>
      <c r="N260" s="21"/>
      <c r="O260" s="21"/>
      <c r="P260" s="21"/>
      <c r="Q260" s="21"/>
      <c r="R260" s="21"/>
      <c r="S260" s="21"/>
      <c r="T260" s="21"/>
      <c r="U260" s="21"/>
      <c r="V260" s="21"/>
      <c r="W260" s="21"/>
      <c r="X260" s="21"/>
      <c r="Y260" s="21"/>
      <c r="Z260" s="21"/>
      <c r="AA260" s="21"/>
    </row>
    <row r="261">
      <c r="A261" s="6" t="str">
        <f t="array" ref="A261">IF(I261="","",IFERROR(INDEX(CONFIGURACION!H:H,MATCH(I261,CONFIGURACION!J:J,0)),""))
</f>
        <v/>
      </c>
      <c r="B261" s="6" t="str">
        <f t="array" ref="B261">IF(I261="","",IFERROR(INDEX(CONFIGURACION!I:I,MATCH(I261,CONFIGURACION!J:J,0)),""))
</f>
        <v/>
      </c>
      <c r="C261" s="6"/>
      <c r="D261" s="25"/>
      <c r="E261" s="24"/>
      <c r="F261" s="21"/>
      <c r="G261" s="21"/>
      <c r="H261" s="21"/>
      <c r="I261" s="21"/>
      <c r="J261" s="21"/>
      <c r="K261" s="21"/>
      <c r="L261" s="21"/>
      <c r="M261" s="21"/>
      <c r="N261" s="21"/>
      <c r="O261" s="21"/>
      <c r="P261" s="21"/>
      <c r="Q261" s="21"/>
      <c r="R261" s="21"/>
      <c r="S261" s="21"/>
      <c r="T261" s="21"/>
      <c r="U261" s="21"/>
      <c r="V261" s="21"/>
      <c r="W261" s="21"/>
      <c r="X261" s="21"/>
      <c r="Y261" s="21"/>
      <c r="Z261" s="21"/>
      <c r="AA261" s="21"/>
    </row>
    <row r="262">
      <c r="A262" s="6" t="str">
        <f t="array" ref="A262">IF(I262="","",IFERROR(INDEX(CONFIGURACION!H:H,MATCH(I262,CONFIGURACION!J:J,0)),""))
</f>
        <v/>
      </c>
      <c r="B262" s="6" t="str">
        <f t="array" ref="B262">IF(I262="","",IFERROR(INDEX(CONFIGURACION!I:I,MATCH(I262,CONFIGURACION!J:J,0)),""))
</f>
        <v/>
      </c>
      <c r="C262" s="6"/>
      <c r="D262" s="25"/>
      <c r="E262" s="24"/>
      <c r="F262" s="21"/>
      <c r="G262" s="21"/>
      <c r="H262" s="21"/>
      <c r="I262" s="21"/>
      <c r="J262" s="21"/>
      <c r="K262" s="21"/>
      <c r="L262" s="21"/>
      <c r="M262" s="21"/>
      <c r="N262" s="21"/>
      <c r="O262" s="21"/>
      <c r="P262" s="21"/>
      <c r="Q262" s="21"/>
      <c r="R262" s="21"/>
      <c r="S262" s="21"/>
      <c r="T262" s="21"/>
      <c r="U262" s="21"/>
      <c r="V262" s="21"/>
      <c r="W262" s="21"/>
      <c r="X262" s="21"/>
      <c r="Y262" s="21"/>
      <c r="Z262" s="21"/>
      <c r="AA262" s="21"/>
    </row>
    <row r="263">
      <c r="A263" s="6" t="str">
        <f t="array" ref="A263">IF(I263="","",IFERROR(INDEX(CONFIGURACION!H:H,MATCH(I263,CONFIGURACION!J:J,0)),""))
</f>
        <v/>
      </c>
      <c r="B263" s="6" t="str">
        <f t="array" ref="B263">IF(I263="","",IFERROR(INDEX(CONFIGURACION!I:I,MATCH(I263,CONFIGURACION!J:J,0)),""))
</f>
        <v/>
      </c>
      <c r="C263" s="6"/>
      <c r="D263" s="25"/>
      <c r="E263" s="24"/>
      <c r="F263" s="21"/>
      <c r="G263" s="21"/>
      <c r="H263" s="21"/>
      <c r="I263" s="21"/>
      <c r="J263" s="21"/>
      <c r="K263" s="21"/>
      <c r="L263" s="21"/>
      <c r="M263" s="21"/>
      <c r="N263" s="21"/>
      <c r="O263" s="21"/>
      <c r="P263" s="21"/>
      <c r="Q263" s="21"/>
      <c r="R263" s="21"/>
      <c r="S263" s="21"/>
      <c r="T263" s="21"/>
      <c r="U263" s="21"/>
      <c r="V263" s="21"/>
      <c r="W263" s="21"/>
      <c r="X263" s="21"/>
      <c r="Y263" s="21"/>
      <c r="Z263" s="21"/>
      <c r="AA263" s="21"/>
    </row>
    <row r="264">
      <c r="A264" s="6" t="str">
        <f t="array" ref="A264">IF(I264="","",IFERROR(INDEX(CONFIGURACION!H:H,MATCH(I264,CONFIGURACION!J:J,0)),""))
</f>
        <v/>
      </c>
      <c r="B264" s="6" t="str">
        <f t="array" ref="B264">IF(I264="","",IFERROR(INDEX(CONFIGURACION!I:I,MATCH(I264,CONFIGURACION!J:J,0)),""))
</f>
        <v/>
      </c>
      <c r="C264" s="6"/>
      <c r="D264" s="25"/>
      <c r="E264" s="24"/>
      <c r="F264" s="21"/>
      <c r="G264" s="21"/>
      <c r="H264" s="21"/>
      <c r="I264" s="21"/>
      <c r="J264" s="21"/>
      <c r="K264" s="21"/>
      <c r="L264" s="21"/>
      <c r="M264" s="21"/>
      <c r="N264" s="21"/>
      <c r="O264" s="21"/>
      <c r="P264" s="21"/>
      <c r="Q264" s="21"/>
      <c r="R264" s="21"/>
      <c r="S264" s="21"/>
      <c r="T264" s="21"/>
      <c r="U264" s="21"/>
      <c r="V264" s="21"/>
      <c r="W264" s="21"/>
      <c r="X264" s="21"/>
      <c r="Y264" s="21"/>
      <c r="Z264" s="21"/>
      <c r="AA264" s="21"/>
    </row>
    <row r="265">
      <c r="A265" s="6" t="str">
        <f t="array" ref="A265">IF(I265="","",IFERROR(INDEX(CONFIGURACION!H:H,MATCH(I265,CONFIGURACION!J:J,0)),""))
</f>
        <v/>
      </c>
      <c r="B265" s="6" t="str">
        <f t="array" ref="B265">IF(I265="","",IFERROR(INDEX(CONFIGURACION!I:I,MATCH(I265,CONFIGURACION!J:J,0)),""))
</f>
        <v/>
      </c>
      <c r="C265" s="6"/>
      <c r="D265" s="25"/>
      <c r="E265" s="24"/>
      <c r="F265" s="21"/>
      <c r="G265" s="21"/>
      <c r="H265" s="21"/>
      <c r="I265" s="21"/>
      <c r="J265" s="21"/>
      <c r="K265" s="21"/>
      <c r="L265" s="21"/>
      <c r="M265" s="21"/>
      <c r="N265" s="21"/>
      <c r="O265" s="21"/>
      <c r="P265" s="21"/>
      <c r="Q265" s="21"/>
      <c r="R265" s="21"/>
      <c r="S265" s="21"/>
      <c r="T265" s="21"/>
      <c r="U265" s="21"/>
      <c r="V265" s="21"/>
      <c r="W265" s="21"/>
      <c r="X265" s="21"/>
      <c r="Y265" s="21"/>
      <c r="Z265" s="21"/>
      <c r="AA265" s="21"/>
    </row>
    <row r="266">
      <c r="A266" s="6" t="str">
        <f t="array" ref="A266">IF(I266="","",IFERROR(INDEX(CONFIGURACION!H:H,MATCH(I266,CONFIGURACION!J:J,0)),""))
</f>
        <v/>
      </c>
      <c r="B266" s="6" t="str">
        <f t="array" ref="B266">IF(I266="","",IFERROR(INDEX(CONFIGURACION!I:I,MATCH(I266,CONFIGURACION!J:J,0)),""))
</f>
        <v/>
      </c>
      <c r="C266" s="6"/>
      <c r="D266" s="25"/>
      <c r="E266" s="24"/>
      <c r="F266" s="21"/>
      <c r="G266" s="21"/>
      <c r="H266" s="21"/>
      <c r="I266" s="21"/>
      <c r="J266" s="21"/>
      <c r="K266" s="21"/>
      <c r="L266" s="21"/>
      <c r="M266" s="21"/>
      <c r="N266" s="21"/>
      <c r="O266" s="21"/>
      <c r="P266" s="21"/>
      <c r="Q266" s="21"/>
      <c r="R266" s="21"/>
      <c r="S266" s="21"/>
      <c r="T266" s="21"/>
      <c r="U266" s="21"/>
      <c r="V266" s="21"/>
      <c r="W266" s="21"/>
      <c r="X266" s="21"/>
      <c r="Y266" s="21"/>
      <c r="Z266" s="21"/>
      <c r="AA266" s="21"/>
    </row>
    <row r="267">
      <c r="A267" s="6" t="str">
        <f t="array" ref="A267">IF(I267="","",IFERROR(INDEX(CONFIGURACION!H:H,MATCH(I267,CONFIGURACION!J:J,0)),""))
</f>
        <v/>
      </c>
      <c r="B267" s="6" t="str">
        <f t="array" ref="B267">IF(I267="","",IFERROR(INDEX(CONFIGURACION!I:I,MATCH(I267,CONFIGURACION!J:J,0)),""))
</f>
        <v/>
      </c>
      <c r="C267" s="6"/>
      <c r="D267" s="25"/>
      <c r="E267" s="24"/>
      <c r="F267" s="21"/>
      <c r="G267" s="21"/>
      <c r="H267" s="21"/>
      <c r="I267" s="21"/>
      <c r="J267" s="21"/>
      <c r="K267" s="21"/>
      <c r="L267" s="21"/>
      <c r="M267" s="21"/>
      <c r="N267" s="21"/>
      <c r="O267" s="21"/>
      <c r="P267" s="21"/>
      <c r="Q267" s="21"/>
      <c r="R267" s="21"/>
      <c r="S267" s="21"/>
      <c r="T267" s="21"/>
      <c r="U267" s="21"/>
      <c r="V267" s="21"/>
      <c r="W267" s="21"/>
      <c r="X267" s="21"/>
      <c r="Y267" s="21"/>
      <c r="Z267" s="21"/>
      <c r="AA267" s="21"/>
    </row>
    <row r="268">
      <c r="A268" s="6" t="str">
        <f t="array" ref="A268">IF(I268="","",IFERROR(INDEX(CONFIGURACION!H:H,MATCH(I268,CONFIGURACION!J:J,0)),""))
</f>
        <v/>
      </c>
      <c r="B268" s="6" t="str">
        <f t="array" ref="B268">IF(I268="","",IFERROR(INDEX(CONFIGURACION!I:I,MATCH(I268,CONFIGURACION!J:J,0)),""))
</f>
        <v/>
      </c>
      <c r="C268" s="6"/>
      <c r="D268" s="25"/>
      <c r="E268" s="24"/>
      <c r="F268" s="21"/>
      <c r="G268" s="21"/>
      <c r="H268" s="21"/>
      <c r="I268" s="21"/>
      <c r="J268" s="21"/>
      <c r="K268" s="21"/>
      <c r="L268" s="21"/>
      <c r="M268" s="21"/>
      <c r="N268" s="21"/>
      <c r="O268" s="21"/>
      <c r="P268" s="21"/>
      <c r="Q268" s="21"/>
      <c r="R268" s="21"/>
      <c r="S268" s="21"/>
      <c r="T268" s="21"/>
      <c r="U268" s="21"/>
      <c r="V268" s="21"/>
      <c r="W268" s="21"/>
      <c r="X268" s="21"/>
      <c r="Y268" s="21"/>
      <c r="Z268" s="21"/>
      <c r="AA268" s="21"/>
    </row>
    <row r="269">
      <c r="A269" s="6" t="str">
        <f t="array" ref="A269">IF(I269="","",IFERROR(INDEX(CONFIGURACION!H:H,MATCH(I269,CONFIGURACION!J:J,0)),""))
</f>
        <v/>
      </c>
      <c r="B269" s="6" t="str">
        <f t="array" ref="B269">IF(I269="","",IFERROR(INDEX(CONFIGURACION!I:I,MATCH(I269,CONFIGURACION!J:J,0)),""))
</f>
        <v/>
      </c>
      <c r="C269" s="6"/>
      <c r="D269" s="25"/>
      <c r="E269" s="24"/>
      <c r="F269" s="21"/>
      <c r="G269" s="21"/>
      <c r="H269" s="21"/>
      <c r="I269" s="21"/>
      <c r="J269" s="21"/>
      <c r="K269" s="21"/>
      <c r="L269" s="21"/>
      <c r="M269" s="21"/>
      <c r="N269" s="21"/>
      <c r="O269" s="21"/>
      <c r="P269" s="21"/>
      <c r="Q269" s="21"/>
      <c r="R269" s="21"/>
      <c r="S269" s="21"/>
      <c r="T269" s="21"/>
      <c r="U269" s="21"/>
      <c r="V269" s="21"/>
      <c r="W269" s="21"/>
      <c r="X269" s="21"/>
      <c r="Y269" s="21"/>
      <c r="Z269" s="21"/>
      <c r="AA269" s="21"/>
    </row>
    <row r="270">
      <c r="A270" s="6" t="str">
        <f t="array" ref="A270">IF(I270="","",IFERROR(INDEX(CONFIGURACION!H:H,MATCH(I270,CONFIGURACION!J:J,0)),""))
</f>
        <v/>
      </c>
      <c r="B270" s="6" t="str">
        <f t="array" ref="B270">IF(I270="","",IFERROR(INDEX(CONFIGURACION!I:I,MATCH(I270,CONFIGURACION!J:J,0)),""))
</f>
        <v/>
      </c>
      <c r="C270" s="6"/>
      <c r="D270" s="25"/>
      <c r="E270" s="24"/>
      <c r="F270" s="21"/>
      <c r="G270" s="21"/>
      <c r="H270" s="21"/>
      <c r="I270" s="21"/>
      <c r="J270" s="21"/>
      <c r="K270" s="21"/>
      <c r="L270" s="21"/>
      <c r="M270" s="21"/>
      <c r="N270" s="21"/>
      <c r="O270" s="21"/>
      <c r="P270" s="21"/>
      <c r="Q270" s="21"/>
      <c r="R270" s="21"/>
      <c r="S270" s="21"/>
      <c r="T270" s="21"/>
      <c r="U270" s="21"/>
      <c r="V270" s="21"/>
      <c r="W270" s="21"/>
      <c r="X270" s="21"/>
      <c r="Y270" s="21"/>
      <c r="Z270" s="21"/>
      <c r="AA270" s="21"/>
    </row>
    <row r="271">
      <c r="A271" s="6" t="str">
        <f t="array" ref="A271">IF(I271="","",IFERROR(INDEX(CONFIGURACION!H:H,MATCH(I271,CONFIGURACION!J:J,0)),""))
</f>
        <v/>
      </c>
      <c r="B271" s="6" t="str">
        <f t="array" ref="B271">IF(I271="","",IFERROR(INDEX(CONFIGURACION!I:I,MATCH(I271,CONFIGURACION!J:J,0)),""))
</f>
        <v/>
      </c>
      <c r="C271" s="6"/>
      <c r="D271" s="25"/>
      <c r="E271" s="24"/>
      <c r="F271" s="21"/>
      <c r="G271" s="21"/>
      <c r="H271" s="21"/>
      <c r="I271" s="21"/>
      <c r="J271" s="21"/>
      <c r="K271" s="21"/>
      <c r="L271" s="21"/>
      <c r="M271" s="21"/>
      <c r="N271" s="21"/>
      <c r="O271" s="21"/>
      <c r="P271" s="21"/>
      <c r="Q271" s="21"/>
      <c r="R271" s="21"/>
      <c r="S271" s="21"/>
      <c r="T271" s="21"/>
      <c r="U271" s="21"/>
      <c r="V271" s="21"/>
      <c r="W271" s="21"/>
      <c r="X271" s="21"/>
      <c r="Y271" s="21"/>
      <c r="Z271" s="21"/>
      <c r="AA271" s="21"/>
    </row>
    <row r="272">
      <c r="A272" s="6" t="str">
        <f t="array" ref="A272">IF(I272="","",IFERROR(INDEX(CONFIGURACION!H:H,MATCH(I272,CONFIGURACION!J:J,0)),""))
</f>
        <v/>
      </c>
      <c r="B272" s="6" t="str">
        <f t="array" ref="B272">IF(I272="","",IFERROR(INDEX(CONFIGURACION!I:I,MATCH(I272,CONFIGURACION!J:J,0)),""))
</f>
        <v/>
      </c>
      <c r="C272" s="6"/>
      <c r="D272" s="25"/>
      <c r="E272" s="24"/>
      <c r="F272" s="21"/>
      <c r="G272" s="21"/>
      <c r="H272" s="21"/>
      <c r="I272" s="21"/>
      <c r="J272" s="21"/>
      <c r="K272" s="21"/>
      <c r="L272" s="21"/>
      <c r="M272" s="21"/>
      <c r="N272" s="21"/>
      <c r="O272" s="21"/>
      <c r="P272" s="21"/>
      <c r="Q272" s="21"/>
      <c r="R272" s="21"/>
      <c r="S272" s="21"/>
      <c r="T272" s="21"/>
      <c r="U272" s="21"/>
      <c r="V272" s="21"/>
      <c r="W272" s="21"/>
      <c r="X272" s="21"/>
      <c r="Y272" s="21"/>
      <c r="Z272" s="21"/>
      <c r="AA272" s="21"/>
    </row>
    <row r="273">
      <c r="A273" s="6" t="str">
        <f t="array" ref="A273">IF(I273="","",IFERROR(INDEX(CONFIGURACION!H:H,MATCH(I273,CONFIGURACION!J:J,0)),""))
</f>
        <v/>
      </c>
      <c r="B273" s="6" t="str">
        <f t="array" ref="B273">IF(I273="","",IFERROR(INDEX(CONFIGURACION!I:I,MATCH(I273,CONFIGURACION!J:J,0)),""))
</f>
        <v/>
      </c>
      <c r="C273" s="6"/>
      <c r="D273" s="25"/>
      <c r="E273" s="24"/>
      <c r="F273" s="21"/>
      <c r="G273" s="21"/>
      <c r="H273" s="21"/>
      <c r="I273" s="21"/>
      <c r="J273" s="21"/>
      <c r="K273" s="21"/>
      <c r="L273" s="21"/>
      <c r="M273" s="21"/>
      <c r="N273" s="21"/>
      <c r="O273" s="21"/>
      <c r="P273" s="21"/>
      <c r="Q273" s="21"/>
      <c r="R273" s="21"/>
      <c r="S273" s="21"/>
      <c r="T273" s="21"/>
      <c r="U273" s="21"/>
      <c r="V273" s="21"/>
      <c r="W273" s="21"/>
      <c r="X273" s="21"/>
      <c r="Y273" s="21"/>
      <c r="Z273" s="21"/>
      <c r="AA273" s="21"/>
    </row>
    <row r="274">
      <c r="A274" s="6" t="str">
        <f t="array" ref="A274">IF(I274="","",IFERROR(INDEX(CONFIGURACION!H:H,MATCH(I274,CONFIGURACION!J:J,0)),""))
</f>
        <v/>
      </c>
      <c r="B274" s="6" t="str">
        <f t="array" ref="B274">IF(I274="","",IFERROR(INDEX(CONFIGURACION!I:I,MATCH(I274,CONFIGURACION!J:J,0)),""))
</f>
        <v/>
      </c>
      <c r="C274" s="6"/>
      <c r="D274" s="25"/>
      <c r="E274" s="24"/>
      <c r="F274" s="21"/>
      <c r="G274" s="21"/>
      <c r="H274" s="21"/>
      <c r="I274" s="21"/>
      <c r="J274" s="21"/>
      <c r="K274" s="21"/>
      <c r="L274" s="21"/>
      <c r="M274" s="21"/>
      <c r="N274" s="21"/>
      <c r="O274" s="21"/>
      <c r="P274" s="21"/>
      <c r="Q274" s="21"/>
      <c r="R274" s="21"/>
      <c r="S274" s="21"/>
      <c r="T274" s="21"/>
      <c r="U274" s="21"/>
      <c r="V274" s="21"/>
      <c r="W274" s="21"/>
      <c r="X274" s="21"/>
      <c r="Y274" s="21"/>
      <c r="Z274" s="21"/>
      <c r="AA274" s="21"/>
    </row>
    <row r="275">
      <c r="A275" s="6" t="str">
        <f t="array" ref="A275">IF(I275="","",IFERROR(INDEX(CONFIGURACION!H:H,MATCH(I275,CONFIGURACION!J:J,0)),""))
</f>
        <v/>
      </c>
      <c r="B275" s="6" t="str">
        <f t="array" ref="B275">IF(I275="","",IFERROR(INDEX(CONFIGURACION!I:I,MATCH(I275,CONFIGURACION!J:J,0)),""))
</f>
        <v/>
      </c>
      <c r="C275" s="6"/>
      <c r="D275" s="25"/>
      <c r="E275" s="24"/>
      <c r="F275" s="21"/>
      <c r="G275" s="21"/>
      <c r="H275" s="21"/>
      <c r="I275" s="21"/>
      <c r="J275" s="21"/>
      <c r="K275" s="21"/>
      <c r="L275" s="21"/>
      <c r="M275" s="21"/>
      <c r="N275" s="21"/>
      <c r="O275" s="21"/>
      <c r="P275" s="21"/>
      <c r="Q275" s="21"/>
      <c r="R275" s="21"/>
      <c r="S275" s="21"/>
      <c r="T275" s="21"/>
      <c r="U275" s="21"/>
      <c r="V275" s="21"/>
      <c r="W275" s="21"/>
      <c r="X275" s="21"/>
      <c r="Y275" s="21"/>
      <c r="Z275" s="21"/>
      <c r="AA275" s="21"/>
    </row>
    <row r="276">
      <c r="A276" s="6" t="str">
        <f t="array" ref="A276">IF(I276="","",IFERROR(INDEX(CONFIGURACION!H:H,MATCH(I276,CONFIGURACION!J:J,0)),""))
</f>
        <v/>
      </c>
      <c r="B276" s="6" t="str">
        <f t="array" ref="B276">IF(I276="","",IFERROR(INDEX(CONFIGURACION!I:I,MATCH(I276,CONFIGURACION!J:J,0)),""))
</f>
        <v/>
      </c>
      <c r="C276" s="6"/>
      <c r="D276" s="25"/>
      <c r="E276" s="24"/>
      <c r="F276" s="21"/>
      <c r="G276" s="21"/>
      <c r="H276" s="21"/>
      <c r="I276" s="21"/>
      <c r="J276" s="21"/>
      <c r="K276" s="21"/>
      <c r="L276" s="21"/>
      <c r="M276" s="21"/>
      <c r="N276" s="21"/>
      <c r="O276" s="21"/>
      <c r="P276" s="21"/>
      <c r="Q276" s="21"/>
      <c r="R276" s="21"/>
      <c r="S276" s="21"/>
      <c r="T276" s="21"/>
      <c r="U276" s="21"/>
      <c r="V276" s="21"/>
      <c r="W276" s="21"/>
      <c r="X276" s="21"/>
      <c r="Y276" s="21"/>
      <c r="Z276" s="21"/>
      <c r="AA276" s="21"/>
    </row>
    <row r="277">
      <c r="A277" s="6" t="str">
        <f t="array" ref="A277">IF(I277="","",IFERROR(INDEX(CONFIGURACION!H:H,MATCH(I277,CONFIGURACION!J:J,0)),""))
</f>
        <v/>
      </c>
      <c r="B277" s="6" t="str">
        <f t="array" ref="B277">IF(I277="","",IFERROR(INDEX(CONFIGURACION!I:I,MATCH(I277,CONFIGURACION!J:J,0)),""))
</f>
        <v/>
      </c>
      <c r="C277" s="6"/>
      <c r="D277" s="25"/>
      <c r="E277" s="24"/>
      <c r="F277" s="21"/>
      <c r="G277" s="21"/>
      <c r="H277" s="21"/>
      <c r="I277" s="21"/>
      <c r="J277" s="21"/>
      <c r="K277" s="21"/>
      <c r="L277" s="21"/>
      <c r="M277" s="21"/>
      <c r="N277" s="21"/>
      <c r="O277" s="21"/>
      <c r="P277" s="21"/>
      <c r="Q277" s="21"/>
      <c r="R277" s="21"/>
      <c r="S277" s="21"/>
      <c r="T277" s="21"/>
      <c r="U277" s="21"/>
      <c r="V277" s="21"/>
      <c r="W277" s="21"/>
      <c r="X277" s="21"/>
      <c r="Y277" s="21"/>
      <c r="Z277" s="21"/>
      <c r="AA277" s="21"/>
    </row>
    <row r="278">
      <c r="A278" s="6" t="str">
        <f t="array" ref="A278">IF(I278="","",IFERROR(INDEX(CONFIGURACION!H:H,MATCH(I278,CONFIGURACION!J:J,0)),""))
</f>
        <v/>
      </c>
      <c r="B278" s="6" t="str">
        <f t="array" ref="B278">IF(I278="","",IFERROR(INDEX(CONFIGURACION!I:I,MATCH(I278,CONFIGURACION!J:J,0)),""))
</f>
        <v/>
      </c>
      <c r="C278" s="6"/>
      <c r="D278" s="25"/>
      <c r="E278" s="24"/>
      <c r="F278" s="21"/>
      <c r="G278" s="21"/>
      <c r="H278" s="21"/>
      <c r="I278" s="21"/>
      <c r="J278" s="21"/>
      <c r="K278" s="21"/>
      <c r="L278" s="21"/>
      <c r="M278" s="21"/>
      <c r="N278" s="21"/>
      <c r="O278" s="21"/>
      <c r="P278" s="21"/>
      <c r="Q278" s="21"/>
      <c r="R278" s="21"/>
      <c r="S278" s="21"/>
      <c r="T278" s="21"/>
      <c r="U278" s="21"/>
      <c r="V278" s="21"/>
      <c r="W278" s="21"/>
      <c r="X278" s="21"/>
      <c r="Y278" s="21"/>
      <c r="Z278" s="21"/>
      <c r="AA278" s="21"/>
    </row>
    <row r="279">
      <c r="A279" s="6" t="str">
        <f t="array" ref="A279">IF(I279="","",IFERROR(INDEX(CONFIGURACION!H:H,MATCH(I279,CONFIGURACION!J:J,0)),""))
</f>
        <v/>
      </c>
      <c r="B279" s="6" t="str">
        <f t="array" ref="B279">IF(I279="","",IFERROR(INDEX(CONFIGURACION!I:I,MATCH(I279,CONFIGURACION!J:J,0)),""))
</f>
        <v/>
      </c>
      <c r="C279" s="6"/>
      <c r="D279" s="25"/>
      <c r="E279" s="24"/>
      <c r="F279" s="21"/>
      <c r="G279" s="21"/>
      <c r="H279" s="21"/>
      <c r="I279" s="21"/>
      <c r="J279" s="21"/>
      <c r="K279" s="21"/>
      <c r="L279" s="21"/>
      <c r="M279" s="21"/>
      <c r="N279" s="21"/>
      <c r="O279" s="21"/>
      <c r="P279" s="21"/>
      <c r="Q279" s="21"/>
      <c r="R279" s="21"/>
      <c r="S279" s="21"/>
      <c r="T279" s="21"/>
      <c r="U279" s="21"/>
      <c r="V279" s="21"/>
      <c r="W279" s="21"/>
      <c r="X279" s="21"/>
      <c r="Y279" s="21"/>
      <c r="Z279" s="21"/>
      <c r="AA279" s="21"/>
    </row>
    <row r="280">
      <c r="A280" s="6" t="str">
        <f t="array" ref="A280">IF(I280="","",IFERROR(INDEX(CONFIGURACION!H:H,MATCH(I280,CONFIGURACION!J:J,0)),""))
</f>
        <v/>
      </c>
      <c r="B280" s="6" t="str">
        <f t="array" ref="B280">IF(I280="","",IFERROR(INDEX(CONFIGURACION!I:I,MATCH(I280,CONFIGURACION!J:J,0)),""))
</f>
        <v/>
      </c>
      <c r="C280" s="6"/>
      <c r="D280" s="25"/>
      <c r="E280" s="24"/>
      <c r="F280" s="21"/>
      <c r="G280" s="21"/>
      <c r="H280" s="21"/>
      <c r="I280" s="21"/>
      <c r="J280" s="21"/>
      <c r="K280" s="21"/>
      <c r="L280" s="21"/>
      <c r="M280" s="21"/>
      <c r="N280" s="21"/>
      <c r="O280" s="21"/>
      <c r="P280" s="21"/>
      <c r="Q280" s="21"/>
      <c r="R280" s="21"/>
      <c r="S280" s="21"/>
      <c r="T280" s="21"/>
      <c r="U280" s="21"/>
      <c r="V280" s="21"/>
      <c r="W280" s="21"/>
      <c r="X280" s="21"/>
      <c r="Y280" s="21"/>
      <c r="Z280" s="21"/>
      <c r="AA280" s="21"/>
    </row>
    <row r="281">
      <c r="A281" s="6" t="str">
        <f t="array" ref="A281">IF(I281="","",IFERROR(INDEX(CONFIGURACION!H:H,MATCH(I281,CONFIGURACION!J:J,0)),""))
</f>
        <v/>
      </c>
      <c r="B281" s="6" t="str">
        <f t="array" ref="B281">IF(I281="","",IFERROR(INDEX(CONFIGURACION!I:I,MATCH(I281,CONFIGURACION!J:J,0)),""))
</f>
        <v/>
      </c>
      <c r="C281" s="6"/>
      <c r="D281" s="25"/>
      <c r="E281" s="24"/>
      <c r="F281" s="21"/>
      <c r="G281" s="21"/>
      <c r="H281" s="21"/>
      <c r="I281" s="21"/>
      <c r="J281" s="21"/>
      <c r="K281" s="21"/>
      <c r="L281" s="21"/>
      <c r="M281" s="21"/>
      <c r="N281" s="21"/>
      <c r="O281" s="21"/>
      <c r="P281" s="21"/>
      <c r="Q281" s="21"/>
      <c r="R281" s="21"/>
      <c r="S281" s="21"/>
      <c r="T281" s="21"/>
      <c r="U281" s="21"/>
      <c r="V281" s="21"/>
      <c r="W281" s="21"/>
      <c r="X281" s="21"/>
      <c r="Y281" s="21"/>
      <c r="Z281" s="21"/>
      <c r="AA281" s="21"/>
    </row>
    <row r="282">
      <c r="A282" s="6" t="str">
        <f t="array" ref="A282">IF(I282="","",IFERROR(INDEX(CONFIGURACION!H:H,MATCH(I282,CONFIGURACION!J:J,0)),""))
</f>
        <v/>
      </c>
      <c r="B282" s="6" t="str">
        <f t="array" ref="B282">IF(I282="","",IFERROR(INDEX(CONFIGURACION!I:I,MATCH(I282,CONFIGURACION!J:J,0)),""))
</f>
        <v/>
      </c>
      <c r="C282" s="6"/>
      <c r="D282" s="25"/>
      <c r="E282" s="24"/>
      <c r="F282" s="21"/>
      <c r="G282" s="21"/>
      <c r="H282" s="21"/>
      <c r="I282" s="21"/>
      <c r="J282" s="21"/>
      <c r="K282" s="21"/>
      <c r="L282" s="21"/>
      <c r="M282" s="21"/>
      <c r="N282" s="21"/>
      <c r="O282" s="21"/>
      <c r="P282" s="21"/>
      <c r="Q282" s="21"/>
      <c r="R282" s="21"/>
      <c r="S282" s="21"/>
      <c r="T282" s="21"/>
      <c r="U282" s="21"/>
      <c r="V282" s="21"/>
      <c r="W282" s="21"/>
      <c r="X282" s="21"/>
      <c r="Y282" s="21"/>
      <c r="Z282" s="21"/>
      <c r="AA282" s="21"/>
    </row>
    <row r="283">
      <c r="A283" s="6" t="str">
        <f t="array" ref="A283">IF(I283="","",IFERROR(INDEX(CONFIGURACION!H:H,MATCH(I283,CONFIGURACION!J:J,0)),""))
</f>
        <v/>
      </c>
      <c r="B283" s="6" t="str">
        <f t="array" ref="B283">IF(I283="","",IFERROR(INDEX(CONFIGURACION!I:I,MATCH(I283,CONFIGURACION!J:J,0)),""))
</f>
        <v/>
      </c>
      <c r="C283" s="6"/>
      <c r="D283" s="25"/>
      <c r="E283" s="24"/>
      <c r="F283" s="21"/>
      <c r="G283" s="21"/>
      <c r="H283" s="21"/>
      <c r="I283" s="21"/>
      <c r="J283" s="21"/>
      <c r="K283" s="21"/>
      <c r="L283" s="21"/>
      <c r="M283" s="21"/>
      <c r="N283" s="21"/>
      <c r="O283" s="21"/>
      <c r="P283" s="21"/>
      <c r="Q283" s="21"/>
      <c r="R283" s="21"/>
      <c r="S283" s="21"/>
      <c r="T283" s="21"/>
      <c r="U283" s="21"/>
      <c r="V283" s="21"/>
      <c r="W283" s="21"/>
      <c r="X283" s="21"/>
      <c r="Y283" s="21"/>
      <c r="Z283" s="21"/>
      <c r="AA283" s="21"/>
    </row>
    <row r="284">
      <c r="A284" s="6" t="str">
        <f t="array" ref="A284">IF(I284="","",IFERROR(INDEX(CONFIGURACION!H:H,MATCH(I284,CONFIGURACION!J:J,0)),""))
</f>
        <v/>
      </c>
      <c r="B284" s="6" t="str">
        <f t="array" ref="B284">IF(I284="","",IFERROR(INDEX(CONFIGURACION!I:I,MATCH(I284,CONFIGURACION!J:J,0)),""))
</f>
        <v/>
      </c>
      <c r="C284" s="6"/>
      <c r="D284" s="25"/>
      <c r="E284" s="24"/>
      <c r="F284" s="21"/>
      <c r="G284" s="21"/>
      <c r="H284" s="21"/>
      <c r="I284" s="21"/>
      <c r="J284" s="21"/>
      <c r="K284" s="21"/>
      <c r="L284" s="21"/>
      <c r="M284" s="21"/>
      <c r="N284" s="21"/>
      <c r="O284" s="21"/>
      <c r="P284" s="21"/>
      <c r="Q284" s="21"/>
      <c r="R284" s="21"/>
      <c r="S284" s="21"/>
      <c r="T284" s="21"/>
      <c r="U284" s="21"/>
      <c r="V284" s="21"/>
      <c r="W284" s="21"/>
      <c r="X284" s="21"/>
      <c r="Y284" s="21"/>
      <c r="Z284" s="21"/>
      <c r="AA284" s="21"/>
    </row>
    <row r="285">
      <c r="A285" s="6" t="str">
        <f t="array" ref="A285">IF(I285="","",IFERROR(INDEX(CONFIGURACION!H:H,MATCH(I285,CONFIGURACION!J:J,0)),""))
</f>
        <v/>
      </c>
      <c r="B285" s="6" t="str">
        <f t="array" ref="B285">IF(I285="","",IFERROR(INDEX(CONFIGURACION!I:I,MATCH(I285,CONFIGURACION!J:J,0)),""))
</f>
        <v/>
      </c>
      <c r="C285" s="6"/>
      <c r="D285" s="25"/>
      <c r="E285" s="24"/>
      <c r="F285" s="21"/>
      <c r="G285" s="21"/>
      <c r="H285" s="21"/>
      <c r="I285" s="21"/>
      <c r="J285" s="21"/>
      <c r="K285" s="21"/>
      <c r="L285" s="21"/>
      <c r="M285" s="21"/>
      <c r="N285" s="21"/>
      <c r="O285" s="21"/>
      <c r="P285" s="21"/>
      <c r="Q285" s="21"/>
      <c r="R285" s="21"/>
      <c r="S285" s="21"/>
      <c r="T285" s="21"/>
      <c r="U285" s="21"/>
      <c r="V285" s="21"/>
      <c r="W285" s="21"/>
      <c r="X285" s="21"/>
      <c r="Y285" s="21"/>
      <c r="Z285" s="21"/>
      <c r="AA285" s="21"/>
    </row>
    <row r="286">
      <c r="A286" s="6" t="str">
        <f t="array" ref="A286">IF(I286="","",IFERROR(INDEX(CONFIGURACION!H:H,MATCH(I286,CONFIGURACION!J:J,0)),""))
</f>
        <v/>
      </c>
      <c r="B286" s="6" t="str">
        <f t="array" ref="B286">IF(I286="","",IFERROR(INDEX(CONFIGURACION!I:I,MATCH(I286,CONFIGURACION!J:J,0)),""))
</f>
        <v/>
      </c>
      <c r="C286" s="6"/>
      <c r="D286" s="25"/>
      <c r="E286" s="24"/>
      <c r="F286" s="21"/>
      <c r="G286" s="21"/>
      <c r="H286" s="21"/>
      <c r="I286" s="21"/>
      <c r="J286" s="21"/>
      <c r="K286" s="21"/>
      <c r="L286" s="21"/>
      <c r="M286" s="21"/>
      <c r="N286" s="21"/>
      <c r="O286" s="21"/>
      <c r="P286" s="21"/>
      <c r="Q286" s="21"/>
      <c r="R286" s="21"/>
      <c r="S286" s="21"/>
      <c r="T286" s="21"/>
      <c r="U286" s="21"/>
      <c r="V286" s="21"/>
      <c r="W286" s="21"/>
      <c r="X286" s="21"/>
      <c r="Y286" s="21"/>
      <c r="Z286" s="21"/>
      <c r="AA286" s="21"/>
    </row>
    <row r="287">
      <c r="A287" s="6" t="str">
        <f t="array" ref="A287">IF(I287="","",IFERROR(INDEX(CONFIGURACION!H:H,MATCH(I287,CONFIGURACION!J:J,0)),""))
</f>
        <v/>
      </c>
      <c r="B287" s="6" t="str">
        <f t="array" ref="B287">IF(I287="","",IFERROR(INDEX(CONFIGURACION!I:I,MATCH(I287,CONFIGURACION!J:J,0)),""))
</f>
        <v/>
      </c>
      <c r="C287" s="6"/>
      <c r="D287" s="25"/>
      <c r="E287" s="24"/>
      <c r="F287" s="21"/>
      <c r="G287" s="21"/>
      <c r="H287" s="21"/>
      <c r="I287" s="21"/>
      <c r="J287" s="21"/>
      <c r="K287" s="21"/>
      <c r="L287" s="21"/>
      <c r="M287" s="21"/>
      <c r="N287" s="21"/>
      <c r="O287" s="21"/>
      <c r="P287" s="21"/>
      <c r="Q287" s="21"/>
      <c r="R287" s="21"/>
      <c r="S287" s="21"/>
      <c r="T287" s="21"/>
      <c r="U287" s="21"/>
      <c r="V287" s="21"/>
      <c r="W287" s="21"/>
      <c r="X287" s="21"/>
      <c r="Y287" s="21"/>
      <c r="Z287" s="21"/>
      <c r="AA287" s="21"/>
    </row>
    <row r="288">
      <c r="A288" s="6" t="str">
        <f t="array" ref="A288">IF(I288="","",IFERROR(INDEX(CONFIGURACION!H:H,MATCH(I288,CONFIGURACION!J:J,0)),""))
</f>
        <v/>
      </c>
      <c r="B288" s="6" t="str">
        <f t="array" ref="B288">IF(I288="","",IFERROR(INDEX(CONFIGURACION!I:I,MATCH(I288,CONFIGURACION!J:J,0)),""))
</f>
        <v/>
      </c>
      <c r="C288" s="6"/>
      <c r="D288" s="25"/>
      <c r="E288" s="24"/>
      <c r="F288" s="21"/>
      <c r="G288" s="21"/>
      <c r="H288" s="21"/>
      <c r="I288" s="21"/>
      <c r="J288" s="21"/>
      <c r="K288" s="21"/>
      <c r="L288" s="21"/>
      <c r="M288" s="21"/>
      <c r="N288" s="21"/>
      <c r="O288" s="21"/>
      <c r="P288" s="21"/>
      <c r="Q288" s="21"/>
      <c r="R288" s="21"/>
      <c r="S288" s="21"/>
      <c r="T288" s="21"/>
      <c r="U288" s="21"/>
      <c r="V288" s="21"/>
      <c r="W288" s="21"/>
      <c r="X288" s="21"/>
      <c r="Y288" s="21"/>
      <c r="Z288" s="21"/>
      <c r="AA288" s="21"/>
    </row>
    <row r="289">
      <c r="A289" s="6" t="str">
        <f t="array" ref="A289">IF(I289="","",IFERROR(INDEX(CONFIGURACION!H:H,MATCH(I289,CONFIGURACION!J:J,0)),""))
</f>
        <v/>
      </c>
      <c r="B289" s="6" t="str">
        <f t="array" ref="B289">IF(I289="","",IFERROR(INDEX(CONFIGURACION!I:I,MATCH(I289,CONFIGURACION!J:J,0)),""))
</f>
        <v/>
      </c>
      <c r="C289" s="6"/>
      <c r="D289" s="25"/>
      <c r="E289" s="24"/>
      <c r="F289" s="21"/>
      <c r="G289" s="21"/>
      <c r="H289" s="21"/>
      <c r="I289" s="21"/>
      <c r="J289" s="21"/>
      <c r="K289" s="21"/>
      <c r="L289" s="21"/>
      <c r="M289" s="21"/>
      <c r="N289" s="21"/>
      <c r="O289" s="21"/>
      <c r="P289" s="21"/>
      <c r="Q289" s="21"/>
      <c r="R289" s="21"/>
      <c r="S289" s="21"/>
      <c r="T289" s="21"/>
      <c r="U289" s="21"/>
      <c r="V289" s="21"/>
      <c r="W289" s="21"/>
      <c r="X289" s="21"/>
      <c r="Y289" s="21"/>
      <c r="Z289" s="21"/>
      <c r="AA289" s="21"/>
    </row>
    <row r="290">
      <c r="A290" s="6" t="str">
        <f t="array" ref="A290">IF(I290="","",IFERROR(INDEX(CONFIGURACION!H:H,MATCH(I290,CONFIGURACION!J:J,0)),""))
</f>
        <v/>
      </c>
      <c r="B290" s="6" t="str">
        <f t="array" ref="B290">IF(I290="","",IFERROR(INDEX(CONFIGURACION!I:I,MATCH(I290,CONFIGURACION!J:J,0)),""))
</f>
        <v/>
      </c>
      <c r="C290" s="6"/>
      <c r="D290" s="25"/>
      <c r="E290" s="24"/>
      <c r="F290" s="21"/>
      <c r="G290" s="21"/>
      <c r="H290" s="21"/>
      <c r="I290" s="21"/>
      <c r="J290" s="21"/>
      <c r="K290" s="21"/>
      <c r="L290" s="21"/>
      <c r="M290" s="21"/>
      <c r="N290" s="21"/>
      <c r="O290" s="21"/>
      <c r="P290" s="21"/>
      <c r="Q290" s="21"/>
      <c r="R290" s="21"/>
      <c r="S290" s="21"/>
      <c r="T290" s="21"/>
      <c r="U290" s="21"/>
      <c r="V290" s="21"/>
      <c r="W290" s="21"/>
      <c r="X290" s="21"/>
      <c r="Y290" s="21"/>
      <c r="Z290" s="21"/>
      <c r="AA290" s="21"/>
    </row>
    <row r="291">
      <c r="A291" s="6" t="str">
        <f t="array" ref="A291">IF(I291="","",IFERROR(INDEX(CONFIGURACION!H:H,MATCH(I291,CONFIGURACION!J:J,0)),""))
</f>
        <v/>
      </c>
      <c r="B291" s="6" t="str">
        <f t="array" ref="B291">IF(I291="","",IFERROR(INDEX(CONFIGURACION!I:I,MATCH(I291,CONFIGURACION!J:J,0)),""))
</f>
        <v/>
      </c>
      <c r="C291" s="6"/>
      <c r="D291" s="25"/>
      <c r="E291" s="24"/>
      <c r="F291" s="21"/>
      <c r="G291" s="21"/>
      <c r="H291" s="21"/>
      <c r="I291" s="21"/>
      <c r="J291" s="21"/>
      <c r="K291" s="21"/>
      <c r="L291" s="21"/>
      <c r="M291" s="21"/>
      <c r="N291" s="21"/>
      <c r="O291" s="21"/>
      <c r="P291" s="21"/>
      <c r="Q291" s="21"/>
      <c r="R291" s="21"/>
      <c r="S291" s="21"/>
      <c r="T291" s="21"/>
      <c r="U291" s="21"/>
      <c r="V291" s="21"/>
      <c r="W291" s="21"/>
      <c r="X291" s="21"/>
      <c r="Y291" s="21"/>
      <c r="Z291" s="21"/>
      <c r="AA291" s="21"/>
    </row>
    <row r="292">
      <c r="A292" s="6" t="str">
        <f t="array" ref="A292">IF(I292="","",IFERROR(INDEX(CONFIGURACION!H:H,MATCH(I292,CONFIGURACION!J:J,0)),""))
</f>
        <v/>
      </c>
      <c r="B292" s="6" t="str">
        <f t="array" ref="B292">IF(I292="","",IFERROR(INDEX(CONFIGURACION!I:I,MATCH(I292,CONFIGURACION!J:J,0)),""))
</f>
        <v/>
      </c>
      <c r="C292" s="6"/>
      <c r="D292" s="25"/>
      <c r="E292" s="24"/>
      <c r="F292" s="21"/>
      <c r="G292" s="21"/>
      <c r="H292" s="21"/>
      <c r="I292" s="21"/>
      <c r="J292" s="21"/>
      <c r="K292" s="21"/>
      <c r="L292" s="21"/>
      <c r="M292" s="21"/>
      <c r="N292" s="21"/>
      <c r="O292" s="21"/>
      <c r="P292" s="21"/>
      <c r="Q292" s="21"/>
      <c r="R292" s="21"/>
      <c r="S292" s="21"/>
      <c r="T292" s="21"/>
      <c r="U292" s="21"/>
      <c r="V292" s="21"/>
      <c r="W292" s="21"/>
      <c r="X292" s="21"/>
      <c r="Y292" s="21"/>
      <c r="Z292" s="21"/>
      <c r="AA292" s="21"/>
    </row>
    <row r="293">
      <c r="A293" s="6" t="str">
        <f t="array" ref="A293">IF(I293="","",IFERROR(INDEX(CONFIGURACION!H:H,MATCH(I293,CONFIGURACION!J:J,0)),""))
</f>
        <v/>
      </c>
      <c r="B293" s="6" t="str">
        <f t="array" ref="B293">IF(I293="","",IFERROR(INDEX(CONFIGURACION!I:I,MATCH(I293,CONFIGURACION!J:J,0)),""))
</f>
        <v/>
      </c>
      <c r="C293" s="6"/>
      <c r="D293" s="25"/>
      <c r="E293" s="24"/>
      <c r="F293" s="21"/>
      <c r="G293" s="21"/>
      <c r="H293" s="21"/>
      <c r="I293" s="21"/>
      <c r="J293" s="21"/>
      <c r="K293" s="21"/>
      <c r="L293" s="21"/>
      <c r="M293" s="21"/>
      <c r="N293" s="21"/>
      <c r="O293" s="21"/>
      <c r="P293" s="21"/>
      <c r="Q293" s="21"/>
      <c r="R293" s="21"/>
      <c r="S293" s="21"/>
      <c r="T293" s="21"/>
      <c r="U293" s="21"/>
      <c r="V293" s="21"/>
      <c r="W293" s="21"/>
      <c r="X293" s="21"/>
      <c r="Y293" s="21"/>
      <c r="Z293" s="21"/>
      <c r="AA293" s="21"/>
    </row>
    <row r="294">
      <c r="A294" s="6" t="str">
        <f t="array" ref="A294">IF(I294="","",IFERROR(INDEX(CONFIGURACION!H:H,MATCH(I294,CONFIGURACION!J:J,0)),""))
</f>
        <v/>
      </c>
      <c r="B294" s="6" t="str">
        <f t="array" ref="B294">IF(I294="","",IFERROR(INDEX(CONFIGURACION!I:I,MATCH(I294,CONFIGURACION!J:J,0)),""))
</f>
        <v/>
      </c>
      <c r="C294" s="6"/>
      <c r="D294" s="25"/>
      <c r="E294" s="24"/>
      <c r="F294" s="21"/>
      <c r="G294" s="21"/>
      <c r="H294" s="21"/>
      <c r="I294" s="21"/>
      <c r="J294" s="21"/>
      <c r="K294" s="21"/>
      <c r="L294" s="21"/>
      <c r="M294" s="21"/>
      <c r="N294" s="21"/>
      <c r="O294" s="21"/>
      <c r="P294" s="21"/>
      <c r="Q294" s="21"/>
      <c r="R294" s="21"/>
      <c r="S294" s="21"/>
      <c r="T294" s="21"/>
      <c r="U294" s="21"/>
      <c r="V294" s="21"/>
      <c r="W294" s="21"/>
      <c r="X294" s="21"/>
      <c r="Y294" s="21"/>
      <c r="Z294" s="21"/>
      <c r="AA294" s="21"/>
    </row>
    <row r="295">
      <c r="A295" s="6" t="str">
        <f t="array" ref="A295">IF(I295="","",IFERROR(INDEX(CONFIGURACION!H:H,MATCH(I295,CONFIGURACION!J:J,0)),""))
</f>
        <v/>
      </c>
      <c r="B295" s="6" t="str">
        <f t="array" ref="B295">IF(I295="","",IFERROR(INDEX(CONFIGURACION!I:I,MATCH(I295,CONFIGURACION!J:J,0)),""))
</f>
        <v/>
      </c>
      <c r="C295" s="6"/>
      <c r="D295" s="25"/>
      <c r="E295" s="24"/>
      <c r="F295" s="21"/>
      <c r="G295" s="21"/>
      <c r="H295" s="21"/>
      <c r="I295" s="21"/>
      <c r="J295" s="21"/>
      <c r="K295" s="21"/>
      <c r="L295" s="21"/>
      <c r="M295" s="21"/>
      <c r="N295" s="21"/>
      <c r="O295" s="21"/>
      <c r="P295" s="21"/>
      <c r="Q295" s="21"/>
      <c r="R295" s="21"/>
      <c r="S295" s="21"/>
      <c r="T295" s="21"/>
      <c r="U295" s="21"/>
      <c r="V295" s="21"/>
      <c r="W295" s="21"/>
      <c r="X295" s="21"/>
      <c r="Y295" s="21"/>
      <c r="Z295" s="21"/>
      <c r="AA295" s="21"/>
    </row>
    <row r="296">
      <c r="A296" s="6" t="str">
        <f t="array" ref="A296">IF(I296="","",IFERROR(INDEX(CONFIGURACION!H:H,MATCH(I296,CONFIGURACION!J:J,0)),""))
</f>
        <v/>
      </c>
      <c r="B296" s="6" t="str">
        <f t="array" ref="B296">IF(I296="","",IFERROR(INDEX(CONFIGURACION!I:I,MATCH(I296,CONFIGURACION!J:J,0)),""))
</f>
        <v/>
      </c>
      <c r="C296" s="6"/>
      <c r="D296" s="25"/>
      <c r="E296" s="24"/>
      <c r="F296" s="21"/>
      <c r="G296" s="21"/>
      <c r="H296" s="21"/>
      <c r="I296" s="21"/>
      <c r="J296" s="21"/>
      <c r="K296" s="21"/>
      <c r="L296" s="21"/>
      <c r="M296" s="21"/>
      <c r="N296" s="21"/>
      <c r="O296" s="21"/>
      <c r="P296" s="21"/>
      <c r="Q296" s="21"/>
      <c r="R296" s="21"/>
      <c r="S296" s="21"/>
      <c r="T296" s="21"/>
      <c r="U296" s="21"/>
      <c r="V296" s="21"/>
      <c r="W296" s="21"/>
      <c r="X296" s="21"/>
      <c r="Y296" s="21"/>
      <c r="Z296" s="21"/>
      <c r="AA296" s="21"/>
    </row>
    <row r="297">
      <c r="A297" s="6" t="str">
        <f t="array" ref="A297">IF(I297="","",IFERROR(INDEX(CONFIGURACION!H:H,MATCH(I297,CONFIGURACION!J:J,0)),""))
</f>
        <v/>
      </c>
      <c r="B297" s="6" t="str">
        <f t="array" ref="B297">IF(I297="","",IFERROR(INDEX(CONFIGURACION!I:I,MATCH(I297,CONFIGURACION!J:J,0)),""))
</f>
        <v/>
      </c>
      <c r="C297" s="6"/>
      <c r="D297" s="25"/>
      <c r="E297" s="24"/>
      <c r="F297" s="21"/>
      <c r="G297" s="21"/>
      <c r="H297" s="21"/>
      <c r="I297" s="21"/>
      <c r="J297" s="21"/>
      <c r="K297" s="21"/>
      <c r="L297" s="21"/>
      <c r="M297" s="21"/>
      <c r="N297" s="21"/>
      <c r="O297" s="21"/>
      <c r="P297" s="21"/>
      <c r="Q297" s="21"/>
      <c r="R297" s="21"/>
      <c r="S297" s="21"/>
      <c r="T297" s="21"/>
      <c r="U297" s="21"/>
      <c r="V297" s="21"/>
      <c r="W297" s="21"/>
      <c r="X297" s="21"/>
      <c r="Y297" s="21"/>
      <c r="Z297" s="21"/>
      <c r="AA297" s="21"/>
    </row>
    <row r="298">
      <c r="A298" s="6" t="str">
        <f t="array" ref="A298">IF(I298="","",IFERROR(INDEX(CONFIGURACION!H:H,MATCH(I298,CONFIGURACION!J:J,0)),""))
</f>
        <v/>
      </c>
      <c r="B298" s="6" t="str">
        <f t="array" ref="B298">IF(I298="","",IFERROR(INDEX(CONFIGURACION!I:I,MATCH(I298,CONFIGURACION!J:J,0)),""))
</f>
        <v/>
      </c>
      <c r="C298" s="6"/>
      <c r="D298" s="25"/>
      <c r="E298" s="24"/>
      <c r="F298" s="21"/>
      <c r="G298" s="21"/>
      <c r="H298" s="21"/>
      <c r="I298" s="21"/>
      <c r="J298" s="21"/>
      <c r="K298" s="21"/>
      <c r="L298" s="21"/>
      <c r="M298" s="21"/>
      <c r="N298" s="21"/>
      <c r="O298" s="21"/>
      <c r="P298" s="21"/>
      <c r="Q298" s="21"/>
      <c r="R298" s="21"/>
      <c r="S298" s="21"/>
      <c r="T298" s="21"/>
      <c r="U298" s="21"/>
      <c r="V298" s="21"/>
      <c r="W298" s="21"/>
      <c r="X298" s="21"/>
      <c r="Y298" s="21"/>
      <c r="Z298" s="21"/>
      <c r="AA298" s="21"/>
    </row>
    <row r="299">
      <c r="A299" s="6" t="str">
        <f t="array" ref="A299">IF(I299="","",IFERROR(INDEX(CONFIGURACION!H:H,MATCH(I299,CONFIGURACION!J:J,0)),""))
</f>
        <v/>
      </c>
      <c r="B299" s="6" t="str">
        <f t="array" ref="B299">IF(I299="","",IFERROR(INDEX(CONFIGURACION!I:I,MATCH(I299,CONFIGURACION!J:J,0)),""))
</f>
        <v/>
      </c>
      <c r="C299" s="6"/>
      <c r="D299" s="25"/>
      <c r="E299" s="24"/>
      <c r="F299" s="21"/>
      <c r="G299" s="21"/>
      <c r="H299" s="21"/>
      <c r="I299" s="21"/>
      <c r="J299" s="21"/>
      <c r="K299" s="21"/>
      <c r="L299" s="21"/>
      <c r="M299" s="21"/>
      <c r="N299" s="21"/>
      <c r="O299" s="21"/>
      <c r="P299" s="21"/>
      <c r="Q299" s="21"/>
      <c r="R299" s="21"/>
      <c r="S299" s="21"/>
      <c r="T299" s="21"/>
      <c r="U299" s="21"/>
      <c r="V299" s="21"/>
      <c r="W299" s="21"/>
      <c r="X299" s="21"/>
      <c r="Y299" s="21"/>
      <c r="Z299" s="21"/>
      <c r="AA299" s="21"/>
    </row>
    <row r="300">
      <c r="A300" s="6" t="str">
        <f t="array" ref="A300">IF(I300="","",IFERROR(INDEX(CONFIGURACION!H:H,MATCH(I300,CONFIGURACION!J:J,0)),""))
</f>
        <v/>
      </c>
      <c r="B300" s="6" t="str">
        <f t="array" ref="B300">IF(I300="","",IFERROR(INDEX(CONFIGURACION!I:I,MATCH(I300,CONFIGURACION!J:J,0)),""))
</f>
        <v/>
      </c>
      <c r="C300" s="6"/>
      <c r="D300" s="25"/>
      <c r="E300" s="24"/>
      <c r="F300" s="21"/>
      <c r="G300" s="21"/>
      <c r="H300" s="21"/>
      <c r="I300" s="21"/>
      <c r="J300" s="21"/>
      <c r="K300" s="21"/>
      <c r="L300" s="21"/>
      <c r="M300" s="21"/>
      <c r="N300" s="21"/>
      <c r="O300" s="21"/>
      <c r="P300" s="21"/>
      <c r="Q300" s="21"/>
      <c r="R300" s="21"/>
      <c r="S300" s="21"/>
      <c r="T300" s="21"/>
      <c r="U300" s="21"/>
      <c r="V300" s="21"/>
      <c r="W300" s="21"/>
      <c r="X300" s="21"/>
      <c r="Y300" s="21"/>
      <c r="Z300" s="21"/>
      <c r="AA300" s="21"/>
    </row>
    <row r="301">
      <c r="A301" s="6" t="str">
        <f t="array" ref="A301">IF(I301="","",IFERROR(INDEX(CONFIGURACION!H:H,MATCH(I301,CONFIGURACION!J:J,0)),""))
</f>
        <v/>
      </c>
      <c r="B301" s="6" t="str">
        <f t="array" ref="B301">IF(I301="","",IFERROR(INDEX(CONFIGURACION!I:I,MATCH(I301,CONFIGURACION!J:J,0)),""))
</f>
        <v/>
      </c>
      <c r="C301" s="6"/>
      <c r="D301" s="25"/>
      <c r="E301" s="24"/>
      <c r="F301" s="21"/>
      <c r="G301" s="21"/>
      <c r="H301" s="21"/>
      <c r="I301" s="21"/>
      <c r="J301" s="21"/>
      <c r="K301" s="21"/>
      <c r="L301" s="21"/>
      <c r="M301" s="21"/>
      <c r="N301" s="21"/>
      <c r="O301" s="21"/>
      <c r="P301" s="21"/>
      <c r="Q301" s="21"/>
      <c r="R301" s="21"/>
      <c r="S301" s="21"/>
      <c r="T301" s="21"/>
      <c r="U301" s="21"/>
      <c r="V301" s="21"/>
      <c r="W301" s="21"/>
      <c r="X301" s="21"/>
      <c r="Y301" s="21"/>
      <c r="Z301" s="21"/>
      <c r="AA301" s="21"/>
    </row>
    <row r="302">
      <c r="A302" s="6" t="str">
        <f t="array" ref="A302">IF(I302="","",IFERROR(INDEX(CONFIGURACION!H:H,MATCH(I302,CONFIGURACION!J:J,0)),""))
</f>
        <v/>
      </c>
      <c r="B302" s="6" t="str">
        <f t="array" ref="B302">IF(I302="","",IFERROR(INDEX(CONFIGURACION!I:I,MATCH(I302,CONFIGURACION!J:J,0)),""))
</f>
        <v/>
      </c>
      <c r="C302" s="6"/>
      <c r="D302" s="25"/>
      <c r="E302" s="24"/>
      <c r="F302" s="21"/>
      <c r="G302" s="21"/>
      <c r="H302" s="21"/>
      <c r="I302" s="21"/>
      <c r="J302" s="21"/>
      <c r="K302" s="21"/>
      <c r="L302" s="21"/>
      <c r="M302" s="21"/>
      <c r="N302" s="21"/>
      <c r="O302" s="21"/>
      <c r="P302" s="21"/>
      <c r="Q302" s="21"/>
      <c r="R302" s="21"/>
      <c r="S302" s="21"/>
      <c r="T302" s="21"/>
      <c r="U302" s="21"/>
      <c r="V302" s="21"/>
      <c r="W302" s="21"/>
      <c r="X302" s="21"/>
      <c r="Y302" s="21"/>
      <c r="Z302" s="21"/>
      <c r="AA302" s="21"/>
    </row>
    <row r="303">
      <c r="A303" s="6" t="str">
        <f t="array" ref="A303">IF(I303="","",IFERROR(INDEX(CONFIGURACION!H:H,MATCH(I303,CONFIGURACION!J:J,0)),""))
</f>
        <v/>
      </c>
      <c r="B303" s="6" t="str">
        <f t="array" ref="B303">IF(I303="","",IFERROR(INDEX(CONFIGURACION!I:I,MATCH(I303,CONFIGURACION!J:J,0)),""))
</f>
        <v/>
      </c>
      <c r="C303" s="6"/>
      <c r="D303" s="25"/>
      <c r="E303" s="24"/>
      <c r="F303" s="21"/>
      <c r="G303" s="21"/>
      <c r="H303" s="21"/>
      <c r="I303" s="21"/>
      <c r="J303" s="21"/>
      <c r="K303" s="21"/>
      <c r="L303" s="21"/>
      <c r="M303" s="21"/>
      <c r="N303" s="21"/>
      <c r="O303" s="21"/>
      <c r="P303" s="21"/>
      <c r="Q303" s="21"/>
      <c r="R303" s="21"/>
      <c r="S303" s="21"/>
      <c r="T303" s="21"/>
      <c r="U303" s="21"/>
      <c r="V303" s="21"/>
      <c r="W303" s="21"/>
      <c r="X303" s="21"/>
      <c r="Y303" s="21"/>
      <c r="Z303" s="21"/>
      <c r="AA303" s="21"/>
    </row>
    <row r="304">
      <c r="A304" s="6" t="str">
        <f t="array" ref="A304">IF(I304="","",IFERROR(INDEX(CONFIGURACION!H:H,MATCH(I304,CONFIGURACION!J:J,0)),""))
</f>
        <v/>
      </c>
      <c r="B304" s="6" t="str">
        <f t="array" ref="B304">IF(I304="","",IFERROR(INDEX(CONFIGURACION!I:I,MATCH(I304,CONFIGURACION!J:J,0)),""))
</f>
        <v/>
      </c>
      <c r="C304" s="6"/>
      <c r="D304" s="25"/>
      <c r="E304" s="24"/>
      <c r="F304" s="21"/>
      <c r="G304" s="21"/>
      <c r="H304" s="21"/>
      <c r="I304" s="21"/>
      <c r="J304" s="21"/>
      <c r="K304" s="21"/>
      <c r="L304" s="21"/>
      <c r="M304" s="21"/>
      <c r="N304" s="21"/>
      <c r="O304" s="21"/>
      <c r="P304" s="21"/>
      <c r="Q304" s="21"/>
      <c r="R304" s="21"/>
      <c r="S304" s="21"/>
      <c r="T304" s="21"/>
      <c r="U304" s="21"/>
      <c r="V304" s="21"/>
      <c r="W304" s="21"/>
      <c r="X304" s="21"/>
      <c r="Y304" s="21"/>
      <c r="Z304" s="21"/>
      <c r="AA304" s="21"/>
    </row>
    <row r="305">
      <c r="A305" s="6" t="str">
        <f t="array" ref="A305">IF(I305="","",IFERROR(INDEX(CONFIGURACION!H:H,MATCH(I305,CONFIGURACION!J:J,0)),""))
</f>
        <v/>
      </c>
      <c r="B305" s="6" t="str">
        <f t="array" ref="B305">IF(I305="","",IFERROR(INDEX(CONFIGURACION!I:I,MATCH(I305,CONFIGURACION!J:J,0)),""))
</f>
        <v/>
      </c>
      <c r="C305" s="6"/>
      <c r="D305" s="25"/>
      <c r="E305" s="24"/>
      <c r="F305" s="21"/>
      <c r="G305" s="21"/>
      <c r="H305" s="21"/>
      <c r="I305" s="21"/>
      <c r="J305" s="21"/>
      <c r="K305" s="21"/>
      <c r="L305" s="21"/>
      <c r="M305" s="21"/>
      <c r="N305" s="21"/>
      <c r="O305" s="21"/>
      <c r="P305" s="21"/>
      <c r="Q305" s="21"/>
      <c r="R305" s="21"/>
      <c r="S305" s="21"/>
      <c r="T305" s="21"/>
      <c r="U305" s="21"/>
      <c r="V305" s="21"/>
      <c r="W305" s="21"/>
      <c r="X305" s="21"/>
      <c r="Y305" s="21"/>
      <c r="Z305" s="21"/>
      <c r="AA305" s="21"/>
    </row>
    <row r="306">
      <c r="A306" s="6" t="str">
        <f t="array" ref="A306">IF(I306="","",IFERROR(INDEX(CONFIGURACION!H:H,MATCH(I306,CONFIGURACION!J:J,0)),""))
</f>
        <v/>
      </c>
      <c r="B306" s="6" t="str">
        <f t="array" ref="B306">IF(I306="","",IFERROR(INDEX(CONFIGURACION!I:I,MATCH(I306,CONFIGURACION!J:J,0)),""))
</f>
        <v/>
      </c>
      <c r="C306" s="6"/>
      <c r="D306" s="25"/>
      <c r="E306" s="24"/>
      <c r="F306" s="21"/>
      <c r="G306" s="21"/>
      <c r="H306" s="21"/>
      <c r="I306" s="21"/>
      <c r="J306" s="21"/>
      <c r="K306" s="21"/>
      <c r="L306" s="21"/>
      <c r="M306" s="21"/>
      <c r="N306" s="21"/>
      <c r="O306" s="21"/>
      <c r="P306" s="21"/>
      <c r="Q306" s="21"/>
      <c r="R306" s="21"/>
      <c r="S306" s="21"/>
      <c r="T306" s="21"/>
      <c r="U306" s="21"/>
      <c r="V306" s="21"/>
      <c r="W306" s="21"/>
      <c r="X306" s="21"/>
      <c r="Y306" s="21"/>
      <c r="Z306" s="21"/>
      <c r="AA306" s="21"/>
    </row>
    <row r="307">
      <c r="A307" s="6" t="str">
        <f t="array" ref="A307">IF(I307="","",IFERROR(INDEX(CONFIGURACION!H:H,MATCH(I307,CONFIGURACION!J:J,0)),""))
</f>
        <v/>
      </c>
      <c r="B307" s="6" t="str">
        <f t="array" ref="B307">IF(I307="","",IFERROR(INDEX(CONFIGURACION!I:I,MATCH(I307,CONFIGURACION!J:J,0)),""))
</f>
        <v/>
      </c>
      <c r="C307" s="6"/>
      <c r="D307" s="25"/>
      <c r="E307" s="24"/>
      <c r="F307" s="21"/>
      <c r="G307" s="21"/>
      <c r="H307" s="21"/>
      <c r="I307" s="21"/>
      <c r="J307" s="21"/>
      <c r="K307" s="21"/>
      <c r="L307" s="21"/>
      <c r="M307" s="21"/>
      <c r="N307" s="21"/>
      <c r="O307" s="21"/>
      <c r="P307" s="21"/>
      <c r="Q307" s="21"/>
      <c r="R307" s="21"/>
      <c r="S307" s="21"/>
      <c r="T307" s="21"/>
      <c r="U307" s="21"/>
      <c r="V307" s="21"/>
      <c r="W307" s="21"/>
      <c r="X307" s="21"/>
      <c r="Y307" s="21"/>
      <c r="Z307" s="21"/>
      <c r="AA307" s="21"/>
    </row>
    <row r="308">
      <c r="A308" s="6" t="str">
        <f t="array" ref="A308">IF(I308="","",IFERROR(INDEX(CONFIGURACION!H:H,MATCH(I308,CONFIGURACION!J:J,0)),""))
</f>
        <v/>
      </c>
      <c r="B308" s="6" t="str">
        <f t="array" ref="B308">IF(I308="","",IFERROR(INDEX(CONFIGURACION!I:I,MATCH(I308,CONFIGURACION!J:J,0)),""))
</f>
        <v/>
      </c>
      <c r="C308" s="6"/>
      <c r="D308" s="25"/>
      <c r="E308" s="24"/>
      <c r="F308" s="21"/>
      <c r="G308" s="21"/>
      <c r="H308" s="21"/>
      <c r="I308" s="21"/>
      <c r="J308" s="21"/>
      <c r="K308" s="21"/>
      <c r="L308" s="21"/>
      <c r="M308" s="21"/>
      <c r="N308" s="21"/>
      <c r="O308" s="21"/>
      <c r="P308" s="21"/>
      <c r="Q308" s="21"/>
      <c r="R308" s="21"/>
      <c r="S308" s="21"/>
      <c r="T308" s="21"/>
      <c r="U308" s="21"/>
      <c r="V308" s="21"/>
      <c r="W308" s="21"/>
      <c r="X308" s="21"/>
      <c r="Y308" s="21"/>
      <c r="Z308" s="21"/>
      <c r="AA308" s="21"/>
    </row>
    <row r="309">
      <c r="A309" s="6" t="str">
        <f t="array" ref="A309">IF(I309="","",IFERROR(INDEX(CONFIGURACION!H:H,MATCH(I309,CONFIGURACION!J:J,0)),""))
</f>
        <v/>
      </c>
      <c r="B309" s="6" t="str">
        <f t="array" ref="B309">IF(I309="","",IFERROR(INDEX(CONFIGURACION!I:I,MATCH(I309,CONFIGURACION!J:J,0)),""))
</f>
        <v/>
      </c>
      <c r="C309" s="6"/>
      <c r="D309" s="25"/>
      <c r="E309" s="24"/>
      <c r="F309" s="21"/>
      <c r="G309" s="21"/>
      <c r="H309" s="21"/>
      <c r="I309" s="21"/>
      <c r="J309" s="21"/>
      <c r="K309" s="21"/>
      <c r="L309" s="21"/>
      <c r="M309" s="21"/>
      <c r="N309" s="21"/>
      <c r="O309" s="21"/>
      <c r="P309" s="21"/>
      <c r="Q309" s="21"/>
      <c r="R309" s="21"/>
      <c r="S309" s="21"/>
      <c r="T309" s="21"/>
      <c r="U309" s="21"/>
      <c r="V309" s="21"/>
      <c r="W309" s="21"/>
      <c r="X309" s="21"/>
      <c r="Y309" s="21"/>
      <c r="Z309" s="21"/>
      <c r="AA309" s="21"/>
    </row>
    <row r="310">
      <c r="A310" s="6" t="str">
        <f t="array" ref="A310">IF(I310="","",IFERROR(INDEX(CONFIGURACION!H:H,MATCH(I310,CONFIGURACION!J:J,0)),""))
</f>
        <v/>
      </c>
      <c r="B310" s="6" t="str">
        <f t="array" ref="B310">IF(I310="","",IFERROR(INDEX(CONFIGURACION!I:I,MATCH(I310,CONFIGURACION!J:J,0)),""))
</f>
        <v/>
      </c>
      <c r="C310" s="6"/>
      <c r="D310" s="25"/>
      <c r="E310" s="24"/>
      <c r="F310" s="21"/>
      <c r="G310" s="21"/>
      <c r="H310" s="21"/>
      <c r="I310" s="21"/>
      <c r="J310" s="21"/>
      <c r="K310" s="21"/>
      <c r="L310" s="21"/>
      <c r="M310" s="21"/>
      <c r="N310" s="21"/>
      <c r="O310" s="21"/>
      <c r="P310" s="21"/>
      <c r="Q310" s="21"/>
      <c r="R310" s="21"/>
      <c r="S310" s="21"/>
      <c r="T310" s="21"/>
      <c r="U310" s="21"/>
      <c r="V310" s="21"/>
      <c r="W310" s="21"/>
      <c r="X310" s="21"/>
      <c r="Y310" s="21"/>
      <c r="Z310" s="21"/>
      <c r="AA310" s="21"/>
    </row>
    <row r="311">
      <c r="A311" s="6" t="str">
        <f t="array" ref="A311">IF(I311="","",IFERROR(INDEX(CONFIGURACION!H:H,MATCH(I311,CONFIGURACION!J:J,0)),""))
</f>
        <v/>
      </c>
      <c r="B311" s="6" t="str">
        <f t="array" ref="B311">IF(I311="","",IFERROR(INDEX(CONFIGURACION!I:I,MATCH(I311,CONFIGURACION!J:J,0)),""))
</f>
        <v/>
      </c>
      <c r="C311" s="6"/>
      <c r="D311" s="25"/>
      <c r="E311" s="24"/>
      <c r="F311" s="21"/>
      <c r="G311" s="21"/>
      <c r="H311" s="21"/>
      <c r="I311" s="21"/>
      <c r="J311" s="21"/>
      <c r="K311" s="21"/>
      <c r="L311" s="21"/>
      <c r="M311" s="21"/>
      <c r="N311" s="21"/>
      <c r="O311" s="21"/>
      <c r="P311" s="21"/>
      <c r="Q311" s="21"/>
      <c r="R311" s="21"/>
      <c r="S311" s="21"/>
      <c r="T311" s="21"/>
      <c r="U311" s="21"/>
      <c r="V311" s="21"/>
      <c r="W311" s="21"/>
      <c r="X311" s="21"/>
      <c r="Y311" s="21"/>
      <c r="Z311" s="21"/>
      <c r="AA311" s="21"/>
    </row>
    <row r="312">
      <c r="A312" s="6" t="str">
        <f t="array" ref="A312">IF(I312="","",IFERROR(INDEX(CONFIGURACION!H:H,MATCH(I312,CONFIGURACION!J:J,0)),""))
</f>
        <v/>
      </c>
      <c r="B312" s="6" t="str">
        <f t="array" ref="B312">IF(I312="","",IFERROR(INDEX(CONFIGURACION!I:I,MATCH(I312,CONFIGURACION!J:J,0)),""))
</f>
        <v/>
      </c>
      <c r="C312" s="6"/>
      <c r="D312" s="25"/>
      <c r="E312" s="24"/>
      <c r="F312" s="21"/>
      <c r="G312" s="21"/>
      <c r="H312" s="21"/>
      <c r="I312" s="21"/>
      <c r="J312" s="21"/>
      <c r="K312" s="21"/>
      <c r="L312" s="21"/>
      <c r="M312" s="21"/>
      <c r="N312" s="21"/>
      <c r="O312" s="21"/>
      <c r="P312" s="21"/>
      <c r="Q312" s="21"/>
      <c r="R312" s="21"/>
      <c r="S312" s="21"/>
      <c r="T312" s="21"/>
      <c r="U312" s="21"/>
      <c r="V312" s="21"/>
      <c r="W312" s="21"/>
      <c r="X312" s="21"/>
      <c r="Y312" s="21"/>
      <c r="Z312" s="21"/>
      <c r="AA312" s="21"/>
    </row>
    <row r="313">
      <c r="A313" s="6" t="str">
        <f t="array" ref="A313">IF(I313="","",IFERROR(INDEX(CONFIGURACION!H:H,MATCH(I313,CONFIGURACION!J:J,0)),""))
</f>
        <v/>
      </c>
      <c r="B313" s="6" t="str">
        <f t="array" ref="B313">IF(I313="","",IFERROR(INDEX(CONFIGURACION!I:I,MATCH(I313,CONFIGURACION!J:J,0)),""))
</f>
        <v/>
      </c>
      <c r="C313" s="6"/>
      <c r="D313" s="25"/>
      <c r="E313" s="24"/>
      <c r="F313" s="21"/>
      <c r="G313" s="21"/>
      <c r="H313" s="21"/>
      <c r="I313" s="21"/>
      <c r="J313" s="21"/>
      <c r="K313" s="21"/>
      <c r="L313" s="21"/>
      <c r="M313" s="21"/>
      <c r="N313" s="21"/>
      <c r="O313" s="21"/>
      <c r="P313" s="21"/>
      <c r="Q313" s="21"/>
      <c r="R313" s="21"/>
      <c r="S313" s="21"/>
      <c r="T313" s="21"/>
      <c r="U313" s="21"/>
      <c r="V313" s="21"/>
      <c r="W313" s="21"/>
      <c r="X313" s="21"/>
      <c r="Y313" s="21"/>
      <c r="Z313" s="21"/>
      <c r="AA313" s="21"/>
    </row>
    <row r="314">
      <c r="A314" s="6" t="str">
        <f t="array" ref="A314">IF(I314="","",IFERROR(INDEX(CONFIGURACION!H:H,MATCH(I314,CONFIGURACION!J:J,0)),""))
</f>
        <v/>
      </c>
      <c r="B314" s="6" t="str">
        <f t="array" ref="B314">IF(I314="","",IFERROR(INDEX(CONFIGURACION!I:I,MATCH(I314,CONFIGURACION!J:J,0)),""))
</f>
        <v/>
      </c>
      <c r="C314" s="6"/>
      <c r="D314" s="25"/>
      <c r="E314" s="24"/>
      <c r="F314" s="21"/>
      <c r="G314" s="21"/>
      <c r="H314" s="21"/>
      <c r="I314" s="21"/>
      <c r="J314" s="21"/>
      <c r="K314" s="21"/>
      <c r="L314" s="21"/>
      <c r="M314" s="21"/>
      <c r="N314" s="21"/>
      <c r="O314" s="21"/>
      <c r="P314" s="21"/>
      <c r="Q314" s="21"/>
      <c r="R314" s="21"/>
      <c r="S314" s="21"/>
      <c r="T314" s="21"/>
      <c r="U314" s="21"/>
      <c r="V314" s="21"/>
      <c r="W314" s="21"/>
      <c r="X314" s="21"/>
      <c r="Y314" s="21"/>
      <c r="Z314" s="21"/>
      <c r="AA314" s="21"/>
    </row>
    <row r="315">
      <c r="A315" s="6" t="str">
        <f t="array" ref="A315">IF(I315="","",IFERROR(INDEX(CONFIGURACION!H:H,MATCH(I315,CONFIGURACION!J:J,0)),""))
</f>
        <v/>
      </c>
      <c r="B315" s="6" t="str">
        <f t="array" ref="B315">IF(I315="","",IFERROR(INDEX(CONFIGURACION!I:I,MATCH(I315,CONFIGURACION!J:J,0)),""))
</f>
        <v/>
      </c>
      <c r="C315" s="6"/>
      <c r="D315" s="25"/>
      <c r="E315" s="24"/>
      <c r="F315" s="21"/>
      <c r="G315" s="21"/>
      <c r="H315" s="21"/>
      <c r="I315" s="21"/>
      <c r="J315" s="21"/>
      <c r="K315" s="21"/>
      <c r="L315" s="21"/>
      <c r="M315" s="21"/>
      <c r="N315" s="21"/>
      <c r="O315" s="21"/>
      <c r="P315" s="21"/>
      <c r="Q315" s="21"/>
      <c r="R315" s="21"/>
      <c r="S315" s="21"/>
      <c r="T315" s="21"/>
      <c r="U315" s="21"/>
      <c r="V315" s="21"/>
      <c r="W315" s="21"/>
      <c r="X315" s="21"/>
      <c r="Y315" s="21"/>
      <c r="Z315" s="21"/>
      <c r="AA315" s="21"/>
    </row>
    <row r="316">
      <c r="A316" s="6" t="str">
        <f t="array" ref="A316">IF(I316="","",IFERROR(INDEX(CONFIGURACION!H:H,MATCH(I316,CONFIGURACION!J:J,0)),""))
</f>
        <v/>
      </c>
      <c r="B316" s="6" t="str">
        <f t="array" ref="B316">IF(I316="","",IFERROR(INDEX(CONFIGURACION!I:I,MATCH(I316,CONFIGURACION!J:J,0)),""))
</f>
        <v/>
      </c>
      <c r="C316" s="6"/>
      <c r="D316" s="25"/>
      <c r="E316" s="24"/>
      <c r="F316" s="21"/>
      <c r="G316" s="21"/>
      <c r="H316" s="21"/>
      <c r="I316" s="21"/>
      <c r="J316" s="21"/>
      <c r="K316" s="21"/>
      <c r="L316" s="21"/>
      <c r="M316" s="21"/>
      <c r="N316" s="21"/>
      <c r="O316" s="21"/>
      <c r="P316" s="21"/>
      <c r="Q316" s="21"/>
      <c r="R316" s="21"/>
      <c r="S316" s="21"/>
      <c r="T316" s="21"/>
      <c r="U316" s="21"/>
      <c r="V316" s="21"/>
      <c r="W316" s="21"/>
      <c r="X316" s="21"/>
      <c r="Y316" s="21"/>
      <c r="Z316" s="21"/>
      <c r="AA316" s="21"/>
    </row>
    <row r="317">
      <c r="A317" s="6" t="str">
        <f t="array" ref="A317">IF(I317="","",IFERROR(INDEX(CONFIGURACION!H:H,MATCH(I317,CONFIGURACION!J:J,0)),""))
</f>
        <v/>
      </c>
      <c r="B317" s="6" t="str">
        <f t="array" ref="B317">IF(I317="","",IFERROR(INDEX(CONFIGURACION!I:I,MATCH(I317,CONFIGURACION!J:J,0)),""))
</f>
        <v/>
      </c>
      <c r="C317" s="6"/>
      <c r="D317" s="25"/>
      <c r="E317" s="24"/>
      <c r="F317" s="21"/>
      <c r="G317" s="21"/>
      <c r="H317" s="21"/>
      <c r="I317" s="21"/>
      <c r="J317" s="21"/>
      <c r="K317" s="21"/>
      <c r="L317" s="21"/>
      <c r="M317" s="21"/>
      <c r="N317" s="21"/>
      <c r="O317" s="21"/>
      <c r="P317" s="21"/>
      <c r="Q317" s="21"/>
      <c r="R317" s="21"/>
      <c r="S317" s="21"/>
      <c r="T317" s="21"/>
      <c r="U317" s="21"/>
      <c r="V317" s="21"/>
      <c r="W317" s="21"/>
      <c r="X317" s="21"/>
      <c r="Y317" s="21"/>
      <c r="Z317" s="21"/>
      <c r="AA317" s="21"/>
    </row>
    <row r="318">
      <c r="A318" s="6" t="str">
        <f t="array" ref="A318">IF(I318="","",IFERROR(INDEX(CONFIGURACION!H:H,MATCH(I318,CONFIGURACION!J:J,0)),""))
</f>
        <v/>
      </c>
      <c r="B318" s="6" t="str">
        <f t="array" ref="B318">IF(I318="","",IFERROR(INDEX(CONFIGURACION!I:I,MATCH(I318,CONFIGURACION!J:J,0)),""))
</f>
        <v/>
      </c>
      <c r="C318" s="6"/>
      <c r="D318" s="25"/>
      <c r="E318" s="24"/>
      <c r="F318" s="21"/>
      <c r="G318" s="21"/>
      <c r="H318" s="21"/>
      <c r="I318" s="21"/>
      <c r="J318" s="21"/>
      <c r="K318" s="21"/>
      <c r="L318" s="21"/>
      <c r="M318" s="21"/>
      <c r="N318" s="21"/>
      <c r="O318" s="21"/>
      <c r="P318" s="21"/>
      <c r="Q318" s="21"/>
      <c r="R318" s="21"/>
      <c r="S318" s="21"/>
      <c r="T318" s="21"/>
      <c r="U318" s="21"/>
      <c r="V318" s="21"/>
      <c r="W318" s="21"/>
      <c r="X318" s="21"/>
      <c r="Y318" s="21"/>
      <c r="Z318" s="21"/>
      <c r="AA318" s="21"/>
    </row>
    <row r="319">
      <c r="A319" s="6" t="str">
        <f t="array" ref="A319">IF(I319="","",IFERROR(INDEX(CONFIGURACION!H:H,MATCH(I319,CONFIGURACION!J:J,0)),""))
</f>
        <v/>
      </c>
      <c r="B319" s="6" t="str">
        <f t="array" ref="B319">IF(I319="","",IFERROR(INDEX(CONFIGURACION!I:I,MATCH(I319,CONFIGURACION!J:J,0)),""))
</f>
        <v/>
      </c>
      <c r="C319" s="6"/>
      <c r="D319" s="25"/>
      <c r="E319" s="24"/>
      <c r="F319" s="21"/>
      <c r="G319" s="21"/>
      <c r="H319" s="21"/>
      <c r="I319" s="21"/>
      <c r="J319" s="21"/>
      <c r="K319" s="21"/>
      <c r="L319" s="21"/>
      <c r="M319" s="21"/>
      <c r="N319" s="21"/>
      <c r="O319" s="21"/>
      <c r="P319" s="21"/>
      <c r="Q319" s="21"/>
      <c r="R319" s="21"/>
      <c r="S319" s="21"/>
      <c r="T319" s="21"/>
      <c r="U319" s="21"/>
      <c r="V319" s="21"/>
      <c r="W319" s="21"/>
      <c r="X319" s="21"/>
      <c r="Y319" s="21"/>
      <c r="Z319" s="21"/>
      <c r="AA319" s="21"/>
    </row>
    <row r="320">
      <c r="A320" s="6" t="str">
        <f t="array" ref="A320">IF(I320="","",IFERROR(INDEX(CONFIGURACION!H:H,MATCH(I320,CONFIGURACION!J:J,0)),""))
</f>
        <v/>
      </c>
      <c r="B320" s="6" t="str">
        <f t="array" ref="B320">IF(I320="","",IFERROR(INDEX(CONFIGURACION!I:I,MATCH(I320,CONFIGURACION!J:J,0)),""))
</f>
        <v/>
      </c>
      <c r="C320" s="6"/>
      <c r="D320" s="25"/>
      <c r="E320" s="24"/>
      <c r="F320" s="21"/>
      <c r="G320" s="21"/>
      <c r="H320" s="21"/>
      <c r="I320" s="21"/>
      <c r="J320" s="21"/>
      <c r="K320" s="21"/>
      <c r="L320" s="21"/>
      <c r="M320" s="21"/>
      <c r="N320" s="21"/>
      <c r="O320" s="21"/>
      <c r="P320" s="21"/>
      <c r="Q320" s="21"/>
      <c r="R320" s="21"/>
      <c r="S320" s="21"/>
      <c r="T320" s="21"/>
      <c r="U320" s="21"/>
      <c r="V320" s="21"/>
      <c r="W320" s="21"/>
      <c r="X320" s="21"/>
      <c r="Y320" s="21"/>
      <c r="Z320" s="21"/>
      <c r="AA320" s="21"/>
    </row>
    <row r="321">
      <c r="A321" s="6" t="str">
        <f t="array" ref="A321">IF(I321="","",IFERROR(INDEX(CONFIGURACION!H:H,MATCH(I321,CONFIGURACION!J:J,0)),""))
</f>
        <v/>
      </c>
      <c r="B321" s="6" t="str">
        <f t="array" ref="B321">IF(I321="","",IFERROR(INDEX(CONFIGURACION!I:I,MATCH(I321,CONFIGURACION!J:J,0)),""))
</f>
        <v/>
      </c>
      <c r="C321" s="6"/>
      <c r="D321" s="25"/>
      <c r="E321" s="24"/>
      <c r="F321" s="21"/>
      <c r="G321" s="21"/>
      <c r="H321" s="21"/>
      <c r="I321" s="21"/>
      <c r="J321" s="21"/>
      <c r="K321" s="21"/>
      <c r="L321" s="21"/>
      <c r="M321" s="21"/>
      <c r="N321" s="21"/>
      <c r="O321" s="21"/>
      <c r="P321" s="21"/>
      <c r="Q321" s="21"/>
      <c r="R321" s="21"/>
      <c r="S321" s="21"/>
      <c r="T321" s="21"/>
      <c r="U321" s="21"/>
      <c r="V321" s="21"/>
      <c r="W321" s="21"/>
      <c r="X321" s="21"/>
      <c r="Y321" s="21"/>
      <c r="Z321" s="21"/>
      <c r="AA321" s="21"/>
    </row>
    <row r="322">
      <c r="A322" s="6" t="str">
        <f t="array" ref="A322">IF(I322="","",IFERROR(INDEX(CONFIGURACION!H:H,MATCH(I322,CONFIGURACION!J:J,0)),""))
</f>
        <v/>
      </c>
      <c r="B322" s="6" t="str">
        <f t="array" ref="B322">IF(I322="","",IFERROR(INDEX(CONFIGURACION!I:I,MATCH(I322,CONFIGURACION!J:J,0)),""))
</f>
        <v/>
      </c>
      <c r="C322" s="6"/>
      <c r="D322" s="25"/>
      <c r="E322" s="24"/>
      <c r="F322" s="21"/>
      <c r="G322" s="21"/>
      <c r="H322" s="21"/>
      <c r="I322" s="21"/>
      <c r="J322" s="21"/>
      <c r="K322" s="21"/>
      <c r="L322" s="21"/>
      <c r="M322" s="21"/>
      <c r="N322" s="21"/>
      <c r="O322" s="21"/>
      <c r="P322" s="21"/>
      <c r="Q322" s="21"/>
      <c r="R322" s="21"/>
      <c r="S322" s="21"/>
      <c r="T322" s="21"/>
      <c r="U322" s="21"/>
      <c r="V322" s="21"/>
      <c r="W322" s="21"/>
      <c r="X322" s="21"/>
      <c r="Y322" s="21"/>
      <c r="Z322" s="21"/>
      <c r="AA322" s="21"/>
    </row>
    <row r="323">
      <c r="A323" s="6" t="str">
        <f t="array" ref="A323">IF(I323="","",IFERROR(INDEX(CONFIGURACION!H:H,MATCH(I323,CONFIGURACION!J:J,0)),""))
</f>
        <v/>
      </c>
      <c r="B323" s="6" t="str">
        <f t="array" ref="B323">IF(I323="","",IFERROR(INDEX(CONFIGURACION!I:I,MATCH(I323,CONFIGURACION!J:J,0)),""))
</f>
        <v/>
      </c>
      <c r="C323" s="6"/>
      <c r="D323" s="25"/>
      <c r="E323" s="24"/>
      <c r="F323" s="21"/>
      <c r="G323" s="21"/>
      <c r="H323" s="21"/>
      <c r="I323" s="21"/>
      <c r="J323" s="21"/>
      <c r="K323" s="21"/>
      <c r="L323" s="21"/>
      <c r="M323" s="21"/>
      <c r="N323" s="21"/>
      <c r="O323" s="21"/>
      <c r="P323" s="21"/>
      <c r="Q323" s="21"/>
      <c r="R323" s="21"/>
      <c r="S323" s="21"/>
      <c r="T323" s="21"/>
      <c r="U323" s="21"/>
      <c r="V323" s="21"/>
      <c r="W323" s="21"/>
      <c r="X323" s="21"/>
      <c r="Y323" s="21"/>
      <c r="Z323" s="21"/>
      <c r="AA323" s="21"/>
    </row>
    <row r="324">
      <c r="A324" s="6" t="str">
        <f t="array" ref="A324">IF(I324="","",IFERROR(INDEX(CONFIGURACION!H:H,MATCH(I324,CONFIGURACION!J:J,0)),""))
</f>
        <v/>
      </c>
      <c r="B324" s="6" t="str">
        <f t="array" ref="B324">IF(I324="","",IFERROR(INDEX(CONFIGURACION!I:I,MATCH(I324,CONFIGURACION!J:J,0)),""))
</f>
        <v/>
      </c>
      <c r="C324" s="6"/>
      <c r="D324" s="25"/>
      <c r="E324" s="24"/>
      <c r="F324" s="21"/>
      <c r="G324" s="21"/>
      <c r="H324" s="21"/>
      <c r="I324" s="21"/>
      <c r="J324" s="21"/>
      <c r="K324" s="21"/>
      <c r="L324" s="21"/>
      <c r="M324" s="21"/>
      <c r="N324" s="21"/>
      <c r="O324" s="21"/>
      <c r="P324" s="21"/>
      <c r="Q324" s="21"/>
      <c r="R324" s="21"/>
      <c r="S324" s="21"/>
      <c r="T324" s="21"/>
      <c r="U324" s="21"/>
      <c r="V324" s="21"/>
      <c r="W324" s="21"/>
      <c r="X324" s="21"/>
      <c r="Y324" s="21"/>
      <c r="Z324" s="21"/>
      <c r="AA324" s="21"/>
    </row>
    <row r="325">
      <c r="A325" s="6" t="str">
        <f t="array" ref="A325">IF(I325="","",IFERROR(INDEX(CONFIGURACION!H:H,MATCH(I325,CONFIGURACION!J:J,0)),""))
</f>
        <v/>
      </c>
      <c r="B325" s="6" t="str">
        <f t="array" ref="B325">IF(I325="","",IFERROR(INDEX(CONFIGURACION!I:I,MATCH(I325,CONFIGURACION!J:J,0)),""))
</f>
        <v/>
      </c>
      <c r="C325" s="6"/>
      <c r="D325" s="25"/>
      <c r="E325" s="24"/>
      <c r="F325" s="21"/>
      <c r="G325" s="21"/>
      <c r="H325" s="21"/>
      <c r="I325" s="21"/>
      <c r="J325" s="21"/>
      <c r="K325" s="21"/>
      <c r="L325" s="21"/>
      <c r="M325" s="21"/>
      <c r="N325" s="21"/>
      <c r="O325" s="21"/>
      <c r="P325" s="21"/>
      <c r="Q325" s="21"/>
      <c r="R325" s="21"/>
      <c r="S325" s="21"/>
      <c r="T325" s="21"/>
      <c r="U325" s="21"/>
      <c r="V325" s="21"/>
      <c r="W325" s="21"/>
      <c r="X325" s="21"/>
      <c r="Y325" s="21"/>
      <c r="Z325" s="21"/>
      <c r="AA325" s="21"/>
    </row>
    <row r="326">
      <c r="A326" s="6" t="str">
        <f t="array" ref="A326">IF(I326="","",IFERROR(INDEX(CONFIGURACION!H:H,MATCH(I326,CONFIGURACION!J:J,0)),""))
</f>
        <v/>
      </c>
      <c r="B326" s="6" t="str">
        <f t="array" ref="B326">IF(I326="","",IFERROR(INDEX(CONFIGURACION!I:I,MATCH(I326,CONFIGURACION!J:J,0)),""))
</f>
        <v/>
      </c>
      <c r="C326" s="6"/>
      <c r="D326" s="25"/>
      <c r="E326" s="24"/>
      <c r="F326" s="21"/>
      <c r="G326" s="21"/>
      <c r="H326" s="21"/>
      <c r="I326" s="21"/>
      <c r="J326" s="21"/>
      <c r="K326" s="21"/>
      <c r="L326" s="21"/>
      <c r="M326" s="21"/>
      <c r="N326" s="21"/>
      <c r="O326" s="21"/>
      <c r="P326" s="21"/>
      <c r="Q326" s="21"/>
      <c r="R326" s="21"/>
      <c r="S326" s="21"/>
      <c r="T326" s="21"/>
      <c r="U326" s="21"/>
      <c r="V326" s="21"/>
      <c r="W326" s="21"/>
      <c r="X326" s="21"/>
      <c r="Y326" s="21"/>
      <c r="Z326" s="21"/>
      <c r="AA326" s="21"/>
    </row>
    <row r="327">
      <c r="A327" s="6" t="str">
        <f t="array" ref="A327">IF(I327="","",IFERROR(INDEX(CONFIGURACION!H:H,MATCH(I327,CONFIGURACION!J:J,0)),""))
</f>
        <v/>
      </c>
      <c r="B327" s="6" t="str">
        <f t="array" ref="B327">IF(I327="","",IFERROR(INDEX(CONFIGURACION!I:I,MATCH(I327,CONFIGURACION!J:J,0)),""))
</f>
        <v/>
      </c>
      <c r="C327" s="6"/>
      <c r="D327" s="25"/>
      <c r="E327" s="24"/>
      <c r="F327" s="21"/>
      <c r="G327" s="21"/>
      <c r="H327" s="21"/>
      <c r="I327" s="21"/>
      <c r="J327" s="21"/>
      <c r="K327" s="21"/>
      <c r="L327" s="21"/>
      <c r="M327" s="21"/>
      <c r="N327" s="21"/>
      <c r="O327" s="21"/>
      <c r="P327" s="21"/>
      <c r="Q327" s="21"/>
      <c r="R327" s="21"/>
      <c r="S327" s="21"/>
      <c r="T327" s="21"/>
      <c r="U327" s="21"/>
      <c r="V327" s="21"/>
      <c r="W327" s="21"/>
      <c r="X327" s="21"/>
      <c r="Y327" s="21"/>
      <c r="Z327" s="21"/>
      <c r="AA327" s="21"/>
    </row>
    <row r="328">
      <c r="A328" s="6" t="str">
        <f t="array" ref="A328">IF(I328="","",IFERROR(INDEX(CONFIGURACION!H:H,MATCH(I328,CONFIGURACION!J:J,0)),""))
</f>
        <v/>
      </c>
      <c r="B328" s="6" t="str">
        <f t="array" ref="B328">IF(I328="","",IFERROR(INDEX(CONFIGURACION!I:I,MATCH(I328,CONFIGURACION!J:J,0)),""))
</f>
        <v/>
      </c>
      <c r="C328" s="6"/>
      <c r="D328" s="25"/>
      <c r="E328" s="24"/>
      <c r="F328" s="21"/>
      <c r="G328" s="21"/>
      <c r="H328" s="21"/>
      <c r="I328" s="21"/>
      <c r="J328" s="21"/>
      <c r="K328" s="21"/>
      <c r="L328" s="21"/>
      <c r="M328" s="21"/>
      <c r="N328" s="21"/>
      <c r="O328" s="21"/>
      <c r="P328" s="21"/>
      <c r="Q328" s="21"/>
      <c r="R328" s="21"/>
      <c r="S328" s="21"/>
      <c r="T328" s="21"/>
      <c r="U328" s="21"/>
      <c r="V328" s="21"/>
      <c r="W328" s="21"/>
      <c r="X328" s="21"/>
      <c r="Y328" s="21"/>
      <c r="Z328" s="21"/>
      <c r="AA328" s="21"/>
    </row>
    <row r="329">
      <c r="A329" s="6" t="str">
        <f t="array" ref="A329">IF(I329="","",IFERROR(INDEX(CONFIGURACION!H:H,MATCH(I329,CONFIGURACION!J:J,0)),""))
</f>
        <v/>
      </c>
      <c r="B329" s="6" t="str">
        <f t="array" ref="B329">IF(I329="","",IFERROR(INDEX(CONFIGURACION!I:I,MATCH(I329,CONFIGURACION!J:J,0)),""))
</f>
        <v/>
      </c>
      <c r="C329" s="6"/>
      <c r="D329" s="25"/>
      <c r="E329" s="24"/>
      <c r="F329" s="21"/>
      <c r="G329" s="21"/>
      <c r="H329" s="21"/>
      <c r="I329" s="21"/>
      <c r="J329" s="21"/>
      <c r="K329" s="21"/>
      <c r="L329" s="21"/>
      <c r="M329" s="21"/>
      <c r="N329" s="21"/>
      <c r="O329" s="21"/>
      <c r="P329" s="21"/>
      <c r="Q329" s="21"/>
      <c r="R329" s="21"/>
      <c r="S329" s="21"/>
      <c r="T329" s="21"/>
      <c r="U329" s="21"/>
      <c r="V329" s="21"/>
      <c r="W329" s="21"/>
      <c r="X329" s="21"/>
      <c r="Y329" s="21"/>
      <c r="Z329" s="21"/>
      <c r="AA329" s="21"/>
    </row>
    <row r="330">
      <c r="A330" s="6" t="str">
        <f t="array" ref="A330">IF(I330="","",IFERROR(INDEX(CONFIGURACION!H:H,MATCH(I330,CONFIGURACION!J:J,0)),""))
</f>
        <v/>
      </c>
      <c r="B330" s="6" t="str">
        <f t="array" ref="B330">IF(I330="","",IFERROR(INDEX(CONFIGURACION!I:I,MATCH(I330,CONFIGURACION!J:J,0)),""))
</f>
        <v/>
      </c>
      <c r="C330" s="6"/>
      <c r="D330" s="25"/>
      <c r="E330" s="24"/>
      <c r="F330" s="21"/>
      <c r="G330" s="21"/>
      <c r="H330" s="21"/>
      <c r="I330" s="21"/>
      <c r="J330" s="21"/>
      <c r="K330" s="21"/>
      <c r="L330" s="21"/>
      <c r="M330" s="21"/>
      <c r="N330" s="21"/>
      <c r="O330" s="21"/>
      <c r="P330" s="21"/>
      <c r="Q330" s="21"/>
      <c r="R330" s="21"/>
      <c r="S330" s="21"/>
      <c r="T330" s="21"/>
      <c r="U330" s="21"/>
      <c r="V330" s="21"/>
      <c r="W330" s="21"/>
      <c r="X330" s="21"/>
      <c r="Y330" s="21"/>
      <c r="Z330" s="21"/>
      <c r="AA330" s="21"/>
    </row>
    <row r="331">
      <c r="A331" s="6" t="str">
        <f t="array" ref="A331">IF(I331="","",IFERROR(INDEX(CONFIGURACION!H:H,MATCH(I331,CONFIGURACION!J:J,0)),""))
</f>
        <v/>
      </c>
      <c r="B331" s="6" t="str">
        <f t="array" ref="B331">IF(I331="","",IFERROR(INDEX(CONFIGURACION!I:I,MATCH(I331,CONFIGURACION!J:J,0)),""))
</f>
        <v/>
      </c>
      <c r="C331" s="6"/>
      <c r="D331" s="25"/>
      <c r="E331" s="24"/>
      <c r="F331" s="21"/>
      <c r="G331" s="21"/>
      <c r="H331" s="21"/>
      <c r="I331" s="21"/>
      <c r="J331" s="21"/>
      <c r="K331" s="21"/>
      <c r="L331" s="21"/>
      <c r="M331" s="21"/>
      <c r="N331" s="21"/>
      <c r="O331" s="21"/>
      <c r="P331" s="21"/>
      <c r="Q331" s="21"/>
      <c r="R331" s="21"/>
      <c r="S331" s="21"/>
      <c r="T331" s="21"/>
      <c r="U331" s="21"/>
      <c r="V331" s="21"/>
      <c r="W331" s="21"/>
      <c r="X331" s="21"/>
      <c r="Y331" s="21"/>
      <c r="Z331" s="21"/>
      <c r="AA331" s="21"/>
    </row>
    <row r="332">
      <c r="A332" s="6" t="str">
        <f t="array" ref="A332">IF(I332="","",IFERROR(INDEX(CONFIGURACION!H:H,MATCH(I332,CONFIGURACION!J:J,0)),""))
</f>
        <v/>
      </c>
      <c r="B332" s="6" t="str">
        <f t="array" ref="B332">IF(I332="","",IFERROR(INDEX(CONFIGURACION!I:I,MATCH(I332,CONFIGURACION!J:J,0)),""))
</f>
        <v/>
      </c>
      <c r="C332" s="6"/>
      <c r="D332" s="25"/>
      <c r="E332" s="24"/>
      <c r="F332" s="21"/>
      <c r="G332" s="21"/>
      <c r="H332" s="21"/>
      <c r="I332" s="21"/>
      <c r="J332" s="21"/>
      <c r="K332" s="21"/>
      <c r="L332" s="21"/>
      <c r="M332" s="21"/>
      <c r="N332" s="21"/>
      <c r="O332" s="21"/>
      <c r="P332" s="21"/>
      <c r="Q332" s="21"/>
      <c r="R332" s="21"/>
      <c r="S332" s="21"/>
      <c r="T332" s="21"/>
      <c r="U332" s="21"/>
      <c r="V332" s="21"/>
      <c r="W332" s="21"/>
      <c r="X332" s="21"/>
      <c r="Y332" s="21"/>
      <c r="Z332" s="21"/>
      <c r="AA332" s="21"/>
    </row>
    <row r="333">
      <c r="A333" s="6" t="str">
        <f t="array" ref="A333">IF(I333="","",IFERROR(INDEX(CONFIGURACION!H:H,MATCH(I333,CONFIGURACION!J:J,0)),""))
</f>
        <v/>
      </c>
      <c r="B333" s="6" t="str">
        <f t="array" ref="B333">IF(I333="","",IFERROR(INDEX(CONFIGURACION!I:I,MATCH(I333,CONFIGURACION!J:J,0)),""))
</f>
        <v/>
      </c>
      <c r="C333" s="6"/>
      <c r="D333" s="25"/>
      <c r="E333" s="24"/>
      <c r="F333" s="21"/>
      <c r="G333" s="21"/>
      <c r="H333" s="21"/>
      <c r="I333" s="21"/>
      <c r="J333" s="21"/>
      <c r="K333" s="21"/>
      <c r="L333" s="21"/>
      <c r="M333" s="21"/>
      <c r="N333" s="21"/>
      <c r="O333" s="21"/>
      <c r="P333" s="21"/>
      <c r="Q333" s="21"/>
      <c r="R333" s="21"/>
      <c r="S333" s="21"/>
      <c r="T333" s="21"/>
      <c r="U333" s="21"/>
      <c r="V333" s="21"/>
      <c r="W333" s="21"/>
      <c r="X333" s="21"/>
      <c r="Y333" s="21"/>
      <c r="Z333" s="21"/>
      <c r="AA333" s="21"/>
    </row>
    <row r="334">
      <c r="A334" s="6" t="str">
        <f t="array" ref="A334">IF(I334="","",IFERROR(INDEX(CONFIGURACION!H:H,MATCH(I334,CONFIGURACION!J:J,0)),""))
</f>
        <v/>
      </c>
      <c r="B334" s="6" t="str">
        <f t="array" ref="B334">IF(I334="","",IFERROR(INDEX(CONFIGURACION!I:I,MATCH(I334,CONFIGURACION!J:J,0)),""))
</f>
        <v/>
      </c>
      <c r="C334" s="6"/>
      <c r="D334" s="25"/>
      <c r="E334" s="24"/>
      <c r="F334" s="21"/>
      <c r="G334" s="21"/>
      <c r="H334" s="21"/>
      <c r="I334" s="21"/>
      <c r="J334" s="21"/>
      <c r="K334" s="21"/>
      <c r="L334" s="21"/>
      <c r="M334" s="21"/>
      <c r="N334" s="21"/>
      <c r="O334" s="21"/>
      <c r="P334" s="21"/>
      <c r="Q334" s="21"/>
      <c r="R334" s="21"/>
      <c r="S334" s="21"/>
      <c r="T334" s="21"/>
      <c r="U334" s="21"/>
      <c r="V334" s="21"/>
      <c r="W334" s="21"/>
      <c r="X334" s="21"/>
      <c r="Y334" s="21"/>
      <c r="Z334" s="21"/>
      <c r="AA334" s="21"/>
    </row>
    <row r="335">
      <c r="A335" s="6" t="str">
        <f t="array" ref="A335">IF(I335="","",IFERROR(INDEX(CONFIGURACION!H:H,MATCH(I335,CONFIGURACION!J:J,0)),""))
</f>
        <v/>
      </c>
      <c r="B335" s="6" t="str">
        <f t="array" ref="B335">IF(I335="","",IFERROR(INDEX(CONFIGURACION!I:I,MATCH(I335,CONFIGURACION!J:J,0)),""))
</f>
        <v/>
      </c>
      <c r="C335" s="6"/>
      <c r="D335" s="25"/>
      <c r="E335" s="24"/>
      <c r="F335" s="21"/>
      <c r="G335" s="21"/>
      <c r="H335" s="21"/>
      <c r="I335" s="21"/>
      <c r="J335" s="21"/>
      <c r="K335" s="21"/>
      <c r="L335" s="21"/>
      <c r="M335" s="21"/>
      <c r="N335" s="21"/>
      <c r="O335" s="21"/>
      <c r="P335" s="21"/>
      <c r="Q335" s="21"/>
      <c r="R335" s="21"/>
      <c r="S335" s="21"/>
      <c r="T335" s="21"/>
      <c r="U335" s="21"/>
      <c r="V335" s="21"/>
      <c r="W335" s="21"/>
      <c r="X335" s="21"/>
      <c r="Y335" s="21"/>
      <c r="Z335" s="21"/>
      <c r="AA335" s="21"/>
    </row>
    <row r="336">
      <c r="A336" s="6" t="str">
        <f t="array" ref="A336">IF(I336="","",IFERROR(INDEX(CONFIGURACION!H:H,MATCH(I336,CONFIGURACION!J:J,0)),""))
</f>
        <v/>
      </c>
      <c r="B336" s="6" t="str">
        <f t="array" ref="B336">IF(I336="","",IFERROR(INDEX(CONFIGURACION!I:I,MATCH(I336,CONFIGURACION!J:J,0)),""))
</f>
        <v/>
      </c>
      <c r="C336" s="6"/>
      <c r="D336" s="25"/>
      <c r="E336" s="24"/>
      <c r="F336" s="21"/>
      <c r="G336" s="21"/>
      <c r="H336" s="21"/>
      <c r="I336" s="21"/>
      <c r="J336" s="21"/>
      <c r="K336" s="21"/>
      <c r="L336" s="21"/>
      <c r="M336" s="21"/>
      <c r="N336" s="21"/>
      <c r="O336" s="21"/>
      <c r="P336" s="21"/>
      <c r="Q336" s="21"/>
      <c r="R336" s="21"/>
      <c r="S336" s="21"/>
      <c r="T336" s="21"/>
      <c r="U336" s="21"/>
      <c r="V336" s="21"/>
      <c r="W336" s="21"/>
      <c r="X336" s="21"/>
      <c r="Y336" s="21"/>
      <c r="Z336" s="21"/>
      <c r="AA336" s="21"/>
    </row>
    <row r="337">
      <c r="A337" s="6" t="str">
        <f t="array" ref="A337">IF(I337="","",IFERROR(INDEX(CONFIGURACION!H:H,MATCH(I337,CONFIGURACION!J:J,0)),""))
</f>
        <v/>
      </c>
      <c r="B337" s="6" t="str">
        <f t="array" ref="B337">IF(I337="","",IFERROR(INDEX(CONFIGURACION!I:I,MATCH(I337,CONFIGURACION!J:J,0)),""))
</f>
        <v/>
      </c>
      <c r="C337" s="6"/>
      <c r="D337" s="25"/>
      <c r="E337" s="24"/>
      <c r="F337" s="21"/>
      <c r="G337" s="21"/>
      <c r="H337" s="21"/>
      <c r="I337" s="21"/>
      <c r="J337" s="21"/>
      <c r="K337" s="21"/>
      <c r="L337" s="21"/>
      <c r="M337" s="21"/>
      <c r="N337" s="21"/>
      <c r="O337" s="21"/>
      <c r="P337" s="21"/>
      <c r="Q337" s="21"/>
      <c r="R337" s="21"/>
      <c r="S337" s="21"/>
      <c r="T337" s="21"/>
      <c r="U337" s="21"/>
      <c r="V337" s="21"/>
      <c r="W337" s="21"/>
      <c r="X337" s="21"/>
      <c r="Y337" s="21"/>
      <c r="Z337" s="21"/>
      <c r="AA337" s="21"/>
    </row>
    <row r="338">
      <c r="A338" s="6" t="str">
        <f t="array" ref="A338">IF(I338="","",IFERROR(INDEX(CONFIGURACION!H:H,MATCH(I338,CONFIGURACION!J:J,0)),""))
</f>
        <v/>
      </c>
      <c r="B338" s="6" t="str">
        <f t="array" ref="B338">IF(I338="","",IFERROR(INDEX(CONFIGURACION!I:I,MATCH(I338,CONFIGURACION!J:J,0)),""))
</f>
        <v/>
      </c>
      <c r="C338" s="6"/>
      <c r="D338" s="25"/>
      <c r="E338" s="24"/>
      <c r="F338" s="21"/>
      <c r="G338" s="21"/>
      <c r="H338" s="21"/>
      <c r="I338" s="21"/>
      <c r="J338" s="21"/>
      <c r="K338" s="21"/>
      <c r="L338" s="21"/>
      <c r="M338" s="21"/>
      <c r="N338" s="21"/>
      <c r="O338" s="21"/>
      <c r="P338" s="21"/>
      <c r="Q338" s="21"/>
      <c r="R338" s="21"/>
      <c r="S338" s="21"/>
      <c r="T338" s="21"/>
      <c r="U338" s="21"/>
      <c r="V338" s="21"/>
      <c r="W338" s="21"/>
      <c r="X338" s="21"/>
      <c r="Y338" s="21"/>
      <c r="Z338" s="21"/>
      <c r="AA338" s="21"/>
    </row>
    <row r="339">
      <c r="A339" s="6" t="str">
        <f t="array" ref="A339">IF(I339="","",IFERROR(INDEX(CONFIGURACION!H:H,MATCH(I339,CONFIGURACION!J:J,0)),""))
</f>
        <v/>
      </c>
      <c r="B339" s="6" t="str">
        <f t="array" ref="B339">IF(I339="","",IFERROR(INDEX(CONFIGURACION!I:I,MATCH(I339,CONFIGURACION!J:J,0)),""))
</f>
        <v/>
      </c>
      <c r="C339" s="6"/>
      <c r="D339" s="25"/>
      <c r="E339" s="24"/>
      <c r="F339" s="21"/>
      <c r="G339" s="21"/>
      <c r="H339" s="21"/>
      <c r="I339" s="21"/>
      <c r="J339" s="21"/>
      <c r="K339" s="21"/>
      <c r="L339" s="21"/>
      <c r="M339" s="21"/>
      <c r="N339" s="21"/>
      <c r="O339" s="21"/>
      <c r="P339" s="21"/>
      <c r="Q339" s="21"/>
      <c r="R339" s="21"/>
      <c r="S339" s="21"/>
      <c r="T339" s="21"/>
      <c r="U339" s="21"/>
      <c r="V339" s="21"/>
      <c r="W339" s="21"/>
      <c r="X339" s="21"/>
      <c r="Y339" s="21"/>
      <c r="Z339" s="21"/>
      <c r="AA339" s="21"/>
    </row>
    <row r="340">
      <c r="A340" s="6" t="str">
        <f t="array" ref="A340">IF(I340="","",IFERROR(INDEX(CONFIGURACION!H:H,MATCH(I340,CONFIGURACION!J:J,0)),""))
</f>
        <v/>
      </c>
      <c r="B340" s="6" t="str">
        <f t="array" ref="B340">IF(I340="","",IFERROR(INDEX(CONFIGURACION!I:I,MATCH(I340,CONFIGURACION!J:J,0)),""))
</f>
        <v/>
      </c>
      <c r="C340" s="6"/>
      <c r="D340" s="25"/>
      <c r="E340" s="24"/>
      <c r="F340" s="21"/>
      <c r="G340" s="21"/>
      <c r="H340" s="21"/>
      <c r="I340" s="21"/>
      <c r="J340" s="21"/>
      <c r="K340" s="21"/>
      <c r="L340" s="21"/>
      <c r="M340" s="21"/>
      <c r="N340" s="21"/>
      <c r="O340" s="21"/>
      <c r="P340" s="21"/>
      <c r="Q340" s="21"/>
      <c r="R340" s="21"/>
      <c r="S340" s="21"/>
      <c r="T340" s="21"/>
      <c r="U340" s="21"/>
      <c r="V340" s="21"/>
      <c r="W340" s="21"/>
      <c r="X340" s="21"/>
      <c r="Y340" s="21"/>
      <c r="Z340" s="21"/>
      <c r="AA340" s="21"/>
    </row>
    <row r="341">
      <c r="A341" s="6" t="str">
        <f t="array" ref="A341">IF(I341="","",IFERROR(INDEX(CONFIGURACION!H:H,MATCH(I341,CONFIGURACION!J:J,0)),""))
</f>
        <v/>
      </c>
      <c r="B341" s="6" t="str">
        <f t="array" ref="B341">IF(I341="","",IFERROR(INDEX(CONFIGURACION!I:I,MATCH(I341,CONFIGURACION!J:J,0)),""))
</f>
        <v/>
      </c>
      <c r="C341" s="6"/>
      <c r="D341" s="25"/>
      <c r="E341" s="24"/>
      <c r="F341" s="21"/>
      <c r="G341" s="21"/>
      <c r="H341" s="21"/>
      <c r="I341" s="21"/>
      <c r="J341" s="21"/>
      <c r="K341" s="21"/>
      <c r="L341" s="21"/>
      <c r="M341" s="21"/>
      <c r="N341" s="21"/>
      <c r="O341" s="21"/>
      <c r="P341" s="21"/>
      <c r="Q341" s="21"/>
      <c r="R341" s="21"/>
      <c r="S341" s="21"/>
      <c r="T341" s="21"/>
      <c r="U341" s="21"/>
      <c r="V341" s="21"/>
      <c r="W341" s="21"/>
      <c r="X341" s="21"/>
      <c r="Y341" s="21"/>
      <c r="Z341" s="21"/>
      <c r="AA341" s="21"/>
    </row>
    <row r="342">
      <c r="A342" s="6" t="str">
        <f t="array" ref="A342">IF(I342="","",IFERROR(INDEX(CONFIGURACION!H:H,MATCH(I342,CONFIGURACION!J:J,0)),""))
</f>
        <v/>
      </c>
      <c r="B342" s="6" t="str">
        <f t="array" ref="B342">IF(I342="","",IFERROR(INDEX(CONFIGURACION!I:I,MATCH(I342,CONFIGURACION!J:J,0)),""))
</f>
        <v/>
      </c>
      <c r="C342" s="6"/>
      <c r="D342" s="25"/>
      <c r="E342" s="24"/>
      <c r="F342" s="21"/>
      <c r="G342" s="21"/>
      <c r="H342" s="21"/>
      <c r="I342" s="21"/>
      <c r="J342" s="21"/>
      <c r="K342" s="21"/>
      <c r="L342" s="21"/>
      <c r="M342" s="21"/>
      <c r="N342" s="21"/>
      <c r="O342" s="21"/>
      <c r="P342" s="21"/>
      <c r="Q342" s="21"/>
      <c r="R342" s="21"/>
      <c r="S342" s="21"/>
      <c r="T342" s="21"/>
      <c r="U342" s="21"/>
      <c r="V342" s="21"/>
      <c r="W342" s="21"/>
      <c r="X342" s="21"/>
      <c r="Y342" s="21"/>
      <c r="Z342" s="21"/>
      <c r="AA342" s="21"/>
    </row>
    <row r="343">
      <c r="A343" s="6" t="str">
        <f t="array" ref="A343">IF(I343="","",IFERROR(INDEX(CONFIGURACION!H:H,MATCH(I343,CONFIGURACION!J:J,0)),""))
</f>
        <v/>
      </c>
      <c r="B343" s="6" t="str">
        <f t="array" ref="B343">IF(I343="","",IFERROR(INDEX(CONFIGURACION!I:I,MATCH(I343,CONFIGURACION!J:J,0)),""))
</f>
        <v/>
      </c>
      <c r="C343" s="6"/>
      <c r="D343" s="25"/>
      <c r="E343" s="24"/>
      <c r="F343" s="21"/>
      <c r="G343" s="21"/>
      <c r="H343" s="21"/>
      <c r="I343" s="21"/>
      <c r="J343" s="21"/>
      <c r="K343" s="21"/>
      <c r="L343" s="21"/>
      <c r="M343" s="21"/>
      <c r="N343" s="21"/>
      <c r="O343" s="21"/>
      <c r="P343" s="21"/>
      <c r="Q343" s="21"/>
      <c r="R343" s="21"/>
      <c r="S343" s="21"/>
      <c r="T343" s="21"/>
      <c r="U343" s="21"/>
      <c r="V343" s="21"/>
      <c r="W343" s="21"/>
      <c r="X343" s="21"/>
      <c r="Y343" s="21"/>
      <c r="Z343" s="21"/>
      <c r="AA343" s="21"/>
    </row>
    <row r="344">
      <c r="A344" s="6" t="str">
        <f t="array" ref="A344">IF(I344="","",IFERROR(INDEX(CONFIGURACION!H:H,MATCH(I344,CONFIGURACION!J:J,0)),""))
</f>
        <v/>
      </c>
      <c r="B344" s="6" t="str">
        <f t="array" ref="B344">IF(I344="","",IFERROR(INDEX(CONFIGURACION!I:I,MATCH(I344,CONFIGURACION!J:J,0)),""))
</f>
        <v/>
      </c>
      <c r="C344" s="6"/>
      <c r="D344" s="25"/>
      <c r="E344" s="24"/>
      <c r="F344" s="21"/>
      <c r="G344" s="21"/>
      <c r="H344" s="21"/>
      <c r="I344" s="21"/>
      <c r="J344" s="21"/>
      <c r="K344" s="21"/>
      <c r="L344" s="21"/>
      <c r="M344" s="21"/>
      <c r="N344" s="21"/>
      <c r="O344" s="21"/>
      <c r="P344" s="21"/>
      <c r="Q344" s="21"/>
      <c r="R344" s="21"/>
      <c r="S344" s="21"/>
      <c r="T344" s="21"/>
      <c r="U344" s="21"/>
      <c r="V344" s="21"/>
      <c r="W344" s="21"/>
      <c r="X344" s="21"/>
      <c r="Y344" s="21"/>
      <c r="Z344" s="21"/>
      <c r="AA344" s="21"/>
    </row>
    <row r="345">
      <c r="A345" s="6" t="str">
        <f t="array" ref="A345">IF(I345="","",IFERROR(INDEX(CONFIGURACION!H:H,MATCH(I345,CONFIGURACION!J:J,0)),""))
</f>
        <v/>
      </c>
      <c r="B345" s="6" t="str">
        <f t="array" ref="B345">IF(I345="","",IFERROR(INDEX(CONFIGURACION!I:I,MATCH(I345,CONFIGURACION!J:J,0)),""))
</f>
        <v/>
      </c>
      <c r="C345" s="6"/>
      <c r="D345" s="25"/>
      <c r="E345" s="24"/>
      <c r="F345" s="21"/>
      <c r="G345" s="21"/>
      <c r="H345" s="21"/>
      <c r="I345" s="21"/>
      <c r="J345" s="21"/>
      <c r="K345" s="21"/>
      <c r="L345" s="21"/>
      <c r="M345" s="21"/>
      <c r="N345" s="21"/>
      <c r="O345" s="21"/>
      <c r="P345" s="21"/>
      <c r="Q345" s="21"/>
      <c r="R345" s="21"/>
      <c r="S345" s="21"/>
      <c r="T345" s="21"/>
      <c r="U345" s="21"/>
      <c r="V345" s="21"/>
      <c r="W345" s="21"/>
      <c r="X345" s="21"/>
      <c r="Y345" s="21"/>
      <c r="Z345" s="21"/>
      <c r="AA345" s="21"/>
    </row>
    <row r="346">
      <c r="A346" s="6" t="str">
        <f t="array" ref="A346">IF(I346="","",IFERROR(INDEX(CONFIGURACION!H:H,MATCH(I346,CONFIGURACION!J:J,0)),""))
</f>
        <v/>
      </c>
      <c r="B346" s="6" t="str">
        <f t="array" ref="B346">IF(I346="","",IFERROR(INDEX(CONFIGURACION!I:I,MATCH(I346,CONFIGURACION!J:J,0)),""))
</f>
        <v/>
      </c>
      <c r="C346" s="6"/>
      <c r="D346" s="25"/>
      <c r="E346" s="24"/>
      <c r="F346" s="21"/>
      <c r="G346" s="21"/>
      <c r="H346" s="21"/>
      <c r="I346" s="21"/>
      <c r="J346" s="21"/>
      <c r="K346" s="21"/>
      <c r="L346" s="21"/>
      <c r="M346" s="21"/>
      <c r="N346" s="21"/>
      <c r="O346" s="21"/>
      <c r="P346" s="21"/>
      <c r="Q346" s="21"/>
      <c r="R346" s="21"/>
      <c r="S346" s="21"/>
      <c r="T346" s="21"/>
      <c r="U346" s="21"/>
      <c r="V346" s="21"/>
      <c r="W346" s="21"/>
      <c r="X346" s="21"/>
      <c r="Y346" s="21"/>
      <c r="Z346" s="21"/>
      <c r="AA346" s="21"/>
    </row>
    <row r="347">
      <c r="A347" s="6" t="str">
        <f t="array" ref="A347">IF(I347="","",IFERROR(INDEX(CONFIGURACION!H:H,MATCH(I347,CONFIGURACION!J:J,0)),""))
</f>
        <v/>
      </c>
      <c r="B347" s="6" t="str">
        <f t="array" ref="B347">IF(I347="","",IFERROR(INDEX(CONFIGURACION!I:I,MATCH(I347,CONFIGURACION!J:J,0)),""))
</f>
        <v/>
      </c>
      <c r="C347" s="6"/>
      <c r="D347" s="25"/>
      <c r="E347" s="24"/>
      <c r="F347" s="21"/>
      <c r="G347" s="21"/>
      <c r="H347" s="21"/>
      <c r="I347" s="21"/>
      <c r="J347" s="21"/>
      <c r="K347" s="21"/>
      <c r="L347" s="21"/>
      <c r="M347" s="21"/>
      <c r="N347" s="21"/>
      <c r="O347" s="21"/>
      <c r="P347" s="21"/>
      <c r="Q347" s="21"/>
      <c r="R347" s="21"/>
      <c r="S347" s="21"/>
      <c r="T347" s="21"/>
      <c r="U347" s="21"/>
      <c r="V347" s="21"/>
      <c r="W347" s="21"/>
      <c r="X347" s="21"/>
      <c r="Y347" s="21"/>
      <c r="Z347" s="21"/>
      <c r="AA347" s="21"/>
    </row>
    <row r="348">
      <c r="A348" s="6" t="str">
        <f t="array" ref="A348">IF(I348="","",IFERROR(INDEX(CONFIGURACION!H:H,MATCH(I348,CONFIGURACION!J:J,0)),""))
</f>
        <v/>
      </c>
      <c r="B348" s="6" t="str">
        <f t="array" ref="B348">IF(I348="","",IFERROR(INDEX(CONFIGURACION!I:I,MATCH(I348,CONFIGURACION!J:J,0)),""))
</f>
        <v/>
      </c>
      <c r="C348" s="6"/>
      <c r="D348" s="25"/>
      <c r="E348" s="24"/>
      <c r="F348" s="21"/>
      <c r="G348" s="21"/>
      <c r="H348" s="21"/>
      <c r="I348" s="21"/>
      <c r="J348" s="21"/>
      <c r="K348" s="21"/>
      <c r="L348" s="21"/>
      <c r="M348" s="21"/>
      <c r="N348" s="21"/>
      <c r="O348" s="21"/>
      <c r="P348" s="21"/>
      <c r="Q348" s="21"/>
      <c r="R348" s="21"/>
      <c r="S348" s="21"/>
      <c r="T348" s="21"/>
      <c r="U348" s="21"/>
      <c r="V348" s="21"/>
      <c r="W348" s="21"/>
      <c r="X348" s="21"/>
      <c r="Y348" s="21"/>
      <c r="Z348" s="21"/>
      <c r="AA348" s="21"/>
    </row>
    <row r="349">
      <c r="A349" s="6" t="str">
        <f t="array" ref="A349">IF(I349="","",IFERROR(INDEX(CONFIGURACION!H:H,MATCH(I349,CONFIGURACION!J:J,0)),""))
</f>
        <v/>
      </c>
      <c r="B349" s="6" t="str">
        <f t="array" ref="B349">IF(I349="","",IFERROR(INDEX(CONFIGURACION!I:I,MATCH(I349,CONFIGURACION!J:J,0)),""))
</f>
        <v/>
      </c>
      <c r="C349" s="6"/>
      <c r="D349" s="25"/>
      <c r="E349" s="24"/>
      <c r="F349" s="21"/>
      <c r="G349" s="21"/>
      <c r="H349" s="21"/>
      <c r="I349" s="21"/>
      <c r="J349" s="21"/>
      <c r="K349" s="21"/>
      <c r="L349" s="21"/>
      <c r="M349" s="21"/>
      <c r="N349" s="21"/>
      <c r="O349" s="21"/>
      <c r="P349" s="21"/>
      <c r="Q349" s="21"/>
      <c r="R349" s="21"/>
      <c r="S349" s="21"/>
      <c r="T349" s="21"/>
      <c r="U349" s="21"/>
      <c r="V349" s="21"/>
      <c r="W349" s="21"/>
      <c r="X349" s="21"/>
      <c r="Y349" s="21"/>
      <c r="Z349" s="21"/>
      <c r="AA349" s="21"/>
    </row>
    <row r="350">
      <c r="A350" s="6" t="str">
        <f t="array" ref="A350">IF(I350="","",IFERROR(INDEX(CONFIGURACION!H:H,MATCH(I350,CONFIGURACION!J:J,0)),""))
</f>
        <v/>
      </c>
      <c r="B350" s="6" t="str">
        <f t="array" ref="B350">IF(I350="","",IFERROR(INDEX(CONFIGURACION!I:I,MATCH(I350,CONFIGURACION!J:J,0)),""))
</f>
        <v/>
      </c>
      <c r="C350" s="6"/>
      <c r="D350" s="25"/>
      <c r="E350" s="24"/>
      <c r="F350" s="21"/>
      <c r="G350" s="21"/>
      <c r="H350" s="21"/>
      <c r="I350" s="21"/>
      <c r="J350" s="21"/>
      <c r="K350" s="21"/>
      <c r="L350" s="21"/>
      <c r="M350" s="21"/>
      <c r="N350" s="21"/>
      <c r="O350" s="21"/>
      <c r="P350" s="21"/>
      <c r="Q350" s="21"/>
      <c r="R350" s="21"/>
      <c r="S350" s="21"/>
      <c r="T350" s="21"/>
      <c r="U350" s="21"/>
      <c r="V350" s="21"/>
      <c r="W350" s="21"/>
      <c r="X350" s="21"/>
      <c r="Y350" s="21"/>
      <c r="Z350" s="21"/>
      <c r="AA350" s="21"/>
    </row>
    <row r="351">
      <c r="A351" s="6" t="str">
        <f t="array" ref="A351">IF(I351="","",IFERROR(INDEX(CONFIGURACION!H:H,MATCH(I351,CONFIGURACION!J:J,0)),""))
</f>
        <v/>
      </c>
      <c r="B351" s="6" t="str">
        <f t="array" ref="B351">IF(I351="","",IFERROR(INDEX(CONFIGURACION!I:I,MATCH(I351,CONFIGURACION!J:J,0)),""))
</f>
        <v/>
      </c>
      <c r="C351" s="6"/>
      <c r="D351" s="25"/>
      <c r="E351" s="24"/>
      <c r="F351" s="21"/>
      <c r="G351" s="21"/>
      <c r="H351" s="21"/>
      <c r="I351" s="21"/>
      <c r="J351" s="21"/>
      <c r="K351" s="21"/>
      <c r="L351" s="21"/>
      <c r="M351" s="21"/>
      <c r="N351" s="21"/>
      <c r="O351" s="21"/>
      <c r="P351" s="21"/>
      <c r="Q351" s="21"/>
      <c r="R351" s="21"/>
      <c r="S351" s="21"/>
      <c r="T351" s="21"/>
      <c r="U351" s="21"/>
      <c r="V351" s="21"/>
      <c r="W351" s="21"/>
      <c r="X351" s="21"/>
      <c r="Y351" s="21"/>
      <c r="Z351" s="21"/>
      <c r="AA351" s="21"/>
    </row>
    <row r="352">
      <c r="A352" s="6" t="str">
        <f t="array" ref="A352">IF(I352="","",IFERROR(INDEX(CONFIGURACION!H:H,MATCH(I352,CONFIGURACION!J:J,0)),""))
</f>
        <v/>
      </c>
      <c r="B352" s="6" t="str">
        <f t="array" ref="B352">IF(I352="","",IFERROR(INDEX(CONFIGURACION!I:I,MATCH(I352,CONFIGURACION!J:J,0)),""))
</f>
        <v/>
      </c>
      <c r="C352" s="6"/>
      <c r="D352" s="25"/>
      <c r="E352" s="24"/>
      <c r="F352" s="21"/>
      <c r="G352" s="21"/>
      <c r="H352" s="21"/>
      <c r="I352" s="21"/>
      <c r="J352" s="21"/>
      <c r="K352" s="21"/>
      <c r="L352" s="21"/>
      <c r="M352" s="21"/>
      <c r="N352" s="21"/>
      <c r="O352" s="21"/>
      <c r="P352" s="21"/>
      <c r="Q352" s="21"/>
      <c r="R352" s="21"/>
      <c r="S352" s="21"/>
      <c r="T352" s="21"/>
      <c r="U352" s="21"/>
      <c r="V352" s="21"/>
      <c r="W352" s="21"/>
      <c r="X352" s="21"/>
      <c r="Y352" s="21"/>
      <c r="Z352" s="21"/>
      <c r="AA352" s="21"/>
    </row>
    <row r="353">
      <c r="A353" s="6" t="str">
        <f t="array" ref="A353">IF(I353="","",IFERROR(INDEX(CONFIGURACION!H:H,MATCH(I353,CONFIGURACION!J:J,0)),""))
</f>
        <v/>
      </c>
      <c r="B353" s="6" t="str">
        <f t="array" ref="B353">IF(I353="","",IFERROR(INDEX(CONFIGURACION!I:I,MATCH(I353,CONFIGURACION!J:J,0)),""))
</f>
        <v/>
      </c>
      <c r="C353" s="6"/>
      <c r="D353" s="25"/>
      <c r="E353" s="24"/>
      <c r="F353" s="21"/>
      <c r="G353" s="21"/>
      <c r="H353" s="21"/>
      <c r="I353" s="21"/>
      <c r="J353" s="21"/>
      <c r="K353" s="21"/>
      <c r="L353" s="21"/>
      <c r="M353" s="21"/>
      <c r="N353" s="21"/>
      <c r="O353" s="21"/>
      <c r="P353" s="21"/>
      <c r="Q353" s="21"/>
      <c r="R353" s="21"/>
      <c r="S353" s="21"/>
      <c r="T353" s="21"/>
      <c r="U353" s="21"/>
      <c r="V353" s="21"/>
      <c r="W353" s="21"/>
      <c r="X353" s="21"/>
      <c r="Y353" s="21"/>
      <c r="Z353" s="21"/>
      <c r="AA353" s="21"/>
    </row>
    <row r="354">
      <c r="A354" s="6" t="str">
        <f t="array" ref="A354">IF(I354="","",IFERROR(INDEX(CONFIGURACION!H:H,MATCH(I354,CONFIGURACION!J:J,0)),""))
</f>
        <v/>
      </c>
      <c r="B354" s="6" t="str">
        <f t="array" ref="B354">IF(I354="","",IFERROR(INDEX(CONFIGURACION!I:I,MATCH(I354,CONFIGURACION!J:J,0)),""))
</f>
        <v/>
      </c>
      <c r="C354" s="6"/>
      <c r="D354" s="25"/>
      <c r="E354" s="24"/>
      <c r="F354" s="21"/>
      <c r="G354" s="21"/>
      <c r="H354" s="21"/>
      <c r="I354" s="21"/>
      <c r="J354" s="21"/>
      <c r="K354" s="21"/>
      <c r="L354" s="21"/>
      <c r="M354" s="21"/>
      <c r="N354" s="21"/>
      <c r="O354" s="21"/>
      <c r="P354" s="21"/>
      <c r="Q354" s="21"/>
      <c r="R354" s="21"/>
      <c r="S354" s="21"/>
      <c r="T354" s="21"/>
      <c r="U354" s="21"/>
      <c r="V354" s="21"/>
      <c r="W354" s="21"/>
      <c r="X354" s="21"/>
      <c r="Y354" s="21"/>
      <c r="Z354" s="21"/>
      <c r="AA354" s="21"/>
    </row>
    <row r="355">
      <c r="A355" s="6" t="str">
        <f t="array" ref="A355">IF(I355="","",IFERROR(INDEX(CONFIGURACION!H:H,MATCH(I355,CONFIGURACION!J:J,0)),""))
</f>
        <v/>
      </c>
      <c r="B355" s="6" t="str">
        <f t="array" ref="B355">IF(I355="","",IFERROR(INDEX(CONFIGURACION!I:I,MATCH(I355,CONFIGURACION!J:J,0)),""))
</f>
        <v/>
      </c>
      <c r="C355" s="6"/>
      <c r="D355" s="25"/>
      <c r="E355" s="24"/>
      <c r="F355" s="21"/>
      <c r="G355" s="21"/>
      <c r="H355" s="21"/>
      <c r="I355" s="21"/>
      <c r="J355" s="21"/>
      <c r="K355" s="21"/>
      <c r="L355" s="21"/>
      <c r="M355" s="21"/>
      <c r="N355" s="21"/>
      <c r="O355" s="21"/>
      <c r="P355" s="21"/>
      <c r="Q355" s="21"/>
      <c r="R355" s="21"/>
      <c r="S355" s="21"/>
      <c r="T355" s="21"/>
      <c r="U355" s="21"/>
      <c r="V355" s="21"/>
      <c r="W355" s="21"/>
      <c r="X355" s="21"/>
      <c r="Y355" s="21"/>
      <c r="Z355" s="21"/>
      <c r="AA355" s="21"/>
    </row>
    <row r="356">
      <c r="A356" s="6" t="str">
        <f t="array" ref="A356">IF(I356="","",IFERROR(INDEX(CONFIGURACION!H:H,MATCH(I356,CONFIGURACION!J:J,0)),""))
</f>
        <v/>
      </c>
      <c r="B356" s="6" t="str">
        <f t="array" ref="B356">IF(I356="","",IFERROR(INDEX(CONFIGURACION!I:I,MATCH(I356,CONFIGURACION!J:J,0)),""))
</f>
        <v/>
      </c>
      <c r="C356" s="6"/>
      <c r="D356" s="25"/>
      <c r="E356" s="24"/>
      <c r="F356" s="21"/>
      <c r="G356" s="21"/>
      <c r="H356" s="21"/>
      <c r="I356" s="21"/>
      <c r="J356" s="21"/>
      <c r="K356" s="21"/>
      <c r="L356" s="21"/>
      <c r="M356" s="21"/>
      <c r="N356" s="21"/>
      <c r="O356" s="21"/>
      <c r="P356" s="21"/>
      <c r="Q356" s="21"/>
      <c r="R356" s="21"/>
      <c r="S356" s="21"/>
      <c r="T356" s="21"/>
      <c r="U356" s="21"/>
      <c r="V356" s="21"/>
      <c r="W356" s="21"/>
      <c r="X356" s="21"/>
      <c r="Y356" s="21"/>
      <c r="Z356" s="21"/>
      <c r="AA356" s="21"/>
    </row>
    <row r="357">
      <c r="A357" s="6" t="str">
        <f t="array" ref="A357">IF(I357="","",IFERROR(INDEX(CONFIGURACION!H:H,MATCH(I357,CONFIGURACION!J:J,0)),""))
</f>
        <v/>
      </c>
      <c r="B357" s="6" t="str">
        <f t="array" ref="B357">IF(I357="","",IFERROR(INDEX(CONFIGURACION!I:I,MATCH(I357,CONFIGURACION!J:J,0)),""))
</f>
        <v/>
      </c>
      <c r="C357" s="6"/>
      <c r="D357" s="25"/>
      <c r="E357" s="24"/>
      <c r="F357" s="21"/>
      <c r="G357" s="21"/>
      <c r="H357" s="21"/>
      <c r="I357" s="21"/>
      <c r="J357" s="21"/>
      <c r="K357" s="21"/>
      <c r="L357" s="21"/>
      <c r="M357" s="21"/>
      <c r="N357" s="21"/>
      <c r="O357" s="21"/>
      <c r="P357" s="21"/>
      <c r="Q357" s="21"/>
      <c r="R357" s="21"/>
      <c r="S357" s="21"/>
      <c r="T357" s="21"/>
      <c r="U357" s="21"/>
      <c r="V357" s="21"/>
      <c r="W357" s="21"/>
      <c r="X357" s="21"/>
      <c r="Y357" s="21"/>
      <c r="Z357" s="21"/>
      <c r="AA357" s="21"/>
    </row>
    <row r="358">
      <c r="A358" s="6" t="str">
        <f t="array" ref="A358">IF(I358="","",IFERROR(INDEX(CONFIGURACION!H:H,MATCH(I358,CONFIGURACION!J:J,0)),""))
</f>
        <v/>
      </c>
      <c r="B358" s="6" t="str">
        <f t="array" ref="B358">IF(I358="","",IFERROR(INDEX(CONFIGURACION!I:I,MATCH(I358,CONFIGURACION!J:J,0)),""))
</f>
        <v/>
      </c>
      <c r="C358" s="6"/>
      <c r="D358" s="25"/>
      <c r="E358" s="24"/>
      <c r="F358" s="21"/>
      <c r="G358" s="21"/>
      <c r="H358" s="21"/>
      <c r="I358" s="21"/>
      <c r="J358" s="21"/>
      <c r="K358" s="21"/>
      <c r="L358" s="21"/>
      <c r="M358" s="21"/>
      <c r="N358" s="21"/>
      <c r="O358" s="21"/>
      <c r="P358" s="21"/>
      <c r="Q358" s="21"/>
      <c r="R358" s="21"/>
      <c r="S358" s="21"/>
      <c r="T358" s="21"/>
      <c r="U358" s="21"/>
      <c r="V358" s="21"/>
      <c r="W358" s="21"/>
      <c r="X358" s="21"/>
      <c r="Y358" s="21"/>
      <c r="Z358" s="21"/>
      <c r="AA358" s="21"/>
    </row>
    <row r="359">
      <c r="A359" s="6" t="str">
        <f t="array" ref="A359">IF(I359="","",IFERROR(INDEX(CONFIGURACION!H:H,MATCH(I359,CONFIGURACION!J:J,0)),""))
</f>
        <v/>
      </c>
      <c r="B359" s="6" t="str">
        <f t="array" ref="B359">IF(I359="","",IFERROR(INDEX(CONFIGURACION!I:I,MATCH(I359,CONFIGURACION!J:J,0)),""))
</f>
        <v/>
      </c>
      <c r="C359" s="6"/>
      <c r="D359" s="25"/>
      <c r="E359" s="24"/>
      <c r="F359" s="21"/>
      <c r="G359" s="21"/>
      <c r="H359" s="21"/>
      <c r="I359" s="21"/>
      <c r="J359" s="21"/>
      <c r="K359" s="21"/>
      <c r="L359" s="21"/>
      <c r="M359" s="21"/>
      <c r="N359" s="21"/>
      <c r="O359" s="21"/>
      <c r="P359" s="21"/>
      <c r="Q359" s="21"/>
      <c r="R359" s="21"/>
      <c r="S359" s="21"/>
      <c r="T359" s="21"/>
      <c r="U359" s="21"/>
      <c r="V359" s="21"/>
      <c r="W359" s="21"/>
      <c r="X359" s="21"/>
      <c r="Y359" s="21"/>
      <c r="Z359" s="21"/>
      <c r="AA359" s="21"/>
    </row>
    <row r="360">
      <c r="A360" s="6" t="str">
        <f t="array" ref="A360">IF(I360="","",IFERROR(INDEX(CONFIGURACION!H:H,MATCH(I360,CONFIGURACION!J:J,0)),""))
</f>
        <v/>
      </c>
      <c r="B360" s="6" t="str">
        <f t="array" ref="B360">IF(I360="","",IFERROR(INDEX(CONFIGURACION!I:I,MATCH(I360,CONFIGURACION!J:J,0)),""))
</f>
        <v/>
      </c>
      <c r="C360" s="6"/>
      <c r="D360" s="25"/>
      <c r="E360" s="24"/>
      <c r="F360" s="21"/>
      <c r="G360" s="21"/>
      <c r="H360" s="21"/>
      <c r="I360" s="21"/>
      <c r="J360" s="21"/>
      <c r="K360" s="21"/>
      <c r="L360" s="21"/>
      <c r="M360" s="21"/>
      <c r="N360" s="21"/>
      <c r="O360" s="21"/>
      <c r="P360" s="21"/>
      <c r="Q360" s="21"/>
      <c r="R360" s="21"/>
      <c r="S360" s="21"/>
      <c r="T360" s="21"/>
      <c r="U360" s="21"/>
      <c r="V360" s="21"/>
      <c r="W360" s="21"/>
      <c r="X360" s="21"/>
      <c r="Y360" s="21"/>
      <c r="Z360" s="21"/>
      <c r="AA360" s="21"/>
    </row>
    <row r="361">
      <c r="A361" s="6" t="str">
        <f t="array" ref="A361">IF(I361="","",IFERROR(INDEX(CONFIGURACION!H:H,MATCH(I361,CONFIGURACION!J:J,0)),""))
</f>
        <v/>
      </c>
      <c r="B361" s="6" t="str">
        <f t="array" ref="B361">IF(I361="","",IFERROR(INDEX(CONFIGURACION!I:I,MATCH(I361,CONFIGURACION!J:J,0)),""))
</f>
        <v/>
      </c>
      <c r="C361" s="6"/>
      <c r="D361" s="25"/>
      <c r="E361" s="24"/>
      <c r="F361" s="21"/>
      <c r="G361" s="21"/>
      <c r="H361" s="21"/>
      <c r="I361" s="21"/>
      <c r="J361" s="21"/>
      <c r="K361" s="21"/>
      <c r="L361" s="21"/>
      <c r="M361" s="21"/>
      <c r="N361" s="21"/>
      <c r="O361" s="21"/>
      <c r="P361" s="21"/>
      <c r="Q361" s="21"/>
      <c r="R361" s="21"/>
      <c r="S361" s="21"/>
      <c r="T361" s="21"/>
      <c r="U361" s="21"/>
      <c r="V361" s="21"/>
      <c r="W361" s="21"/>
      <c r="X361" s="21"/>
      <c r="Y361" s="21"/>
      <c r="Z361" s="21"/>
      <c r="AA361" s="21"/>
    </row>
    <row r="362">
      <c r="A362" s="6" t="str">
        <f t="array" ref="A362">IF(I362="","",IFERROR(INDEX(CONFIGURACION!H:H,MATCH(I362,CONFIGURACION!J:J,0)),""))
</f>
        <v/>
      </c>
      <c r="B362" s="6" t="str">
        <f t="array" ref="B362">IF(I362="","",IFERROR(INDEX(CONFIGURACION!I:I,MATCH(I362,CONFIGURACION!J:J,0)),""))
</f>
        <v/>
      </c>
      <c r="C362" s="6"/>
      <c r="D362" s="25"/>
      <c r="E362" s="24"/>
      <c r="F362" s="21"/>
      <c r="G362" s="21"/>
      <c r="H362" s="21"/>
      <c r="I362" s="21"/>
      <c r="J362" s="21"/>
      <c r="K362" s="21"/>
      <c r="L362" s="21"/>
      <c r="M362" s="21"/>
      <c r="N362" s="21"/>
      <c r="O362" s="21"/>
      <c r="P362" s="21"/>
      <c r="Q362" s="21"/>
      <c r="R362" s="21"/>
      <c r="S362" s="21"/>
      <c r="T362" s="21"/>
      <c r="U362" s="21"/>
      <c r="V362" s="21"/>
      <c r="W362" s="21"/>
      <c r="X362" s="21"/>
      <c r="Y362" s="21"/>
      <c r="Z362" s="21"/>
      <c r="AA362" s="21"/>
    </row>
    <row r="363">
      <c r="A363" s="6" t="str">
        <f t="array" ref="A363">IF(I363="","",IFERROR(INDEX(CONFIGURACION!H:H,MATCH(I363,CONFIGURACION!J:J,0)),""))
</f>
        <v/>
      </c>
      <c r="B363" s="6" t="str">
        <f t="array" ref="B363">IF(I363="","",IFERROR(INDEX(CONFIGURACION!I:I,MATCH(I363,CONFIGURACION!J:J,0)),""))
</f>
        <v/>
      </c>
      <c r="C363" s="6"/>
      <c r="D363" s="25"/>
      <c r="E363" s="24"/>
      <c r="F363" s="21"/>
      <c r="G363" s="21"/>
      <c r="H363" s="21"/>
      <c r="I363" s="21"/>
      <c r="J363" s="21"/>
      <c r="K363" s="21"/>
      <c r="L363" s="21"/>
      <c r="M363" s="21"/>
      <c r="N363" s="21"/>
      <c r="O363" s="21"/>
      <c r="P363" s="21"/>
      <c r="Q363" s="21"/>
      <c r="R363" s="21"/>
      <c r="S363" s="21"/>
      <c r="T363" s="21"/>
      <c r="U363" s="21"/>
      <c r="V363" s="21"/>
      <c r="W363" s="21"/>
      <c r="X363" s="21"/>
      <c r="Y363" s="21"/>
      <c r="Z363" s="21"/>
      <c r="AA363" s="21"/>
    </row>
    <row r="364">
      <c r="A364" s="6" t="str">
        <f t="array" ref="A364">IF(I364="","",IFERROR(INDEX(CONFIGURACION!H:H,MATCH(I364,CONFIGURACION!J:J,0)),""))
</f>
        <v/>
      </c>
      <c r="B364" s="6" t="str">
        <f t="array" ref="B364">IF(I364="","",IFERROR(INDEX(CONFIGURACION!I:I,MATCH(I364,CONFIGURACION!J:J,0)),""))
</f>
        <v/>
      </c>
      <c r="C364" s="6"/>
      <c r="D364" s="25"/>
      <c r="E364" s="24"/>
      <c r="F364" s="21"/>
      <c r="G364" s="21"/>
      <c r="H364" s="21"/>
      <c r="I364" s="21"/>
      <c r="J364" s="21"/>
      <c r="K364" s="21"/>
      <c r="L364" s="21"/>
      <c r="M364" s="21"/>
      <c r="N364" s="21"/>
      <c r="O364" s="21"/>
      <c r="P364" s="21"/>
      <c r="Q364" s="21"/>
      <c r="R364" s="21"/>
      <c r="S364" s="21"/>
      <c r="T364" s="21"/>
      <c r="U364" s="21"/>
      <c r="V364" s="21"/>
      <c r="W364" s="21"/>
      <c r="X364" s="21"/>
      <c r="Y364" s="21"/>
      <c r="Z364" s="21"/>
      <c r="AA364" s="21"/>
    </row>
    <row r="365">
      <c r="A365" s="6" t="str">
        <f t="array" ref="A365">IF(I365="","",IFERROR(INDEX(CONFIGURACION!H:H,MATCH(I365,CONFIGURACION!J:J,0)),""))
</f>
        <v/>
      </c>
      <c r="B365" s="6" t="str">
        <f t="array" ref="B365">IF(I365="","",IFERROR(INDEX(CONFIGURACION!I:I,MATCH(I365,CONFIGURACION!J:J,0)),""))
</f>
        <v/>
      </c>
      <c r="C365" s="6"/>
      <c r="D365" s="25"/>
      <c r="E365" s="24"/>
      <c r="F365" s="21"/>
      <c r="G365" s="21"/>
      <c r="H365" s="21"/>
      <c r="I365" s="21"/>
      <c r="J365" s="21"/>
      <c r="K365" s="21"/>
      <c r="L365" s="21"/>
      <c r="M365" s="21"/>
      <c r="N365" s="21"/>
      <c r="O365" s="21"/>
      <c r="P365" s="21"/>
      <c r="Q365" s="21"/>
      <c r="R365" s="21"/>
      <c r="S365" s="21"/>
      <c r="T365" s="21"/>
      <c r="U365" s="21"/>
      <c r="V365" s="21"/>
      <c r="W365" s="21"/>
      <c r="X365" s="21"/>
      <c r="Y365" s="21"/>
      <c r="Z365" s="21"/>
      <c r="AA365" s="21"/>
    </row>
    <row r="366">
      <c r="A366" s="6" t="str">
        <f t="array" ref="A366">IF(I366="","",IFERROR(INDEX(CONFIGURACION!H:H,MATCH(I366,CONFIGURACION!J:J,0)),""))
</f>
        <v/>
      </c>
      <c r="B366" s="6" t="str">
        <f t="array" ref="B366">IF(I366="","",IFERROR(INDEX(CONFIGURACION!I:I,MATCH(I366,CONFIGURACION!J:J,0)),""))
</f>
        <v/>
      </c>
      <c r="C366" s="6"/>
      <c r="D366" s="25"/>
      <c r="E366" s="24"/>
      <c r="F366" s="21"/>
      <c r="G366" s="21"/>
      <c r="H366" s="21"/>
      <c r="I366" s="21"/>
      <c r="J366" s="21"/>
      <c r="K366" s="21"/>
      <c r="L366" s="21"/>
      <c r="M366" s="21"/>
      <c r="N366" s="21"/>
      <c r="O366" s="21"/>
      <c r="P366" s="21"/>
      <c r="Q366" s="21"/>
      <c r="R366" s="21"/>
      <c r="S366" s="21"/>
      <c r="T366" s="21"/>
      <c r="U366" s="21"/>
      <c r="V366" s="21"/>
      <c r="W366" s="21"/>
      <c r="X366" s="21"/>
      <c r="Y366" s="21"/>
      <c r="Z366" s="21"/>
      <c r="AA366" s="21"/>
    </row>
    <row r="367">
      <c r="A367" s="6" t="str">
        <f t="array" ref="A367">IF(I367="","",IFERROR(INDEX(CONFIGURACION!H:H,MATCH(I367,CONFIGURACION!J:J,0)),""))
</f>
        <v/>
      </c>
      <c r="B367" s="6" t="str">
        <f t="array" ref="B367">IF(I367="","",IFERROR(INDEX(CONFIGURACION!I:I,MATCH(I367,CONFIGURACION!J:J,0)),""))
</f>
        <v/>
      </c>
      <c r="C367" s="6"/>
      <c r="D367" s="25"/>
      <c r="E367" s="24"/>
      <c r="F367" s="21"/>
      <c r="G367" s="21"/>
      <c r="H367" s="21"/>
      <c r="I367" s="21"/>
      <c r="J367" s="21"/>
      <c r="K367" s="21"/>
      <c r="L367" s="21"/>
      <c r="M367" s="21"/>
      <c r="N367" s="21"/>
      <c r="O367" s="21"/>
      <c r="P367" s="21"/>
      <c r="Q367" s="21"/>
      <c r="R367" s="21"/>
      <c r="S367" s="21"/>
      <c r="T367" s="21"/>
      <c r="U367" s="21"/>
      <c r="V367" s="21"/>
      <c r="W367" s="21"/>
      <c r="X367" s="21"/>
      <c r="Y367" s="21"/>
      <c r="Z367" s="21"/>
      <c r="AA367" s="21"/>
    </row>
    <row r="368">
      <c r="A368" s="6" t="str">
        <f t="array" ref="A368">IF(I368="","",IFERROR(INDEX(CONFIGURACION!H:H,MATCH(I368,CONFIGURACION!J:J,0)),""))
</f>
        <v/>
      </c>
      <c r="B368" s="6" t="str">
        <f t="array" ref="B368">IF(I368="","",IFERROR(INDEX(CONFIGURACION!I:I,MATCH(I368,CONFIGURACION!J:J,0)),""))
</f>
        <v/>
      </c>
      <c r="C368" s="6"/>
      <c r="D368" s="25"/>
      <c r="E368" s="24"/>
      <c r="F368" s="21"/>
      <c r="G368" s="21"/>
      <c r="H368" s="21"/>
      <c r="I368" s="21"/>
      <c r="J368" s="21"/>
      <c r="K368" s="21"/>
      <c r="L368" s="21"/>
      <c r="M368" s="21"/>
      <c r="N368" s="21"/>
      <c r="O368" s="21"/>
      <c r="P368" s="21"/>
      <c r="Q368" s="21"/>
      <c r="R368" s="21"/>
      <c r="S368" s="21"/>
      <c r="T368" s="21"/>
      <c r="U368" s="21"/>
      <c r="V368" s="21"/>
      <c r="W368" s="21"/>
      <c r="X368" s="21"/>
      <c r="Y368" s="21"/>
      <c r="Z368" s="21"/>
      <c r="AA368" s="21"/>
    </row>
    <row r="369">
      <c r="A369" s="6" t="str">
        <f t="array" ref="A369">IF(I369="","",IFERROR(INDEX(CONFIGURACION!H:H,MATCH(I369,CONFIGURACION!J:J,0)),""))
</f>
        <v/>
      </c>
      <c r="B369" s="6" t="str">
        <f t="array" ref="B369">IF(I369="","",IFERROR(INDEX(CONFIGURACION!I:I,MATCH(I369,CONFIGURACION!J:J,0)),""))
</f>
        <v/>
      </c>
      <c r="C369" s="6"/>
      <c r="D369" s="25"/>
      <c r="E369" s="24"/>
      <c r="F369" s="21"/>
      <c r="G369" s="21"/>
      <c r="H369" s="21"/>
      <c r="I369" s="21"/>
      <c r="J369" s="21"/>
      <c r="K369" s="21"/>
      <c r="L369" s="21"/>
      <c r="M369" s="21"/>
      <c r="N369" s="21"/>
      <c r="O369" s="21"/>
      <c r="P369" s="21"/>
      <c r="Q369" s="21"/>
      <c r="R369" s="21"/>
      <c r="S369" s="21"/>
      <c r="T369" s="21"/>
      <c r="U369" s="21"/>
      <c r="V369" s="21"/>
      <c r="W369" s="21"/>
      <c r="X369" s="21"/>
      <c r="Y369" s="21"/>
      <c r="Z369" s="21"/>
      <c r="AA369" s="21"/>
    </row>
    <row r="370">
      <c r="A370" s="6" t="str">
        <f t="array" ref="A370">IF(I370="","",IFERROR(INDEX(CONFIGURACION!H:H,MATCH(I370,CONFIGURACION!J:J,0)),""))
</f>
        <v/>
      </c>
      <c r="B370" s="6" t="str">
        <f t="array" ref="B370">IF(I370="","",IFERROR(INDEX(CONFIGURACION!I:I,MATCH(I370,CONFIGURACION!J:J,0)),""))
</f>
        <v/>
      </c>
      <c r="C370" s="6"/>
      <c r="D370" s="25"/>
      <c r="E370" s="24"/>
      <c r="F370" s="21"/>
      <c r="G370" s="21"/>
      <c r="H370" s="21"/>
      <c r="I370" s="21"/>
      <c r="J370" s="21"/>
      <c r="K370" s="21"/>
      <c r="L370" s="21"/>
      <c r="M370" s="21"/>
      <c r="N370" s="21"/>
      <c r="O370" s="21"/>
      <c r="P370" s="21"/>
      <c r="Q370" s="21"/>
      <c r="R370" s="21"/>
      <c r="S370" s="21"/>
      <c r="T370" s="21"/>
      <c r="U370" s="21"/>
      <c r="V370" s="21"/>
      <c r="W370" s="21"/>
      <c r="X370" s="21"/>
      <c r="Y370" s="21"/>
      <c r="Z370" s="21"/>
      <c r="AA370" s="21"/>
    </row>
    <row r="371">
      <c r="A371" s="6" t="str">
        <f t="array" ref="A371">IF(I371="","",IFERROR(INDEX(CONFIGURACION!H:H,MATCH(I371,CONFIGURACION!J:J,0)),""))
</f>
        <v/>
      </c>
      <c r="B371" s="6" t="str">
        <f t="array" ref="B371">IF(I371="","",IFERROR(INDEX(CONFIGURACION!I:I,MATCH(I371,CONFIGURACION!J:J,0)),""))
</f>
        <v/>
      </c>
      <c r="C371" s="6"/>
      <c r="D371" s="25"/>
      <c r="E371" s="24"/>
      <c r="F371" s="21"/>
      <c r="G371" s="21"/>
      <c r="H371" s="21"/>
      <c r="I371" s="21"/>
      <c r="J371" s="21"/>
      <c r="K371" s="21"/>
      <c r="L371" s="21"/>
      <c r="M371" s="21"/>
      <c r="N371" s="21"/>
      <c r="O371" s="21"/>
      <c r="P371" s="21"/>
      <c r="Q371" s="21"/>
      <c r="R371" s="21"/>
      <c r="S371" s="21"/>
      <c r="T371" s="21"/>
      <c r="U371" s="21"/>
      <c r="V371" s="21"/>
      <c r="W371" s="21"/>
      <c r="X371" s="21"/>
      <c r="Y371" s="21"/>
      <c r="Z371" s="21"/>
      <c r="AA371" s="21"/>
    </row>
    <row r="372">
      <c r="A372" s="6" t="str">
        <f t="array" ref="A372">IF(I372="","",IFERROR(INDEX(CONFIGURACION!H:H,MATCH(I372,CONFIGURACION!J:J,0)),""))
</f>
        <v/>
      </c>
      <c r="B372" s="6" t="str">
        <f t="array" ref="B372">IF(I372="","",IFERROR(INDEX(CONFIGURACION!I:I,MATCH(I372,CONFIGURACION!J:J,0)),""))
</f>
        <v/>
      </c>
      <c r="C372" s="6"/>
      <c r="D372" s="25"/>
      <c r="E372" s="24"/>
      <c r="F372" s="21"/>
      <c r="G372" s="21"/>
      <c r="H372" s="21"/>
      <c r="I372" s="21"/>
      <c r="J372" s="21"/>
      <c r="K372" s="21"/>
      <c r="L372" s="21"/>
      <c r="M372" s="21"/>
      <c r="N372" s="21"/>
      <c r="O372" s="21"/>
      <c r="P372" s="21"/>
      <c r="Q372" s="21"/>
      <c r="R372" s="21"/>
      <c r="S372" s="21"/>
      <c r="T372" s="21"/>
      <c r="U372" s="21"/>
      <c r="V372" s="21"/>
      <c r="W372" s="21"/>
      <c r="X372" s="21"/>
      <c r="Y372" s="21"/>
      <c r="Z372" s="21"/>
      <c r="AA372" s="21"/>
    </row>
    <row r="373">
      <c r="A373" s="6" t="str">
        <f t="array" ref="A373">IF(I373="","",IFERROR(INDEX(CONFIGURACION!H:H,MATCH(I373,CONFIGURACION!J:J,0)),""))
</f>
        <v/>
      </c>
      <c r="B373" s="6" t="str">
        <f t="array" ref="B373">IF(I373="","",IFERROR(INDEX(CONFIGURACION!I:I,MATCH(I373,CONFIGURACION!J:J,0)),""))
</f>
        <v/>
      </c>
      <c r="C373" s="6"/>
      <c r="D373" s="25"/>
      <c r="E373" s="24"/>
      <c r="F373" s="21"/>
      <c r="G373" s="21"/>
      <c r="H373" s="21"/>
      <c r="I373" s="21"/>
      <c r="J373" s="21"/>
      <c r="K373" s="21"/>
      <c r="L373" s="21"/>
      <c r="M373" s="21"/>
      <c r="N373" s="21"/>
      <c r="O373" s="21"/>
      <c r="P373" s="21"/>
      <c r="Q373" s="21"/>
      <c r="R373" s="21"/>
      <c r="S373" s="21"/>
      <c r="T373" s="21"/>
      <c r="U373" s="21"/>
      <c r="V373" s="21"/>
      <c r="W373" s="21"/>
      <c r="X373" s="21"/>
      <c r="Y373" s="21"/>
      <c r="Z373" s="21"/>
      <c r="AA373" s="21"/>
    </row>
    <row r="374">
      <c r="A374" s="6" t="str">
        <f t="array" ref="A374">IF(I374="","",IFERROR(INDEX(CONFIGURACION!H:H,MATCH(I374,CONFIGURACION!J:J,0)),""))
</f>
        <v/>
      </c>
      <c r="B374" s="6" t="str">
        <f t="array" ref="B374">IF(I374="","",IFERROR(INDEX(CONFIGURACION!I:I,MATCH(I374,CONFIGURACION!J:J,0)),""))
</f>
        <v/>
      </c>
      <c r="C374" s="6"/>
      <c r="D374" s="25"/>
      <c r="E374" s="24"/>
      <c r="F374" s="21"/>
      <c r="G374" s="21"/>
      <c r="H374" s="21"/>
      <c r="I374" s="21"/>
      <c r="J374" s="21"/>
      <c r="K374" s="21"/>
      <c r="L374" s="21"/>
      <c r="M374" s="21"/>
      <c r="N374" s="21"/>
      <c r="O374" s="21"/>
      <c r="P374" s="21"/>
      <c r="Q374" s="21"/>
      <c r="R374" s="21"/>
      <c r="S374" s="21"/>
      <c r="T374" s="21"/>
      <c r="U374" s="21"/>
      <c r="V374" s="21"/>
      <c r="W374" s="21"/>
      <c r="X374" s="21"/>
      <c r="Y374" s="21"/>
      <c r="Z374" s="21"/>
      <c r="AA374" s="21"/>
    </row>
    <row r="375">
      <c r="A375" s="6" t="str">
        <f t="array" ref="A375">IF(I375="","",IFERROR(INDEX(CONFIGURACION!H:H,MATCH(I375,CONFIGURACION!J:J,0)),""))
</f>
        <v/>
      </c>
      <c r="B375" s="6" t="str">
        <f t="array" ref="B375">IF(I375="","",IFERROR(INDEX(CONFIGURACION!I:I,MATCH(I375,CONFIGURACION!J:J,0)),""))
</f>
        <v/>
      </c>
      <c r="C375" s="6"/>
      <c r="D375" s="25"/>
      <c r="E375" s="24"/>
      <c r="F375" s="21"/>
      <c r="G375" s="21"/>
      <c r="H375" s="21"/>
      <c r="I375" s="21"/>
      <c r="J375" s="21"/>
      <c r="K375" s="21"/>
      <c r="L375" s="21"/>
      <c r="M375" s="21"/>
      <c r="N375" s="21"/>
      <c r="O375" s="21"/>
      <c r="P375" s="21"/>
      <c r="Q375" s="21"/>
      <c r="R375" s="21"/>
      <c r="S375" s="21"/>
      <c r="T375" s="21"/>
      <c r="U375" s="21"/>
      <c r="V375" s="21"/>
      <c r="W375" s="21"/>
      <c r="X375" s="21"/>
      <c r="Y375" s="21"/>
      <c r="Z375" s="21"/>
      <c r="AA375" s="21"/>
    </row>
    <row r="376">
      <c r="A376" s="6" t="str">
        <f t="array" ref="A376">IF(I376="","",IFERROR(INDEX(CONFIGURACION!H:H,MATCH(I376,CONFIGURACION!J:J,0)),""))
</f>
        <v/>
      </c>
      <c r="B376" s="6" t="str">
        <f t="array" ref="B376">IF(I376="","",IFERROR(INDEX(CONFIGURACION!I:I,MATCH(I376,CONFIGURACION!J:J,0)),""))
</f>
        <v/>
      </c>
      <c r="C376" s="6"/>
      <c r="D376" s="25"/>
      <c r="E376" s="24"/>
      <c r="F376" s="21"/>
      <c r="G376" s="21"/>
      <c r="H376" s="21"/>
      <c r="I376" s="21"/>
      <c r="J376" s="21"/>
      <c r="K376" s="21"/>
      <c r="L376" s="21"/>
      <c r="M376" s="21"/>
      <c r="N376" s="21"/>
      <c r="O376" s="21"/>
      <c r="P376" s="21"/>
      <c r="Q376" s="21"/>
      <c r="R376" s="21"/>
      <c r="S376" s="21"/>
      <c r="T376" s="21"/>
      <c r="U376" s="21"/>
      <c r="V376" s="21"/>
      <c r="W376" s="21"/>
      <c r="X376" s="21"/>
      <c r="Y376" s="21"/>
      <c r="Z376" s="21"/>
      <c r="AA376" s="21"/>
    </row>
    <row r="377">
      <c r="A377" s="6" t="str">
        <f t="array" ref="A377">IF(I377="","",IFERROR(INDEX(CONFIGURACION!H:H,MATCH(I377,CONFIGURACION!J:J,0)),""))
</f>
        <v/>
      </c>
      <c r="B377" s="6" t="str">
        <f t="array" ref="B377">IF(I377="","",IFERROR(INDEX(CONFIGURACION!I:I,MATCH(I377,CONFIGURACION!J:J,0)),""))
</f>
        <v/>
      </c>
      <c r="C377" s="6"/>
      <c r="D377" s="25"/>
      <c r="E377" s="24"/>
      <c r="F377" s="21"/>
      <c r="G377" s="21"/>
      <c r="H377" s="21"/>
      <c r="I377" s="21"/>
      <c r="J377" s="21"/>
      <c r="K377" s="21"/>
      <c r="L377" s="21"/>
      <c r="M377" s="21"/>
      <c r="N377" s="21"/>
      <c r="O377" s="21"/>
      <c r="P377" s="21"/>
      <c r="Q377" s="21"/>
      <c r="R377" s="21"/>
      <c r="S377" s="21"/>
      <c r="T377" s="21"/>
      <c r="U377" s="21"/>
      <c r="V377" s="21"/>
      <c r="W377" s="21"/>
      <c r="X377" s="21"/>
      <c r="Y377" s="21"/>
      <c r="Z377" s="21"/>
      <c r="AA377" s="21"/>
    </row>
    <row r="378">
      <c r="A378" s="6" t="str">
        <f t="array" ref="A378">IF(I378="","",IFERROR(INDEX(CONFIGURACION!H:H,MATCH(I378,CONFIGURACION!J:J,0)),""))
</f>
        <v/>
      </c>
      <c r="B378" s="6" t="str">
        <f t="array" ref="B378">IF(I378="","",IFERROR(INDEX(CONFIGURACION!I:I,MATCH(I378,CONFIGURACION!J:J,0)),""))
</f>
        <v/>
      </c>
      <c r="C378" s="6"/>
      <c r="D378" s="25"/>
      <c r="E378" s="24"/>
      <c r="F378" s="21"/>
      <c r="G378" s="21"/>
      <c r="H378" s="21"/>
      <c r="I378" s="21"/>
      <c r="J378" s="21"/>
      <c r="K378" s="21"/>
      <c r="L378" s="21"/>
      <c r="M378" s="21"/>
      <c r="N378" s="21"/>
      <c r="O378" s="21"/>
      <c r="P378" s="21"/>
      <c r="Q378" s="21"/>
      <c r="R378" s="21"/>
      <c r="S378" s="21"/>
      <c r="T378" s="21"/>
      <c r="U378" s="21"/>
      <c r="V378" s="21"/>
      <c r="W378" s="21"/>
      <c r="X378" s="21"/>
      <c r="Y378" s="21"/>
      <c r="Z378" s="21"/>
      <c r="AA378" s="21"/>
    </row>
    <row r="379">
      <c r="A379" s="6" t="str">
        <f t="array" ref="A379">IF(I379="","",IFERROR(INDEX(CONFIGURACION!H:H,MATCH(I379,CONFIGURACION!J:J,0)),""))
</f>
        <v/>
      </c>
      <c r="B379" s="6" t="str">
        <f t="array" ref="B379">IF(I379="","",IFERROR(INDEX(CONFIGURACION!I:I,MATCH(I379,CONFIGURACION!J:J,0)),""))
</f>
        <v/>
      </c>
      <c r="C379" s="6"/>
      <c r="D379" s="25"/>
      <c r="E379" s="24"/>
      <c r="F379" s="21"/>
      <c r="G379" s="21"/>
      <c r="H379" s="21"/>
      <c r="I379" s="21"/>
      <c r="J379" s="21"/>
      <c r="K379" s="21"/>
      <c r="L379" s="21"/>
      <c r="M379" s="21"/>
      <c r="N379" s="21"/>
      <c r="O379" s="21"/>
      <c r="P379" s="21"/>
      <c r="Q379" s="21"/>
      <c r="R379" s="21"/>
      <c r="S379" s="21"/>
      <c r="T379" s="21"/>
      <c r="U379" s="21"/>
      <c r="V379" s="21"/>
      <c r="W379" s="21"/>
      <c r="X379" s="21"/>
      <c r="Y379" s="21"/>
      <c r="Z379" s="21"/>
      <c r="AA379" s="21"/>
    </row>
    <row r="380">
      <c r="A380" s="6" t="str">
        <f t="array" ref="A380">IF(I380="","",IFERROR(INDEX(CONFIGURACION!H:H,MATCH(I380,CONFIGURACION!J:J,0)),""))
</f>
        <v/>
      </c>
      <c r="B380" s="6" t="str">
        <f t="array" ref="B380">IF(I380="","",IFERROR(INDEX(CONFIGURACION!I:I,MATCH(I380,CONFIGURACION!J:J,0)),""))
</f>
        <v/>
      </c>
      <c r="C380" s="6"/>
      <c r="D380" s="25"/>
      <c r="E380" s="24"/>
      <c r="F380" s="21"/>
      <c r="G380" s="21"/>
      <c r="H380" s="21"/>
      <c r="I380" s="21"/>
      <c r="J380" s="21"/>
      <c r="K380" s="21"/>
      <c r="L380" s="21"/>
      <c r="M380" s="21"/>
      <c r="N380" s="21"/>
      <c r="O380" s="21"/>
      <c r="P380" s="21"/>
      <c r="Q380" s="21"/>
      <c r="R380" s="21"/>
      <c r="S380" s="21"/>
      <c r="T380" s="21"/>
      <c r="U380" s="21"/>
      <c r="V380" s="21"/>
      <c r="W380" s="21"/>
      <c r="X380" s="21"/>
      <c r="Y380" s="21"/>
      <c r="Z380" s="21"/>
      <c r="AA380" s="21"/>
    </row>
    <row r="381">
      <c r="A381" s="6" t="str">
        <f t="array" ref="A381">IF(I381="","",IFERROR(INDEX(CONFIGURACION!H:H,MATCH(I381,CONFIGURACION!J:J,0)),""))
</f>
        <v/>
      </c>
      <c r="B381" s="6" t="str">
        <f t="array" ref="B381">IF(I381="","",IFERROR(INDEX(CONFIGURACION!I:I,MATCH(I381,CONFIGURACION!J:J,0)),""))
</f>
        <v/>
      </c>
      <c r="C381" s="6"/>
      <c r="D381" s="25"/>
      <c r="E381" s="24"/>
      <c r="F381" s="21"/>
      <c r="G381" s="21"/>
      <c r="H381" s="21"/>
      <c r="I381" s="21"/>
      <c r="J381" s="21"/>
      <c r="K381" s="21"/>
      <c r="L381" s="21"/>
      <c r="M381" s="21"/>
      <c r="N381" s="21"/>
      <c r="O381" s="21"/>
      <c r="P381" s="21"/>
      <c r="Q381" s="21"/>
      <c r="R381" s="21"/>
      <c r="S381" s="21"/>
      <c r="T381" s="21"/>
      <c r="U381" s="21"/>
      <c r="V381" s="21"/>
      <c r="W381" s="21"/>
      <c r="X381" s="21"/>
      <c r="Y381" s="21"/>
      <c r="Z381" s="21"/>
      <c r="AA381" s="21"/>
    </row>
    <row r="382">
      <c r="A382" s="6" t="str">
        <f t="array" ref="A382">IF(I382="","",IFERROR(INDEX(CONFIGURACION!H:H,MATCH(I382,CONFIGURACION!J:J,0)),""))
</f>
        <v/>
      </c>
      <c r="B382" s="6" t="str">
        <f t="array" ref="B382">IF(I382="","",IFERROR(INDEX(CONFIGURACION!I:I,MATCH(I382,CONFIGURACION!J:J,0)),""))
</f>
        <v/>
      </c>
      <c r="C382" s="6"/>
      <c r="D382" s="25"/>
      <c r="E382" s="24"/>
      <c r="F382" s="21"/>
      <c r="G382" s="21"/>
      <c r="H382" s="21"/>
      <c r="I382" s="21"/>
      <c r="J382" s="21"/>
      <c r="K382" s="21"/>
      <c r="L382" s="21"/>
      <c r="M382" s="21"/>
      <c r="N382" s="21"/>
      <c r="O382" s="21"/>
      <c r="P382" s="21"/>
      <c r="Q382" s="21"/>
      <c r="R382" s="21"/>
      <c r="S382" s="21"/>
      <c r="T382" s="21"/>
      <c r="U382" s="21"/>
      <c r="V382" s="21"/>
      <c r="W382" s="21"/>
      <c r="X382" s="21"/>
      <c r="Y382" s="21"/>
      <c r="Z382" s="21"/>
      <c r="AA382" s="21"/>
    </row>
    <row r="383">
      <c r="A383" s="6" t="str">
        <f t="array" ref="A383">IF(I383="","",IFERROR(INDEX(CONFIGURACION!H:H,MATCH(I383,CONFIGURACION!J:J,0)),""))
</f>
        <v/>
      </c>
      <c r="B383" s="6" t="str">
        <f t="array" ref="B383">IF(I383="","",IFERROR(INDEX(CONFIGURACION!I:I,MATCH(I383,CONFIGURACION!J:J,0)),""))
</f>
        <v/>
      </c>
      <c r="C383" s="6"/>
      <c r="D383" s="25"/>
      <c r="E383" s="24"/>
      <c r="F383" s="21"/>
      <c r="G383" s="21"/>
      <c r="H383" s="21"/>
      <c r="I383" s="21"/>
      <c r="J383" s="21"/>
      <c r="K383" s="21"/>
      <c r="L383" s="21"/>
      <c r="M383" s="21"/>
      <c r="N383" s="21"/>
      <c r="O383" s="21"/>
      <c r="P383" s="21"/>
      <c r="Q383" s="21"/>
      <c r="R383" s="21"/>
      <c r="S383" s="21"/>
      <c r="T383" s="21"/>
      <c r="U383" s="21"/>
      <c r="V383" s="21"/>
      <c r="W383" s="21"/>
      <c r="X383" s="21"/>
      <c r="Y383" s="21"/>
      <c r="Z383" s="21"/>
      <c r="AA383" s="21"/>
    </row>
    <row r="384">
      <c r="A384" s="6" t="str">
        <f t="array" ref="A384">IF(I384="","",IFERROR(INDEX(CONFIGURACION!H:H,MATCH(I384,CONFIGURACION!J:J,0)),""))
</f>
        <v/>
      </c>
      <c r="B384" s="6" t="str">
        <f t="array" ref="B384">IF(I384="","",IFERROR(INDEX(CONFIGURACION!I:I,MATCH(I384,CONFIGURACION!J:J,0)),""))
</f>
        <v/>
      </c>
      <c r="C384" s="6"/>
      <c r="D384" s="25"/>
      <c r="E384" s="24"/>
      <c r="F384" s="21"/>
      <c r="G384" s="21"/>
      <c r="H384" s="21"/>
      <c r="I384" s="21"/>
      <c r="J384" s="21"/>
      <c r="K384" s="21"/>
      <c r="L384" s="21"/>
      <c r="M384" s="21"/>
      <c r="N384" s="21"/>
      <c r="O384" s="21"/>
      <c r="P384" s="21"/>
      <c r="Q384" s="21"/>
      <c r="R384" s="21"/>
      <c r="S384" s="21"/>
      <c r="T384" s="21"/>
      <c r="U384" s="21"/>
      <c r="V384" s="21"/>
      <c r="W384" s="21"/>
      <c r="X384" s="21"/>
      <c r="Y384" s="21"/>
      <c r="Z384" s="21"/>
      <c r="AA384" s="21"/>
    </row>
    <row r="385">
      <c r="A385" s="6" t="str">
        <f t="array" ref="A385">IF(I385="","",IFERROR(INDEX(CONFIGURACION!H:H,MATCH(I385,CONFIGURACION!J:J,0)),""))
</f>
        <v/>
      </c>
      <c r="B385" s="6" t="str">
        <f t="array" ref="B385">IF(I385="","",IFERROR(INDEX(CONFIGURACION!I:I,MATCH(I385,CONFIGURACION!J:J,0)),""))
</f>
        <v/>
      </c>
      <c r="C385" s="6"/>
      <c r="D385" s="25"/>
      <c r="E385" s="24"/>
      <c r="F385" s="21"/>
      <c r="G385" s="21"/>
      <c r="H385" s="21"/>
      <c r="I385" s="21"/>
      <c r="J385" s="21"/>
      <c r="K385" s="21"/>
      <c r="L385" s="21"/>
      <c r="M385" s="21"/>
      <c r="N385" s="21"/>
      <c r="O385" s="21"/>
      <c r="P385" s="21"/>
      <c r="Q385" s="21"/>
      <c r="R385" s="21"/>
      <c r="S385" s="21"/>
      <c r="T385" s="21"/>
      <c r="U385" s="21"/>
      <c r="V385" s="21"/>
      <c r="W385" s="21"/>
      <c r="X385" s="21"/>
      <c r="Y385" s="21"/>
      <c r="Z385" s="21"/>
      <c r="AA385" s="21"/>
    </row>
    <row r="386">
      <c r="A386" s="6" t="str">
        <f t="array" ref="A386">IF(I386="","",IFERROR(INDEX(CONFIGURACION!H:H,MATCH(I386,CONFIGURACION!J:J,0)),""))
</f>
        <v/>
      </c>
      <c r="B386" s="6" t="str">
        <f t="array" ref="B386">IF(I386="","",IFERROR(INDEX(CONFIGURACION!I:I,MATCH(I386,CONFIGURACION!J:J,0)),""))
</f>
        <v/>
      </c>
      <c r="C386" s="6"/>
      <c r="D386" s="25"/>
      <c r="E386" s="24"/>
      <c r="F386" s="21"/>
      <c r="G386" s="21"/>
      <c r="H386" s="21"/>
      <c r="I386" s="21"/>
      <c r="J386" s="21"/>
      <c r="K386" s="21"/>
      <c r="L386" s="21"/>
      <c r="M386" s="21"/>
      <c r="N386" s="21"/>
      <c r="O386" s="21"/>
      <c r="P386" s="21"/>
      <c r="Q386" s="21"/>
      <c r="R386" s="21"/>
      <c r="S386" s="21"/>
      <c r="T386" s="21"/>
      <c r="U386" s="21"/>
      <c r="V386" s="21"/>
      <c r="W386" s="21"/>
      <c r="X386" s="21"/>
      <c r="Y386" s="21"/>
      <c r="Z386" s="21"/>
      <c r="AA386" s="21"/>
    </row>
    <row r="387">
      <c r="A387" s="6" t="str">
        <f t="array" ref="A387">IF(I387="","",IFERROR(INDEX(CONFIGURACION!H:H,MATCH(I387,CONFIGURACION!J:J,0)),""))
</f>
        <v/>
      </c>
      <c r="B387" s="6" t="str">
        <f t="array" ref="B387">IF(I387="","",IFERROR(INDEX(CONFIGURACION!I:I,MATCH(I387,CONFIGURACION!J:J,0)),""))
</f>
        <v/>
      </c>
      <c r="C387" s="6"/>
      <c r="D387" s="25"/>
      <c r="E387" s="24"/>
      <c r="F387" s="21"/>
      <c r="G387" s="21"/>
      <c r="H387" s="21"/>
      <c r="I387" s="21"/>
      <c r="J387" s="21"/>
      <c r="K387" s="21"/>
      <c r="L387" s="21"/>
      <c r="M387" s="21"/>
      <c r="N387" s="21"/>
      <c r="O387" s="21"/>
      <c r="P387" s="21"/>
      <c r="Q387" s="21"/>
      <c r="R387" s="21"/>
      <c r="S387" s="21"/>
      <c r="T387" s="21"/>
      <c r="U387" s="21"/>
      <c r="V387" s="21"/>
      <c r="W387" s="21"/>
      <c r="X387" s="21"/>
      <c r="Y387" s="21"/>
      <c r="Z387" s="21"/>
      <c r="AA387" s="21"/>
    </row>
    <row r="388">
      <c r="A388" s="6" t="str">
        <f t="array" ref="A388">IF(I388="","",IFERROR(INDEX(CONFIGURACION!H:H,MATCH(I388,CONFIGURACION!J:J,0)),""))
</f>
        <v/>
      </c>
      <c r="B388" s="6" t="str">
        <f t="array" ref="B388">IF(I388="","",IFERROR(INDEX(CONFIGURACION!I:I,MATCH(I388,CONFIGURACION!J:J,0)),""))
</f>
        <v/>
      </c>
      <c r="C388" s="6"/>
      <c r="D388" s="25"/>
      <c r="E388" s="24"/>
      <c r="F388" s="21"/>
      <c r="G388" s="21"/>
      <c r="H388" s="21"/>
      <c r="I388" s="21"/>
      <c r="J388" s="21"/>
      <c r="K388" s="21"/>
      <c r="L388" s="21"/>
      <c r="M388" s="21"/>
      <c r="N388" s="21"/>
      <c r="O388" s="21"/>
      <c r="P388" s="21"/>
      <c r="Q388" s="21"/>
      <c r="R388" s="21"/>
      <c r="S388" s="21"/>
      <c r="T388" s="21"/>
      <c r="U388" s="21"/>
      <c r="V388" s="21"/>
      <c r="W388" s="21"/>
      <c r="X388" s="21"/>
      <c r="Y388" s="21"/>
      <c r="Z388" s="21"/>
      <c r="AA388" s="21"/>
    </row>
    <row r="389">
      <c r="A389" s="6" t="str">
        <f t="array" ref="A389">IF(I389="","",IFERROR(INDEX(CONFIGURACION!H:H,MATCH(I389,CONFIGURACION!J:J,0)),""))
</f>
        <v/>
      </c>
      <c r="B389" s="6" t="str">
        <f t="array" ref="B389">IF(I389="","",IFERROR(INDEX(CONFIGURACION!I:I,MATCH(I389,CONFIGURACION!J:J,0)),""))
</f>
        <v/>
      </c>
      <c r="C389" s="6"/>
      <c r="D389" s="25"/>
      <c r="E389" s="24"/>
      <c r="F389" s="21"/>
      <c r="G389" s="21"/>
      <c r="H389" s="21"/>
      <c r="I389" s="21"/>
      <c r="J389" s="21"/>
      <c r="K389" s="21"/>
      <c r="L389" s="21"/>
      <c r="M389" s="21"/>
      <c r="N389" s="21"/>
      <c r="O389" s="21"/>
      <c r="P389" s="21"/>
      <c r="Q389" s="21"/>
      <c r="R389" s="21"/>
      <c r="S389" s="21"/>
      <c r="T389" s="21"/>
      <c r="U389" s="21"/>
      <c r="V389" s="21"/>
      <c r="W389" s="21"/>
      <c r="X389" s="21"/>
      <c r="Y389" s="21"/>
      <c r="Z389" s="21"/>
      <c r="AA389" s="21"/>
    </row>
    <row r="390">
      <c r="A390" s="6" t="str">
        <f t="array" ref="A390">IF(I390="","",IFERROR(INDEX(CONFIGURACION!H:H,MATCH(I390,CONFIGURACION!J:J,0)),""))
</f>
        <v/>
      </c>
      <c r="B390" s="6" t="str">
        <f t="array" ref="B390">IF(I390="","",IFERROR(INDEX(CONFIGURACION!I:I,MATCH(I390,CONFIGURACION!J:J,0)),""))
</f>
        <v/>
      </c>
      <c r="C390" s="6"/>
      <c r="D390" s="25"/>
      <c r="E390" s="24"/>
      <c r="F390" s="21"/>
      <c r="G390" s="21"/>
      <c r="H390" s="21"/>
      <c r="I390" s="21"/>
      <c r="J390" s="21"/>
      <c r="K390" s="21"/>
      <c r="L390" s="21"/>
      <c r="M390" s="21"/>
      <c r="N390" s="21"/>
      <c r="O390" s="21"/>
      <c r="P390" s="21"/>
      <c r="Q390" s="21"/>
      <c r="R390" s="21"/>
      <c r="S390" s="21"/>
      <c r="T390" s="21"/>
      <c r="U390" s="21"/>
      <c r="V390" s="21"/>
      <c r="W390" s="21"/>
      <c r="X390" s="21"/>
      <c r="Y390" s="21"/>
      <c r="Z390" s="21"/>
      <c r="AA390" s="21"/>
    </row>
    <row r="391">
      <c r="A391" s="6" t="str">
        <f t="array" ref="A391">IF(I391="","",IFERROR(INDEX(CONFIGURACION!H:H,MATCH(I391,CONFIGURACION!J:J,0)),""))
</f>
        <v/>
      </c>
      <c r="B391" s="6" t="str">
        <f t="array" ref="B391">IF(I391="","",IFERROR(INDEX(CONFIGURACION!I:I,MATCH(I391,CONFIGURACION!J:J,0)),""))
</f>
        <v/>
      </c>
      <c r="C391" s="6"/>
      <c r="D391" s="25"/>
      <c r="E391" s="24"/>
      <c r="F391" s="21"/>
      <c r="G391" s="21"/>
      <c r="H391" s="21"/>
      <c r="I391" s="21"/>
      <c r="J391" s="21"/>
      <c r="K391" s="21"/>
      <c r="L391" s="21"/>
      <c r="M391" s="21"/>
      <c r="N391" s="21"/>
      <c r="O391" s="21"/>
      <c r="P391" s="21"/>
      <c r="Q391" s="21"/>
      <c r="R391" s="21"/>
      <c r="S391" s="21"/>
      <c r="T391" s="21"/>
      <c r="U391" s="21"/>
      <c r="V391" s="21"/>
      <c r="W391" s="21"/>
      <c r="X391" s="21"/>
      <c r="Y391" s="21"/>
      <c r="Z391" s="21"/>
      <c r="AA391" s="21"/>
    </row>
    <row r="392">
      <c r="A392" s="6" t="str">
        <f t="array" ref="A392">IF(I392="","",IFERROR(INDEX(CONFIGURACION!H:H,MATCH(I392,CONFIGURACION!J:J,0)),""))
</f>
        <v/>
      </c>
      <c r="B392" s="6" t="str">
        <f t="array" ref="B392">IF(I392="","",IFERROR(INDEX(CONFIGURACION!I:I,MATCH(I392,CONFIGURACION!J:J,0)),""))
</f>
        <v/>
      </c>
      <c r="C392" s="6"/>
      <c r="D392" s="25"/>
      <c r="E392" s="24"/>
      <c r="F392" s="21"/>
      <c r="G392" s="21"/>
      <c r="H392" s="21"/>
      <c r="I392" s="21"/>
      <c r="J392" s="21"/>
      <c r="K392" s="21"/>
      <c r="L392" s="21"/>
      <c r="M392" s="21"/>
      <c r="N392" s="21"/>
      <c r="O392" s="21"/>
      <c r="P392" s="21"/>
      <c r="Q392" s="21"/>
      <c r="R392" s="21"/>
      <c r="S392" s="21"/>
      <c r="T392" s="21"/>
      <c r="U392" s="21"/>
      <c r="V392" s="21"/>
      <c r="W392" s="21"/>
      <c r="X392" s="21"/>
      <c r="Y392" s="21"/>
      <c r="Z392" s="21"/>
      <c r="AA392" s="21"/>
    </row>
    <row r="393">
      <c r="A393" s="6" t="str">
        <f t="array" ref="A393">IF(I393="","",IFERROR(INDEX(CONFIGURACION!H:H,MATCH(I393,CONFIGURACION!J:J,0)),""))
</f>
        <v/>
      </c>
      <c r="B393" s="6" t="str">
        <f t="array" ref="B393">IF(I393="","",IFERROR(INDEX(CONFIGURACION!I:I,MATCH(I393,CONFIGURACION!J:J,0)),""))
</f>
        <v/>
      </c>
      <c r="C393" s="6"/>
      <c r="D393" s="25"/>
      <c r="E393" s="24"/>
      <c r="F393" s="21"/>
      <c r="G393" s="21"/>
      <c r="H393" s="21"/>
      <c r="I393" s="21"/>
      <c r="J393" s="21"/>
      <c r="K393" s="21"/>
      <c r="L393" s="21"/>
      <c r="M393" s="21"/>
      <c r="N393" s="21"/>
      <c r="O393" s="21"/>
      <c r="P393" s="21"/>
      <c r="Q393" s="21"/>
      <c r="R393" s="21"/>
      <c r="S393" s="21"/>
      <c r="T393" s="21"/>
      <c r="U393" s="21"/>
      <c r="V393" s="21"/>
      <c r="W393" s="21"/>
      <c r="X393" s="21"/>
      <c r="Y393" s="21"/>
      <c r="Z393" s="21"/>
      <c r="AA393" s="21"/>
    </row>
    <row r="394">
      <c r="A394" s="6" t="str">
        <f t="array" ref="A394">IF(I394="","",IFERROR(INDEX(CONFIGURACION!H:H,MATCH(I394,CONFIGURACION!J:J,0)),""))
</f>
        <v/>
      </c>
      <c r="B394" s="6" t="str">
        <f t="array" ref="B394">IF(I394="","",IFERROR(INDEX(CONFIGURACION!I:I,MATCH(I394,CONFIGURACION!J:J,0)),""))
</f>
        <v/>
      </c>
      <c r="C394" s="6"/>
      <c r="D394" s="25"/>
      <c r="E394" s="24"/>
      <c r="F394" s="21"/>
      <c r="G394" s="21"/>
      <c r="H394" s="21"/>
      <c r="I394" s="21"/>
      <c r="J394" s="21"/>
      <c r="K394" s="21"/>
      <c r="L394" s="21"/>
      <c r="M394" s="21"/>
      <c r="N394" s="21"/>
      <c r="O394" s="21"/>
      <c r="P394" s="21"/>
      <c r="Q394" s="21"/>
      <c r="R394" s="21"/>
      <c r="S394" s="21"/>
      <c r="T394" s="21"/>
      <c r="U394" s="21"/>
      <c r="V394" s="21"/>
      <c r="W394" s="21"/>
      <c r="X394" s="21"/>
      <c r="Y394" s="21"/>
      <c r="Z394" s="21"/>
      <c r="AA394" s="21"/>
    </row>
    <row r="395">
      <c r="A395" s="6" t="str">
        <f t="array" ref="A395">IF(I395="","",IFERROR(INDEX(CONFIGURACION!H:H,MATCH(I395,CONFIGURACION!J:J,0)),""))
</f>
        <v/>
      </c>
      <c r="B395" s="6" t="str">
        <f t="array" ref="B395">IF(I395="","",IFERROR(INDEX(CONFIGURACION!I:I,MATCH(I395,CONFIGURACION!J:J,0)),""))
</f>
        <v/>
      </c>
      <c r="C395" s="6"/>
      <c r="D395" s="25"/>
      <c r="E395" s="24"/>
      <c r="F395" s="21"/>
      <c r="G395" s="21"/>
      <c r="H395" s="21"/>
      <c r="I395" s="21"/>
      <c r="J395" s="21"/>
      <c r="K395" s="21"/>
      <c r="L395" s="21"/>
      <c r="M395" s="21"/>
      <c r="N395" s="21"/>
      <c r="O395" s="21"/>
      <c r="P395" s="21"/>
      <c r="Q395" s="21"/>
      <c r="R395" s="21"/>
      <c r="S395" s="21"/>
      <c r="T395" s="21"/>
      <c r="U395" s="21"/>
      <c r="V395" s="21"/>
      <c r="W395" s="21"/>
      <c r="X395" s="21"/>
      <c r="Y395" s="21"/>
      <c r="Z395" s="21"/>
      <c r="AA395" s="21"/>
    </row>
    <row r="396">
      <c r="A396" s="6" t="str">
        <f t="array" ref="A396">IF(I396="","",IFERROR(INDEX(CONFIGURACION!H:H,MATCH(I396,CONFIGURACION!J:J,0)),""))
</f>
        <v/>
      </c>
      <c r="B396" s="6" t="str">
        <f t="array" ref="B396">IF(I396="","",IFERROR(INDEX(CONFIGURACION!I:I,MATCH(I396,CONFIGURACION!J:J,0)),""))
</f>
        <v/>
      </c>
      <c r="C396" s="6"/>
      <c r="D396" s="25"/>
      <c r="E396" s="24"/>
      <c r="F396" s="21"/>
      <c r="G396" s="21"/>
      <c r="H396" s="21"/>
      <c r="I396" s="21"/>
      <c r="J396" s="21"/>
      <c r="K396" s="21"/>
      <c r="L396" s="21"/>
      <c r="M396" s="21"/>
      <c r="N396" s="21"/>
      <c r="O396" s="21"/>
      <c r="P396" s="21"/>
      <c r="Q396" s="21"/>
      <c r="R396" s="21"/>
      <c r="S396" s="21"/>
      <c r="T396" s="21"/>
      <c r="U396" s="21"/>
      <c r="V396" s="21"/>
      <c r="W396" s="21"/>
      <c r="X396" s="21"/>
      <c r="Y396" s="21"/>
      <c r="Z396" s="21"/>
      <c r="AA396" s="21"/>
    </row>
    <row r="397">
      <c r="A397" s="6" t="str">
        <f t="array" ref="A397">IF(I397="","",IFERROR(INDEX(CONFIGURACION!H:H,MATCH(I397,CONFIGURACION!J:J,0)),""))
</f>
        <v/>
      </c>
      <c r="B397" s="6" t="str">
        <f t="array" ref="B397">IF(I397="","",IFERROR(INDEX(CONFIGURACION!I:I,MATCH(I397,CONFIGURACION!J:J,0)),""))
</f>
        <v/>
      </c>
      <c r="C397" s="6"/>
      <c r="D397" s="25"/>
      <c r="E397" s="24"/>
      <c r="F397" s="21"/>
      <c r="G397" s="21"/>
      <c r="H397" s="21"/>
      <c r="I397" s="21"/>
      <c r="J397" s="21"/>
      <c r="K397" s="21"/>
      <c r="L397" s="21"/>
      <c r="M397" s="21"/>
      <c r="N397" s="21"/>
      <c r="O397" s="21"/>
      <c r="P397" s="21"/>
      <c r="Q397" s="21"/>
      <c r="R397" s="21"/>
      <c r="S397" s="21"/>
      <c r="T397" s="21"/>
      <c r="U397" s="21"/>
      <c r="V397" s="21"/>
      <c r="W397" s="21"/>
      <c r="X397" s="21"/>
      <c r="Y397" s="21"/>
      <c r="Z397" s="21"/>
      <c r="AA397" s="21"/>
    </row>
    <row r="398">
      <c r="A398" s="6" t="str">
        <f t="array" ref="A398">IF(I398="","",IFERROR(INDEX(CONFIGURACION!H:H,MATCH(I398,CONFIGURACION!J:J,0)),""))
</f>
        <v/>
      </c>
      <c r="B398" s="6" t="str">
        <f t="array" ref="B398">IF(I398="","",IFERROR(INDEX(CONFIGURACION!I:I,MATCH(I398,CONFIGURACION!J:J,0)),""))
</f>
        <v/>
      </c>
      <c r="C398" s="6"/>
      <c r="D398" s="25"/>
      <c r="E398" s="24"/>
      <c r="F398" s="21"/>
      <c r="G398" s="21"/>
      <c r="H398" s="21"/>
      <c r="I398" s="21"/>
      <c r="J398" s="21"/>
      <c r="K398" s="21"/>
      <c r="L398" s="21"/>
      <c r="M398" s="21"/>
      <c r="N398" s="21"/>
      <c r="O398" s="21"/>
      <c r="P398" s="21"/>
      <c r="Q398" s="21"/>
      <c r="R398" s="21"/>
      <c r="S398" s="21"/>
      <c r="T398" s="21"/>
      <c r="U398" s="21"/>
      <c r="V398" s="21"/>
      <c r="W398" s="21"/>
      <c r="X398" s="21"/>
      <c r="Y398" s="21"/>
      <c r="Z398" s="21"/>
      <c r="AA398" s="21"/>
    </row>
    <row r="399">
      <c r="A399" s="6" t="str">
        <f t="array" ref="A399">IF(I399="","",IFERROR(INDEX(CONFIGURACION!H:H,MATCH(I399,CONFIGURACION!J:J,0)),""))
</f>
        <v/>
      </c>
      <c r="B399" s="6" t="str">
        <f t="array" ref="B399">IF(I399="","",IFERROR(INDEX(CONFIGURACION!I:I,MATCH(I399,CONFIGURACION!J:J,0)),""))
</f>
        <v/>
      </c>
      <c r="C399" s="6"/>
      <c r="D399" s="25"/>
      <c r="E399" s="24"/>
      <c r="F399" s="21"/>
      <c r="G399" s="21"/>
      <c r="H399" s="21"/>
      <c r="I399" s="21"/>
      <c r="J399" s="21"/>
      <c r="K399" s="21"/>
      <c r="L399" s="21"/>
      <c r="M399" s="21"/>
      <c r="N399" s="21"/>
      <c r="O399" s="21"/>
      <c r="P399" s="21"/>
      <c r="Q399" s="21"/>
      <c r="R399" s="21"/>
      <c r="S399" s="21"/>
      <c r="T399" s="21"/>
      <c r="U399" s="21"/>
      <c r="V399" s="21"/>
      <c r="W399" s="21"/>
      <c r="X399" s="21"/>
      <c r="Y399" s="21"/>
      <c r="Z399" s="21"/>
      <c r="AA399" s="21"/>
    </row>
    <row r="400">
      <c r="A400" s="6" t="str">
        <f t="array" ref="A400">IF(I400="","",IFERROR(INDEX(CONFIGURACION!H:H,MATCH(I400,CONFIGURACION!J:J,0)),""))
</f>
        <v/>
      </c>
      <c r="B400" s="6" t="str">
        <f t="array" ref="B400">IF(I400="","",IFERROR(INDEX(CONFIGURACION!I:I,MATCH(I400,CONFIGURACION!J:J,0)),""))
</f>
        <v/>
      </c>
      <c r="C400" s="6"/>
      <c r="D400" s="25"/>
      <c r="E400" s="24"/>
      <c r="F400" s="21"/>
      <c r="G400" s="21"/>
      <c r="H400" s="21"/>
      <c r="I400" s="21"/>
      <c r="J400" s="21"/>
      <c r="K400" s="21"/>
      <c r="L400" s="21"/>
      <c r="M400" s="21"/>
      <c r="N400" s="21"/>
      <c r="O400" s="21"/>
      <c r="P400" s="21"/>
      <c r="Q400" s="21"/>
      <c r="R400" s="21"/>
      <c r="S400" s="21"/>
      <c r="T400" s="21"/>
      <c r="U400" s="21"/>
      <c r="V400" s="21"/>
      <c r="W400" s="21"/>
      <c r="X400" s="21"/>
      <c r="Y400" s="21"/>
      <c r="Z400" s="21"/>
      <c r="AA400" s="21"/>
    </row>
    <row r="401">
      <c r="A401" s="6" t="str">
        <f t="array" ref="A401">IF(I401="","",IFERROR(INDEX(CONFIGURACION!H:H,MATCH(I401,CONFIGURACION!J:J,0)),""))
</f>
        <v/>
      </c>
      <c r="B401" s="6" t="str">
        <f t="array" ref="B401">IF(I401="","",IFERROR(INDEX(CONFIGURACION!I:I,MATCH(I401,CONFIGURACION!J:J,0)),""))
</f>
        <v/>
      </c>
      <c r="C401" s="6"/>
      <c r="D401" s="25"/>
      <c r="E401" s="24"/>
      <c r="F401" s="21"/>
      <c r="G401" s="21"/>
      <c r="H401" s="21"/>
      <c r="I401" s="21"/>
      <c r="J401" s="21"/>
      <c r="K401" s="21"/>
      <c r="L401" s="21"/>
      <c r="M401" s="21"/>
      <c r="N401" s="21"/>
      <c r="O401" s="21"/>
      <c r="P401" s="21"/>
      <c r="Q401" s="21"/>
      <c r="R401" s="21"/>
      <c r="S401" s="21"/>
      <c r="T401" s="21"/>
      <c r="U401" s="21"/>
      <c r="V401" s="21"/>
      <c r="W401" s="21"/>
      <c r="X401" s="21"/>
      <c r="Y401" s="21"/>
      <c r="Z401" s="21"/>
      <c r="AA401" s="21"/>
    </row>
    <row r="402">
      <c r="A402" s="6" t="str">
        <f t="array" ref="A402">IF(I402="","",IFERROR(INDEX(CONFIGURACION!H:H,MATCH(I402,CONFIGURACION!J:J,0)),""))
</f>
        <v/>
      </c>
      <c r="B402" s="6" t="str">
        <f t="array" ref="B402">IF(I402="","",IFERROR(INDEX(CONFIGURACION!I:I,MATCH(I402,CONFIGURACION!J:J,0)),""))
</f>
        <v/>
      </c>
      <c r="C402" s="6"/>
      <c r="D402" s="25"/>
      <c r="E402" s="24"/>
      <c r="F402" s="21"/>
      <c r="G402" s="21"/>
      <c r="H402" s="21"/>
      <c r="I402" s="21"/>
      <c r="J402" s="21"/>
      <c r="K402" s="21"/>
      <c r="L402" s="21"/>
      <c r="M402" s="21"/>
      <c r="N402" s="21"/>
      <c r="O402" s="21"/>
      <c r="P402" s="21"/>
      <c r="Q402" s="21"/>
      <c r="R402" s="21"/>
      <c r="S402" s="21"/>
      <c r="T402" s="21"/>
      <c r="U402" s="21"/>
      <c r="V402" s="21"/>
      <c r="W402" s="21"/>
      <c r="X402" s="21"/>
      <c r="Y402" s="21"/>
      <c r="Z402" s="21"/>
      <c r="AA402" s="21"/>
    </row>
    <row r="403">
      <c r="A403" s="6" t="str">
        <f t="array" ref="A403">IF(I403="","",IFERROR(INDEX(CONFIGURACION!H:H,MATCH(I403,CONFIGURACION!J:J,0)),""))
</f>
        <v/>
      </c>
      <c r="B403" s="6" t="str">
        <f t="array" ref="B403">IF(I403="","",IFERROR(INDEX(CONFIGURACION!I:I,MATCH(I403,CONFIGURACION!J:J,0)),""))
</f>
        <v/>
      </c>
      <c r="C403" s="6"/>
      <c r="D403" s="25"/>
      <c r="E403" s="24"/>
      <c r="F403" s="21"/>
      <c r="G403" s="21"/>
      <c r="H403" s="21"/>
      <c r="I403" s="21"/>
      <c r="J403" s="21"/>
      <c r="K403" s="21"/>
      <c r="L403" s="21"/>
      <c r="M403" s="21"/>
      <c r="N403" s="21"/>
      <c r="O403" s="21"/>
      <c r="P403" s="21"/>
      <c r="Q403" s="21"/>
      <c r="R403" s="21"/>
      <c r="S403" s="21"/>
      <c r="T403" s="21"/>
      <c r="U403" s="21"/>
      <c r="V403" s="21"/>
      <c r="W403" s="21"/>
      <c r="X403" s="21"/>
      <c r="Y403" s="21"/>
      <c r="Z403" s="21"/>
      <c r="AA403" s="21"/>
    </row>
    <row r="404">
      <c r="A404" s="6" t="str">
        <f t="array" ref="A404">IF(I404="","",IFERROR(INDEX(CONFIGURACION!H:H,MATCH(I404,CONFIGURACION!J:J,0)),""))
</f>
        <v/>
      </c>
      <c r="B404" s="6" t="str">
        <f t="array" ref="B404">IF(I404="","",IFERROR(INDEX(CONFIGURACION!I:I,MATCH(I404,CONFIGURACION!J:J,0)),""))
</f>
        <v/>
      </c>
      <c r="C404" s="6"/>
      <c r="D404" s="25"/>
      <c r="E404" s="24"/>
      <c r="F404" s="21"/>
      <c r="G404" s="21"/>
      <c r="H404" s="21"/>
      <c r="I404" s="21"/>
      <c r="J404" s="21"/>
      <c r="K404" s="21"/>
      <c r="L404" s="21"/>
      <c r="M404" s="21"/>
      <c r="N404" s="21"/>
      <c r="O404" s="21"/>
      <c r="P404" s="21"/>
      <c r="Q404" s="21"/>
      <c r="R404" s="21"/>
      <c r="S404" s="21"/>
      <c r="T404" s="21"/>
      <c r="U404" s="21"/>
      <c r="V404" s="21"/>
      <c r="W404" s="21"/>
      <c r="X404" s="21"/>
      <c r="Y404" s="21"/>
      <c r="Z404" s="21"/>
      <c r="AA404" s="21"/>
    </row>
    <row r="405">
      <c r="A405" s="6" t="str">
        <f t="array" ref="A405">IF(I405="","",IFERROR(INDEX(CONFIGURACION!H:H,MATCH(I405,CONFIGURACION!J:J,0)),""))
</f>
        <v/>
      </c>
      <c r="B405" s="6" t="str">
        <f t="array" ref="B405">IF(I405="","",IFERROR(INDEX(CONFIGURACION!I:I,MATCH(I405,CONFIGURACION!J:J,0)),""))
</f>
        <v/>
      </c>
      <c r="C405" s="6"/>
      <c r="D405" s="25"/>
      <c r="E405" s="24"/>
      <c r="F405" s="21"/>
      <c r="G405" s="21"/>
      <c r="H405" s="21"/>
      <c r="I405" s="21"/>
      <c r="J405" s="21"/>
      <c r="K405" s="21"/>
      <c r="L405" s="21"/>
      <c r="M405" s="21"/>
      <c r="N405" s="21"/>
      <c r="O405" s="21"/>
      <c r="P405" s="21"/>
      <c r="Q405" s="21"/>
      <c r="R405" s="21"/>
      <c r="S405" s="21"/>
      <c r="T405" s="21"/>
      <c r="U405" s="21"/>
      <c r="V405" s="21"/>
      <c r="W405" s="21"/>
      <c r="X405" s="21"/>
      <c r="Y405" s="21"/>
      <c r="Z405" s="21"/>
      <c r="AA405" s="21"/>
    </row>
    <row r="406">
      <c r="A406" s="6" t="str">
        <f t="array" ref="A406">IF(I406="","",IFERROR(INDEX(CONFIGURACION!H:H,MATCH(I406,CONFIGURACION!J:J,0)),""))
</f>
        <v/>
      </c>
      <c r="B406" s="6" t="str">
        <f t="array" ref="B406">IF(I406="","",IFERROR(INDEX(CONFIGURACION!I:I,MATCH(I406,CONFIGURACION!J:J,0)),""))
</f>
        <v/>
      </c>
      <c r="C406" s="6"/>
      <c r="D406" s="25"/>
      <c r="E406" s="24"/>
      <c r="F406" s="21"/>
      <c r="G406" s="21"/>
      <c r="H406" s="21"/>
      <c r="I406" s="21"/>
      <c r="J406" s="21"/>
      <c r="K406" s="21"/>
      <c r="L406" s="21"/>
      <c r="M406" s="21"/>
      <c r="N406" s="21"/>
      <c r="O406" s="21"/>
      <c r="P406" s="21"/>
      <c r="Q406" s="21"/>
      <c r="R406" s="21"/>
      <c r="S406" s="21"/>
      <c r="T406" s="21"/>
      <c r="U406" s="21"/>
      <c r="V406" s="21"/>
      <c r="W406" s="21"/>
      <c r="X406" s="21"/>
      <c r="Y406" s="21"/>
      <c r="Z406" s="21"/>
      <c r="AA406" s="21"/>
    </row>
    <row r="407">
      <c r="A407" s="6" t="str">
        <f t="array" ref="A407">IF(I407="","",IFERROR(INDEX(CONFIGURACION!H:H,MATCH(I407,CONFIGURACION!J:J,0)),""))
</f>
        <v/>
      </c>
      <c r="B407" s="6" t="str">
        <f t="array" ref="B407">IF(I407="","",IFERROR(INDEX(CONFIGURACION!I:I,MATCH(I407,CONFIGURACION!J:J,0)),""))
</f>
        <v/>
      </c>
      <c r="C407" s="6"/>
      <c r="D407" s="25"/>
      <c r="E407" s="24"/>
      <c r="F407" s="21"/>
      <c r="G407" s="21"/>
      <c r="H407" s="21"/>
      <c r="I407" s="21"/>
      <c r="J407" s="21"/>
      <c r="K407" s="21"/>
      <c r="L407" s="21"/>
      <c r="M407" s="21"/>
      <c r="N407" s="21"/>
      <c r="O407" s="21"/>
      <c r="P407" s="21"/>
      <c r="Q407" s="21"/>
      <c r="R407" s="21"/>
      <c r="S407" s="21"/>
      <c r="T407" s="21"/>
      <c r="U407" s="21"/>
      <c r="V407" s="21"/>
      <c r="W407" s="21"/>
      <c r="X407" s="21"/>
      <c r="Y407" s="21"/>
      <c r="Z407" s="21"/>
      <c r="AA407" s="21"/>
    </row>
    <row r="408">
      <c r="A408" s="6" t="str">
        <f t="array" ref="A408">IF(I408="","",IFERROR(INDEX(CONFIGURACION!H:H,MATCH(I408,CONFIGURACION!J:J,0)),""))
</f>
        <v/>
      </c>
      <c r="B408" s="6" t="str">
        <f t="array" ref="B408">IF(I408="","",IFERROR(INDEX(CONFIGURACION!I:I,MATCH(I408,CONFIGURACION!J:J,0)),""))
</f>
        <v/>
      </c>
      <c r="C408" s="6"/>
      <c r="D408" s="25"/>
      <c r="E408" s="24"/>
      <c r="F408" s="21"/>
      <c r="G408" s="21"/>
      <c r="H408" s="21"/>
      <c r="I408" s="21"/>
      <c r="J408" s="21"/>
      <c r="K408" s="21"/>
      <c r="L408" s="21"/>
      <c r="M408" s="21"/>
      <c r="N408" s="21"/>
      <c r="O408" s="21"/>
      <c r="P408" s="21"/>
      <c r="Q408" s="21"/>
      <c r="R408" s="21"/>
      <c r="S408" s="21"/>
      <c r="T408" s="21"/>
      <c r="U408" s="21"/>
      <c r="V408" s="21"/>
      <c r="W408" s="21"/>
      <c r="X408" s="21"/>
      <c r="Y408" s="21"/>
      <c r="Z408" s="21"/>
      <c r="AA408" s="21"/>
    </row>
    <row r="409">
      <c r="A409" s="6" t="str">
        <f t="array" ref="A409">IF(I409="","",IFERROR(INDEX(CONFIGURACION!H:H,MATCH(I409,CONFIGURACION!J:J,0)),""))
</f>
        <v/>
      </c>
      <c r="B409" s="6" t="str">
        <f t="array" ref="B409">IF(I409="","",IFERROR(INDEX(CONFIGURACION!I:I,MATCH(I409,CONFIGURACION!J:J,0)),""))
</f>
        <v/>
      </c>
      <c r="C409" s="6"/>
      <c r="D409" s="25"/>
      <c r="E409" s="24"/>
      <c r="F409" s="21"/>
      <c r="G409" s="21"/>
      <c r="H409" s="21"/>
      <c r="I409" s="21"/>
      <c r="J409" s="21"/>
      <c r="K409" s="21"/>
      <c r="L409" s="21"/>
      <c r="M409" s="21"/>
      <c r="N409" s="21"/>
      <c r="O409" s="21"/>
      <c r="P409" s="21"/>
      <c r="Q409" s="21"/>
      <c r="R409" s="21"/>
      <c r="S409" s="21"/>
      <c r="T409" s="21"/>
      <c r="U409" s="21"/>
      <c r="V409" s="21"/>
      <c r="W409" s="21"/>
      <c r="X409" s="21"/>
      <c r="Y409" s="21"/>
      <c r="Z409" s="21"/>
      <c r="AA409" s="21"/>
    </row>
    <row r="410">
      <c r="A410" s="6" t="str">
        <f t="array" ref="A410">IF(I410="","",IFERROR(INDEX(CONFIGURACION!H:H,MATCH(I410,CONFIGURACION!J:J,0)),""))
</f>
        <v/>
      </c>
      <c r="B410" s="6" t="str">
        <f t="array" ref="B410">IF(I410="","",IFERROR(INDEX(CONFIGURACION!I:I,MATCH(I410,CONFIGURACION!J:J,0)),""))
</f>
        <v/>
      </c>
      <c r="C410" s="6"/>
      <c r="D410" s="25"/>
      <c r="E410" s="24"/>
      <c r="F410" s="21"/>
      <c r="G410" s="21"/>
      <c r="H410" s="21"/>
      <c r="I410" s="21"/>
      <c r="J410" s="21"/>
      <c r="K410" s="21"/>
      <c r="L410" s="21"/>
      <c r="M410" s="21"/>
      <c r="N410" s="21"/>
      <c r="O410" s="21"/>
      <c r="P410" s="21"/>
      <c r="Q410" s="21"/>
      <c r="R410" s="21"/>
      <c r="S410" s="21"/>
      <c r="T410" s="21"/>
      <c r="U410" s="21"/>
      <c r="V410" s="21"/>
      <c r="W410" s="21"/>
      <c r="X410" s="21"/>
      <c r="Y410" s="21"/>
      <c r="Z410" s="21"/>
      <c r="AA410" s="21"/>
    </row>
    <row r="411">
      <c r="A411" s="6" t="str">
        <f t="array" ref="A411">IF(I411="","",IFERROR(INDEX(CONFIGURACION!H:H,MATCH(I411,CONFIGURACION!J:J,0)),""))
</f>
        <v/>
      </c>
      <c r="B411" s="6" t="str">
        <f t="array" ref="B411">IF(I411="","",IFERROR(INDEX(CONFIGURACION!I:I,MATCH(I411,CONFIGURACION!J:J,0)),""))
</f>
        <v/>
      </c>
      <c r="C411" s="6"/>
      <c r="D411" s="25"/>
      <c r="E411" s="24"/>
      <c r="F411" s="21"/>
      <c r="G411" s="21"/>
      <c r="H411" s="21"/>
      <c r="I411" s="21"/>
      <c r="J411" s="21"/>
      <c r="K411" s="21"/>
      <c r="L411" s="21"/>
      <c r="M411" s="21"/>
      <c r="N411" s="21"/>
      <c r="O411" s="21"/>
      <c r="P411" s="21"/>
      <c r="Q411" s="21"/>
      <c r="R411" s="21"/>
      <c r="S411" s="21"/>
      <c r="T411" s="21"/>
      <c r="U411" s="21"/>
      <c r="V411" s="21"/>
      <c r="W411" s="21"/>
      <c r="X411" s="21"/>
      <c r="Y411" s="21"/>
      <c r="Z411" s="21"/>
      <c r="AA411" s="21"/>
    </row>
    <row r="412">
      <c r="A412" s="6" t="str">
        <f t="array" ref="A412">IF(I412="","",IFERROR(INDEX(CONFIGURACION!H:H,MATCH(I412,CONFIGURACION!J:J,0)),""))
</f>
        <v/>
      </c>
      <c r="B412" s="6" t="str">
        <f t="array" ref="B412">IF(I412="","",IFERROR(INDEX(CONFIGURACION!I:I,MATCH(I412,CONFIGURACION!J:J,0)),""))
</f>
        <v/>
      </c>
      <c r="C412" s="6"/>
      <c r="D412" s="25"/>
      <c r="E412" s="24"/>
      <c r="F412" s="21"/>
      <c r="G412" s="21"/>
      <c r="H412" s="21"/>
      <c r="I412" s="21"/>
      <c r="J412" s="21"/>
      <c r="K412" s="21"/>
      <c r="L412" s="21"/>
      <c r="M412" s="21"/>
      <c r="N412" s="21"/>
      <c r="O412" s="21"/>
      <c r="P412" s="21"/>
      <c r="Q412" s="21"/>
      <c r="R412" s="21"/>
      <c r="S412" s="21"/>
      <c r="T412" s="21"/>
      <c r="U412" s="21"/>
      <c r="V412" s="21"/>
      <c r="W412" s="21"/>
      <c r="X412" s="21"/>
      <c r="Y412" s="21"/>
      <c r="Z412" s="21"/>
      <c r="AA412" s="21"/>
    </row>
    <row r="413">
      <c r="A413" s="6" t="str">
        <f t="array" ref="A413">IF(I413="","",IFERROR(INDEX(CONFIGURACION!H:H,MATCH(I413,CONFIGURACION!J:J,0)),""))
</f>
        <v/>
      </c>
      <c r="B413" s="6" t="str">
        <f t="array" ref="B413">IF(I413="","",IFERROR(INDEX(CONFIGURACION!I:I,MATCH(I413,CONFIGURACION!J:J,0)),""))
</f>
        <v/>
      </c>
      <c r="C413" s="6"/>
      <c r="D413" s="25"/>
      <c r="E413" s="24"/>
      <c r="F413" s="21"/>
      <c r="G413" s="21"/>
      <c r="H413" s="21"/>
      <c r="I413" s="21"/>
      <c r="J413" s="21"/>
      <c r="K413" s="21"/>
      <c r="L413" s="21"/>
      <c r="M413" s="21"/>
      <c r="N413" s="21"/>
      <c r="O413" s="21"/>
      <c r="P413" s="21"/>
      <c r="Q413" s="21"/>
      <c r="R413" s="21"/>
      <c r="S413" s="21"/>
      <c r="T413" s="21"/>
      <c r="U413" s="21"/>
      <c r="V413" s="21"/>
      <c r="W413" s="21"/>
      <c r="X413" s="21"/>
      <c r="Y413" s="21"/>
      <c r="Z413" s="21"/>
      <c r="AA413" s="21"/>
    </row>
    <row r="414">
      <c r="A414" s="6" t="str">
        <f t="array" ref="A414">IF(I414="","",IFERROR(INDEX(CONFIGURACION!H:H,MATCH(I414,CONFIGURACION!J:J,0)),""))
</f>
        <v/>
      </c>
      <c r="B414" s="6" t="str">
        <f t="array" ref="B414">IF(I414="","",IFERROR(INDEX(CONFIGURACION!I:I,MATCH(I414,CONFIGURACION!J:J,0)),""))
</f>
        <v/>
      </c>
      <c r="C414" s="6"/>
      <c r="D414" s="25"/>
      <c r="E414" s="24"/>
      <c r="F414" s="21"/>
      <c r="G414" s="21"/>
      <c r="H414" s="21"/>
      <c r="I414" s="21"/>
      <c r="J414" s="21"/>
      <c r="K414" s="21"/>
      <c r="L414" s="21"/>
      <c r="M414" s="21"/>
      <c r="N414" s="21"/>
      <c r="O414" s="21"/>
      <c r="P414" s="21"/>
      <c r="Q414" s="21"/>
      <c r="R414" s="21"/>
      <c r="S414" s="21"/>
      <c r="T414" s="21"/>
      <c r="U414" s="21"/>
      <c r="V414" s="21"/>
      <c r="W414" s="21"/>
      <c r="X414" s="21"/>
      <c r="Y414" s="21"/>
      <c r="Z414" s="21"/>
      <c r="AA414" s="21"/>
    </row>
    <row r="415">
      <c r="A415" s="6" t="str">
        <f t="array" ref="A415">IF(I415="","",IFERROR(INDEX(CONFIGURACION!H:H,MATCH(I415,CONFIGURACION!J:J,0)),""))
</f>
        <v/>
      </c>
      <c r="B415" s="6" t="str">
        <f t="array" ref="B415">IF(I415="","",IFERROR(INDEX(CONFIGURACION!I:I,MATCH(I415,CONFIGURACION!J:J,0)),""))
</f>
        <v/>
      </c>
      <c r="C415" s="6"/>
      <c r="D415" s="25"/>
      <c r="E415" s="24"/>
      <c r="F415" s="21"/>
      <c r="G415" s="21"/>
      <c r="H415" s="21"/>
      <c r="I415" s="21"/>
      <c r="J415" s="21"/>
      <c r="K415" s="21"/>
      <c r="L415" s="21"/>
      <c r="M415" s="21"/>
      <c r="N415" s="21"/>
      <c r="O415" s="21"/>
      <c r="P415" s="21"/>
      <c r="Q415" s="21"/>
      <c r="R415" s="21"/>
      <c r="S415" s="21"/>
      <c r="T415" s="21"/>
      <c r="U415" s="21"/>
      <c r="V415" s="21"/>
      <c r="W415" s="21"/>
      <c r="X415" s="21"/>
      <c r="Y415" s="21"/>
      <c r="Z415" s="21"/>
      <c r="AA415" s="21"/>
    </row>
    <row r="416">
      <c r="A416" s="6" t="str">
        <f t="array" ref="A416">IF(I416="","",IFERROR(INDEX(CONFIGURACION!H:H,MATCH(I416,CONFIGURACION!J:J,0)),""))
</f>
        <v/>
      </c>
      <c r="B416" s="6" t="str">
        <f t="array" ref="B416">IF(I416="","",IFERROR(INDEX(CONFIGURACION!I:I,MATCH(I416,CONFIGURACION!J:J,0)),""))
</f>
        <v/>
      </c>
      <c r="C416" s="6"/>
      <c r="D416" s="25"/>
      <c r="E416" s="24"/>
      <c r="F416" s="21"/>
      <c r="G416" s="21"/>
      <c r="H416" s="21"/>
      <c r="I416" s="21"/>
      <c r="J416" s="21"/>
      <c r="K416" s="21"/>
      <c r="L416" s="21"/>
      <c r="M416" s="21"/>
      <c r="N416" s="21"/>
      <c r="O416" s="21"/>
      <c r="P416" s="21"/>
      <c r="Q416" s="21"/>
      <c r="R416" s="21"/>
      <c r="S416" s="21"/>
      <c r="T416" s="21"/>
      <c r="U416" s="21"/>
      <c r="V416" s="21"/>
      <c r="W416" s="21"/>
      <c r="X416" s="21"/>
      <c r="Y416" s="21"/>
      <c r="Z416" s="21"/>
      <c r="AA416" s="21"/>
    </row>
    <row r="417">
      <c r="A417" s="6" t="str">
        <f t="array" ref="A417">IF(I417="","",IFERROR(INDEX(CONFIGURACION!H:H,MATCH(I417,CONFIGURACION!J:J,0)),""))
</f>
        <v/>
      </c>
      <c r="B417" s="6" t="str">
        <f t="array" ref="B417">IF(I417="","",IFERROR(INDEX(CONFIGURACION!I:I,MATCH(I417,CONFIGURACION!J:J,0)),""))
</f>
        <v/>
      </c>
      <c r="C417" s="6"/>
      <c r="D417" s="25"/>
      <c r="E417" s="24"/>
      <c r="F417" s="21"/>
      <c r="G417" s="21"/>
      <c r="H417" s="21"/>
      <c r="I417" s="21"/>
      <c r="J417" s="21"/>
      <c r="K417" s="21"/>
      <c r="L417" s="21"/>
      <c r="M417" s="21"/>
      <c r="N417" s="21"/>
      <c r="O417" s="21"/>
      <c r="P417" s="21"/>
      <c r="Q417" s="21"/>
      <c r="R417" s="21"/>
      <c r="S417" s="21"/>
      <c r="T417" s="21"/>
      <c r="U417" s="21"/>
      <c r="V417" s="21"/>
      <c r="W417" s="21"/>
      <c r="X417" s="21"/>
      <c r="Y417" s="21"/>
      <c r="Z417" s="21"/>
      <c r="AA417" s="21"/>
    </row>
    <row r="418">
      <c r="A418" s="6" t="str">
        <f t="array" ref="A418">IF(I418="","",IFERROR(INDEX(CONFIGURACION!H:H,MATCH(I418,CONFIGURACION!J:J,0)),""))
</f>
        <v/>
      </c>
      <c r="B418" s="6" t="str">
        <f t="array" ref="B418">IF(I418="","",IFERROR(INDEX(CONFIGURACION!I:I,MATCH(I418,CONFIGURACION!J:J,0)),""))
</f>
        <v/>
      </c>
      <c r="C418" s="6"/>
      <c r="D418" s="25"/>
      <c r="E418" s="24"/>
      <c r="F418" s="21"/>
      <c r="G418" s="21"/>
      <c r="H418" s="21"/>
      <c r="I418" s="21"/>
      <c r="J418" s="21"/>
      <c r="K418" s="21"/>
      <c r="L418" s="21"/>
      <c r="M418" s="21"/>
      <c r="N418" s="21"/>
      <c r="O418" s="21"/>
      <c r="P418" s="21"/>
      <c r="Q418" s="21"/>
      <c r="R418" s="21"/>
      <c r="S418" s="21"/>
      <c r="T418" s="21"/>
      <c r="U418" s="21"/>
      <c r="V418" s="21"/>
      <c r="W418" s="21"/>
      <c r="X418" s="21"/>
      <c r="Y418" s="21"/>
      <c r="Z418" s="21"/>
      <c r="AA418" s="21"/>
    </row>
    <row r="419">
      <c r="A419" s="6" t="str">
        <f t="array" ref="A419">IF(I419="","",IFERROR(INDEX(CONFIGURACION!H:H,MATCH(I419,CONFIGURACION!J:J,0)),""))
</f>
        <v/>
      </c>
      <c r="B419" s="6" t="str">
        <f t="array" ref="B419">IF(I419="","",IFERROR(INDEX(CONFIGURACION!I:I,MATCH(I419,CONFIGURACION!J:J,0)),""))
</f>
        <v/>
      </c>
      <c r="C419" s="6"/>
      <c r="D419" s="25"/>
      <c r="E419" s="24"/>
      <c r="F419" s="21"/>
      <c r="G419" s="21"/>
      <c r="H419" s="21"/>
      <c r="I419" s="21"/>
      <c r="J419" s="21"/>
      <c r="K419" s="21"/>
      <c r="L419" s="21"/>
      <c r="M419" s="21"/>
      <c r="N419" s="21"/>
      <c r="O419" s="21"/>
      <c r="P419" s="21"/>
      <c r="Q419" s="21"/>
      <c r="R419" s="21"/>
      <c r="S419" s="21"/>
      <c r="T419" s="21"/>
      <c r="U419" s="21"/>
      <c r="V419" s="21"/>
      <c r="W419" s="21"/>
      <c r="X419" s="21"/>
      <c r="Y419" s="21"/>
      <c r="Z419" s="21"/>
      <c r="AA419" s="21"/>
    </row>
    <row r="420">
      <c r="A420" s="6" t="str">
        <f t="array" ref="A420">IF(I420="","",IFERROR(INDEX(CONFIGURACION!H:H,MATCH(I420,CONFIGURACION!J:J,0)),""))
</f>
        <v/>
      </c>
      <c r="B420" s="6" t="str">
        <f t="array" ref="B420">IF(I420="","",IFERROR(INDEX(CONFIGURACION!I:I,MATCH(I420,CONFIGURACION!J:J,0)),""))
</f>
        <v/>
      </c>
      <c r="C420" s="6"/>
      <c r="D420" s="25"/>
      <c r="E420" s="24"/>
      <c r="F420" s="21"/>
      <c r="G420" s="21"/>
      <c r="H420" s="21"/>
      <c r="I420" s="21"/>
      <c r="J420" s="21"/>
      <c r="K420" s="21"/>
      <c r="L420" s="21"/>
      <c r="M420" s="21"/>
      <c r="N420" s="21"/>
      <c r="O420" s="21"/>
      <c r="P420" s="21"/>
      <c r="Q420" s="21"/>
      <c r="R420" s="21"/>
      <c r="S420" s="21"/>
      <c r="T420" s="21"/>
      <c r="U420" s="21"/>
      <c r="V420" s="21"/>
      <c r="W420" s="21"/>
      <c r="X420" s="21"/>
      <c r="Y420" s="21"/>
      <c r="Z420" s="21"/>
      <c r="AA420" s="21"/>
    </row>
    <row r="421">
      <c r="A421" s="6" t="str">
        <f t="array" ref="A421">IF(I421="","",IFERROR(INDEX(CONFIGURACION!H:H,MATCH(I421,CONFIGURACION!J:J,0)),""))
</f>
        <v/>
      </c>
      <c r="B421" s="6" t="str">
        <f t="array" ref="B421">IF(I421="","",IFERROR(INDEX(CONFIGURACION!I:I,MATCH(I421,CONFIGURACION!J:J,0)),""))
</f>
        <v/>
      </c>
      <c r="C421" s="6"/>
      <c r="D421" s="25"/>
      <c r="E421" s="24"/>
      <c r="F421" s="21"/>
      <c r="G421" s="21"/>
      <c r="H421" s="21"/>
      <c r="I421" s="21"/>
      <c r="J421" s="21"/>
      <c r="K421" s="21"/>
      <c r="L421" s="21"/>
      <c r="M421" s="21"/>
      <c r="N421" s="21"/>
      <c r="O421" s="21"/>
      <c r="P421" s="21"/>
      <c r="Q421" s="21"/>
      <c r="R421" s="21"/>
      <c r="S421" s="21"/>
      <c r="T421" s="21"/>
      <c r="U421" s="21"/>
      <c r="V421" s="21"/>
      <c r="W421" s="21"/>
      <c r="X421" s="21"/>
      <c r="Y421" s="21"/>
      <c r="Z421" s="21"/>
      <c r="AA421" s="21"/>
    </row>
    <row r="422">
      <c r="A422" s="6" t="str">
        <f t="array" ref="A422">IF(I422="","",IFERROR(INDEX(CONFIGURACION!H:H,MATCH(I422,CONFIGURACION!J:J,0)),""))
</f>
        <v/>
      </c>
      <c r="B422" s="6" t="str">
        <f t="array" ref="B422">IF(I422="","",IFERROR(INDEX(CONFIGURACION!I:I,MATCH(I422,CONFIGURACION!J:J,0)),""))
</f>
        <v/>
      </c>
      <c r="C422" s="6"/>
      <c r="D422" s="25"/>
      <c r="E422" s="24"/>
      <c r="F422" s="21"/>
      <c r="G422" s="21"/>
      <c r="H422" s="21"/>
      <c r="I422" s="21"/>
      <c r="J422" s="21"/>
      <c r="K422" s="21"/>
      <c r="L422" s="21"/>
      <c r="M422" s="21"/>
      <c r="N422" s="21"/>
      <c r="O422" s="21"/>
      <c r="P422" s="21"/>
      <c r="Q422" s="21"/>
      <c r="R422" s="21"/>
      <c r="S422" s="21"/>
      <c r="T422" s="21"/>
      <c r="U422" s="21"/>
      <c r="V422" s="21"/>
      <c r="W422" s="21"/>
      <c r="X422" s="21"/>
      <c r="Y422" s="21"/>
      <c r="Z422" s="21"/>
      <c r="AA422" s="21"/>
    </row>
    <row r="423">
      <c r="A423" s="6" t="str">
        <f t="array" ref="A423">IF(I423="","",IFERROR(INDEX(CONFIGURACION!H:H,MATCH(I423,CONFIGURACION!J:J,0)),""))
</f>
        <v/>
      </c>
      <c r="B423" s="6" t="str">
        <f t="array" ref="B423">IF(I423="","",IFERROR(INDEX(CONFIGURACION!I:I,MATCH(I423,CONFIGURACION!J:J,0)),""))
</f>
        <v/>
      </c>
      <c r="C423" s="6"/>
      <c r="D423" s="25"/>
      <c r="E423" s="24"/>
      <c r="F423" s="21"/>
      <c r="G423" s="21"/>
      <c r="H423" s="21"/>
      <c r="I423" s="21"/>
      <c r="J423" s="21"/>
      <c r="K423" s="21"/>
      <c r="L423" s="21"/>
      <c r="M423" s="21"/>
      <c r="N423" s="21"/>
      <c r="O423" s="21"/>
      <c r="P423" s="21"/>
      <c r="Q423" s="21"/>
      <c r="R423" s="21"/>
      <c r="S423" s="21"/>
      <c r="T423" s="21"/>
      <c r="U423" s="21"/>
      <c r="V423" s="21"/>
      <c r="W423" s="21"/>
      <c r="X423" s="21"/>
      <c r="Y423" s="21"/>
      <c r="Z423" s="21"/>
      <c r="AA423" s="21"/>
    </row>
    <row r="424">
      <c r="A424" s="6" t="str">
        <f t="array" ref="A424">IF(I424="","",IFERROR(INDEX(CONFIGURACION!H:H,MATCH(I424,CONFIGURACION!J:J,0)),""))
</f>
        <v/>
      </c>
      <c r="B424" s="6" t="str">
        <f t="array" ref="B424">IF(I424="","",IFERROR(INDEX(CONFIGURACION!I:I,MATCH(I424,CONFIGURACION!J:J,0)),""))
</f>
        <v/>
      </c>
      <c r="C424" s="6"/>
      <c r="D424" s="25"/>
      <c r="E424" s="24"/>
      <c r="F424" s="21"/>
      <c r="G424" s="21"/>
      <c r="H424" s="21"/>
      <c r="I424" s="21"/>
      <c r="J424" s="21"/>
      <c r="K424" s="21"/>
      <c r="L424" s="21"/>
      <c r="M424" s="21"/>
      <c r="N424" s="21"/>
      <c r="O424" s="21"/>
      <c r="P424" s="21"/>
      <c r="Q424" s="21"/>
      <c r="R424" s="21"/>
      <c r="S424" s="21"/>
      <c r="T424" s="21"/>
      <c r="U424" s="21"/>
      <c r="V424" s="21"/>
      <c r="W424" s="21"/>
      <c r="X424" s="21"/>
      <c r="Y424" s="21"/>
      <c r="Z424" s="21"/>
      <c r="AA424" s="21"/>
    </row>
    <row r="425">
      <c r="A425" s="6" t="str">
        <f t="array" ref="A425">IF(I425="","",IFERROR(INDEX(CONFIGURACION!H:H,MATCH(I425,CONFIGURACION!J:J,0)),""))
</f>
        <v/>
      </c>
      <c r="B425" s="6" t="str">
        <f t="array" ref="B425">IF(I425="","",IFERROR(INDEX(CONFIGURACION!I:I,MATCH(I425,CONFIGURACION!J:J,0)),""))
</f>
        <v/>
      </c>
      <c r="C425" s="6"/>
      <c r="D425" s="25"/>
      <c r="E425" s="24"/>
      <c r="F425" s="21"/>
      <c r="G425" s="21"/>
      <c r="H425" s="21"/>
      <c r="I425" s="21"/>
      <c r="J425" s="21"/>
      <c r="K425" s="21"/>
      <c r="L425" s="21"/>
      <c r="M425" s="21"/>
      <c r="N425" s="21"/>
      <c r="O425" s="21"/>
      <c r="P425" s="21"/>
      <c r="Q425" s="21"/>
      <c r="R425" s="21"/>
      <c r="S425" s="21"/>
      <c r="T425" s="21"/>
      <c r="U425" s="21"/>
      <c r="V425" s="21"/>
      <c r="W425" s="21"/>
      <c r="X425" s="21"/>
      <c r="Y425" s="21"/>
      <c r="Z425" s="21"/>
      <c r="AA425" s="21"/>
    </row>
    <row r="426">
      <c r="A426" s="6" t="str">
        <f t="array" ref="A426">IF(I426="","",IFERROR(INDEX(CONFIGURACION!H:H,MATCH(I426,CONFIGURACION!J:J,0)),""))
</f>
        <v/>
      </c>
      <c r="B426" s="6" t="str">
        <f t="array" ref="B426">IF(I426="","",IFERROR(INDEX(CONFIGURACION!I:I,MATCH(I426,CONFIGURACION!J:J,0)),""))
</f>
        <v/>
      </c>
      <c r="C426" s="6"/>
      <c r="D426" s="25"/>
      <c r="E426" s="24"/>
      <c r="F426" s="21"/>
      <c r="G426" s="21"/>
      <c r="H426" s="21"/>
      <c r="I426" s="21"/>
      <c r="J426" s="21"/>
      <c r="K426" s="21"/>
      <c r="L426" s="21"/>
      <c r="M426" s="21"/>
      <c r="N426" s="21"/>
      <c r="O426" s="21"/>
      <c r="P426" s="21"/>
      <c r="Q426" s="21"/>
      <c r="R426" s="21"/>
      <c r="S426" s="21"/>
      <c r="T426" s="21"/>
      <c r="U426" s="21"/>
      <c r="V426" s="21"/>
      <c r="W426" s="21"/>
      <c r="X426" s="21"/>
      <c r="Y426" s="21"/>
      <c r="Z426" s="21"/>
      <c r="AA426" s="21"/>
    </row>
    <row r="427">
      <c r="A427" s="6" t="str">
        <f t="array" ref="A427">IF(I427="","",IFERROR(INDEX(CONFIGURACION!H:H,MATCH(I427,CONFIGURACION!J:J,0)),""))
</f>
        <v/>
      </c>
      <c r="B427" s="6" t="str">
        <f t="array" ref="B427">IF(I427="","",IFERROR(INDEX(CONFIGURACION!I:I,MATCH(I427,CONFIGURACION!J:J,0)),""))
</f>
        <v/>
      </c>
      <c r="C427" s="6"/>
      <c r="D427" s="25"/>
      <c r="E427" s="24"/>
      <c r="F427" s="21"/>
      <c r="G427" s="21"/>
      <c r="H427" s="21"/>
      <c r="I427" s="21"/>
      <c r="J427" s="21"/>
      <c r="K427" s="21"/>
      <c r="L427" s="21"/>
      <c r="M427" s="21"/>
      <c r="N427" s="21"/>
      <c r="O427" s="21"/>
      <c r="P427" s="21"/>
      <c r="Q427" s="21"/>
      <c r="R427" s="21"/>
      <c r="S427" s="21"/>
      <c r="T427" s="21"/>
      <c r="U427" s="21"/>
      <c r="V427" s="21"/>
      <c r="W427" s="21"/>
      <c r="X427" s="21"/>
      <c r="Y427" s="21"/>
      <c r="Z427" s="21"/>
      <c r="AA427" s="21"/>
    </row>
    <row r="428">
      <c r="A428" s="6" t="str">
        <f t="array" ref="A428">IF(I428="","",IFERROR(INDEX(CONFIGURACION!H:H,MATCH(I428,CONFIGURACION!J:J,0)),""))
</f>
        <v/>
      </c>
      <c r="B428" s="6" t="str">
        <f t="array" ref="B428">IF(I428="","",IFERROR(INDEX(CONFIGURACION!I:I,MATCH(I428,CONFIGURACION!J:J,0)),""))
</f>
        <v/>
      </c>
      <c r="C428" s="6"/>
      <c r="D428" s="25"/>
      <c r="E428" s="24"/>
      <c r="F428" s="21"/>
      <c r="G428" s="21"/>
      <c r="H428" s="21"/>
      <c r="I428" s="21"/>
      <c r="J428" s="21"/>
      <c r="K428" s="21"/>
      <c r="L428" s="21"/>
      <c r="M428" s="21"/>
      <c r="N428" s="21"/>
      <c r="O428" s="21"/>
      <c r="P428" s="21"/>
      <c r="Q428" s="21"/>
      <c r="R428" s="21"/>
      <c r="S428" s="21"/>
      <c r="T428" s="21"/>
      <c r="U428" s="21"/>
      <c r="V428" s="21"/>
      <c r="W428" s="21"/>
      <c r="X428" s="21"/>
      <c r="Y428" s="21"/>
      <c r="Z428" s="21"/>
      <c r="AA428" s="21"/>
    </row>
    <row r="429">
      <c r="A429" s="6" t="str">
        <f t="array" ref="A429">IF(I429="","",IFERROR(INDEX(CONFIGURACION!H:H,MATCH(I429,CONFIGURACION!J:J,0)),""))
</f>
        <v/>
      </c>
      <c r="B429" s="6" t="str">
        <f t="array" ref="B429">IF(I429="","",IFERROR(INDEX(CONFIGURACION!I:I,MATCH(I429,CONFIGURACION!J:J,0)),""))
</f>
        <v/>
      </c>
      <c r="C429" s="6"/>
      <c r="D429" s="25"/>
      <c r="E429" s="24"/>
      <c r="F429" s="21"/>
      <c r="G429" s="21"/>
      <c r="H429" s="21"/>
      <c r="I429" s="21"/>
      <c r="J429" s="21"/>
      <c r="K429" s="21"/>
      <c r="L429" s="21"/>
      <c r="M429" s="21"/>
      <c r="N429" s="21"/>
      <c r="O429" s="21"/>
      <c r="P429" s="21"/>
      <c r="Q429" s="21"/>
      <c r="R429" s="21"/>
      <c r="S429" s="21"/>
      <c r="T429" s="21"/>
      <c r="U429" s="21"/>
      <c r="V429" s="21"/>
      <c r="W429" s="21"/>
      <c r="X429" s="21"/>
      <c r="Y429" s="21"/>
      <c r="Z429" s="21"/>
      <c r="AA429" s="21"/>
    </row>
    <row r="430">
      <c r="A430" s="6" t="str">
        <f t="array" ref="A430">IF(I430="","",IFERROR(INDEX(CONFIGURACION!H:H,MATCH(I430,CONFIGURACION!J:J,0)),""))
</f>
        <v/>
      </c>
      <c r="B430" s="6" t="str">
        <f t="array" ref="B430">IF(I430="","",IFERROR(INDEX(CONFIGURACION!I:I,MATCH(I430,CONFIGURACION!J:J,0)),""))
</f>
        <v/>
      </c>
      <c r="C430" s="6"/>
      <c r="D430" s="25"/>
      <c r="E430" s="24"/>
      <c r="F430" s="21"/>
      <c r="G430" s="21"/>
      <c r="H430" s="21"/>
      <c r="I430" s="21"/>
      <c r="J430" s="21"/>
      <c r="K430" s="21"/>
      <c r="L430" s="21"/>
      <c r="M430" s="21"/>
      <c r="N430" s="21"/>
      <c r="O430" s="21"/>
      <c r="P430" s="21"/>
      <c r="Q430" s="21"/>
      <c r="R430" s="21"/>
      <c r="S430" s="21"/>
      <c r="T430" s="21"/>
      <c r="U430" s="21"/>
      <c r="V430" s="21"/>
      <c r="W430" s="21"/>
      <c r="X430" s="21"/>
      <c r="Y430" s="21"/>
      <c r="Z430" s="21"/>
      <c r="AA430" s="21"/>
    </row>
    <row r="431">
      <c r="A431" s="6" t="str">
        <f t="array" ref="A431">IF(I431="","",IFERROR(INDEX(CONFIGURACION!H:H,MATCH(I431,CONFIGURACION!J:J,0)),""))
</f>
        <v/>
      </c>
      <c r="B431" s="6" t="str">
        <f t="array" ref="B431">IF(I431="","",IFERROR(INDEX(CONFIGURACION!I:I,MATCH(I431,CONFIGURACION!J:J,0)),""))
</f>
        <v/>
      </c>
      <c r="C431" s="6"/>
      <c r="D431" s="25"/>
      <c r="E431" s="24"/>
      <c r="F431" s="21"/>
      <c r="G431" s="21"/>
      <c r="H431" s="21"/>
      <c r="I431" s="21"/>
      <c r="J431" s="21"/>
      <c r="K431" s="21"/>
      <c r="L431" s="21"/>
      <c r="M431" s="21"/>
      <c r="N431" s="21"/>
      <c r="O431" s="21"/>
      <c r="P431" s="21"/>
      <c r="Q431" s="21"/>
      <c r="R431" s="21"/>
      <c r="S431" s="21"/>
      <c r="T431" s="21"/>
      <c r="U431" s="21"/>
      <c r="V431" s="21"/>
      <c r="W431" s="21"/>
      <c r="X431" s="21"/>
      <c r="Y431" s="21"/>
      <c r="Z431" s="21"/>
      <c r="AA431" s="21"/>
    </row>
    <row r="432">
      <c r="A432" s="6" t="str">
        <f t="array" ref="A432">IF(I432="","",IFERROR(INDEX(CONFIGURACION!H:H,MATCH(I432,CONFIGURACION!J:J,0)),""))
</f>
        <v/>
      </c>
      <c r="B432" s="6" t="str">
        <f t="array" ref="B432">IF(I432="","",IFERROR(INDEX(CONFIGURACION!I:I,MATCH(I432,CONFIGURACION!J:J,0)),""))
</f>
        <v/>
      </c>
      <c r="C432" s="6"/>
      <c r="D432" s="25"/>
      <c r="E432" s="24"/>
      <c r="F432" s="21"/>
      <c r="G432" s="21"/>
      <c r="H432" s="21"/>
      <c r="I432" s="21"/>
      <c r="J432" s="21"/>
      <c r="K432" s="21"/>
      <c r="L432" s="21"/>
      <c r="M432" s="21"/>
      <c r="N432" s="21"/>
      <c r="O432" s="21"/>
      <c r="P432" s="21"/>
      <c r="Q432" s="21"/>
      <c r="R432" s="21"/>
      <c r="S432" s="21"/>
      <c r="T432" s="21"/>
      <c r="U432" s="21"/>
      <c r="V432" s="21"/>
      <c r="W432" s="21"/>
      <c r="X432" s="21"/>
      <c r="Y432" s="21"/>
      <c r="Z432" s="21"/>
      <c r="AA432" s="21"/>
    </row>
    <row r="433">
      <c r="A433" s="6" t="str">
        <f t="array" ref="A433">IF(I433="","",IFERROR(INDEX(CONFIGURACION!H:H,MATCH(I433,CONFIGURACION!J:J,0)),""))
</f>
        <v/>
      </c>
      <c r="B433" s="6" t="str">
        <f t="array" ref="B433">IF(I433="","",IFERROR(INDEX(CONFIGURACION!I:I,MATCH(I433,CONFIGURACION!J:J,0)),""))
</f>
        <v/>
      </c>
      <c r="C433" s="6"/>
      <c r="D433" s="25"/>
      <c r="E433" s="24"/>
      <c r="F433" s="21"/>
      <c r="G433" s="21"/>
      <c r="H433" s="21"/>
      <c r="I433" s="21"/>
      <c r="J433" s="21"/>
      <c r="K433" s="21"/>
      <c r="L433" s="21"/>
      <c r="M433" s="21"/>
      <c r="N433" s="21"/>
      <c r="O433" s="21"/>
      <c r="P433" s="21"/>
      <c r="Q433" s="21"/>
      <c r="R433" s="21"/>
      <c r="S433" s="21"/>
      <c r="T433" s="21"/>
      <c r="U433" s="21"/>
      <c r="V433" s="21"/>
      <c r="W433" s="21"/>
      <c r="X433" s="21"/>
      <c r="Y433" s="21"/>
      <c r="Z433" s="21"/>
      <c r="AA433" s="21"/>
    </row>
    <row r="434">
      <c r="A434" s="6" t="str">
        <f t="array" ref="A434">IF(I434="","",IFERROR(INDEX(CONFIGURACION!H:H,MATCH(I434,CONFIGURACION!J:J,0)),""))
</f>
        <v/>
      </c>
      <c r="B434" s="6" t="str">
        <f t="array" ref="B434">IF(I434="","",IFERROR(INDEX(CONFIGURACION!I:I,MATCH(I434,CONFIGURACION!J:J,0)),""))
</f>
        <v/>
      </c>
      <c r="C434" s="6"/>
      <c r="D434" s="25"/>
      <c r="E434" s="24"/>
      <c r="F434" s="21"/>
      <c r="G434" s="21"/>
      <c r="H434" s="21"/>
      <c r="I434" s="21"/>
      <c r="J434" s="21"/>
      <c r="K434" s="21"/>
      <c r="L434" s="21"/>
      <c r="M434" s="21"/>
      <c r="N434" s="21"/>
      <c r="O434" s="21"/>
      <c r="P434" s="21"/>
      <c r="Q434" s="21"/>
      <c r="R434" s="21"/>
      <c r="S434" s="21"/>
      <c r="T434" s="21"/>
      <c r="U434" s="21"/>
      <c r="V434" s="21"/>
      <c r="W434" s="21"/>
      <c r="X434" s="21"/>
      <c r="Y434" s="21"/>
      <c r="Z434" s="21"/>
      <c r="AA434" s="21"/>
    </row>
    <row r="435">
      <c r="A435" s="6" t="str">
        <f t="array" ref="A435">IF(I435="","",IFERROR(INDEX(CONFIGURACION!H:H,MATCH(I435,CONFIGURACION!J:J,0)),""))
</f>
        <v/>
      </c>
      <c r="B435" s="6" t="str">
        <f t="array" ref="B435">IF(I435="","",IFERROR(INDEX(CONFIGURACION!I:I,MATCH(I435,CONFIGURACION!J:J,0)),""))
</f>
        <v/>
      </c>
      <c r="C435" s="6"/>
      <c r="D435" s="25"/>
      <c r="E435" s="24"/>
      <c r="F435" s="21"/>
      <c r="G435" s="21"/>
      <c r="H435" s="21"/>
      <c r="I435" s="21"/>
      <c r="J435" s="21"/>
      <c r="K435" s="21"/>
      <c r="L435" s="21"/>
      <c r="M435" s="21"/>
      <c r="N435" s="21"/>
      <c r="O435" s="21"/>
      <c r="P435" s="21"/>
      <c r="Q435" s="21"/>
      <c r="R435" s="21"/>
      <c r="S435" s="21"/>
      <c r="T435" s="21"/>
      <c r="U435" s="21"/>
      <c r="V435" s="21"/>
      <c r="W435" s="21"/>
      <c r="X435" s="21"/>
      <c r="Y435" s="21"/>
      <c r="Z435" s="21"/>
      <c r="AA435" s="21"/>
    </row>
    <row r="436">
      <c r="A436" s="6" t="str">
        <f t="array" ref="A436">IF(I436="","",IFERROR(INDEX(CONFIGURACION!H:H,MATCH(I436,CONFIGURACION!J:J,0)),""))
</f>
        <v/>
      </c>
      <c r="B436" s="6" t="str">
        <f t="array" ref="B436">IF(I436="","",IFERROR(INDEX(CONFIGURACION!I:I,MATCH(I436,CONFIGURACION!J:J,0)),""))
</f>
        <v/>
      </c>
      <c r="C436" s="6"/>
      <c r="D436" s="25"/>
      <c r="E436" s="24"/>
      <c r="F436" s="21"/>
      <c r="G436" s="21"/>
      <c r="H436" s="21"/>
      <c r="I436" s="21"/>
      <c r="J436" s="21"/>
      <c r="K436" s="21"/>
      <c r="L436" s="21"/>
      <c r="M436" s="21"/>
      <c r="N436" s="21"/>
      <c r="O436" s="21"/>
      <c r="P436" s="21"/>
      <c r="Q436" s="21"/>
      <c r="R436" s="21"/>
      <c r="S436" s="21"/>
      <c r="T436" s="21"/>
      <c r="U436" s="21"/>
      <c r="V436" s="21"/>
      <c r="W436" s="21"/>
      <c r="X436" s="21"/>
      <c r="Y436" s="21"/>
      <c r="Z436" s="21"/>
      <c r="AA436" s="21"/>
    </row>
    <row r="437">
      <c r="A437" s="6" t="str">
        <f t="array" ref="A437">IF(I437="","",IFERROR(INDEX(CONFIGURACION!H:H,MATCH(I437,CONFIGURACION!J:J,0)),""))
</f>
        <v/>
      </c>
      <c r="B437" s="6" t="str">
        <f t="array" ref="B437">IF(I437="","",IFERROR(INDEX(CONFIGURACION!I:I,MATCH(I437,CONFIGURACION!J:J,0)),""))
</f>
        <v/>
      </c>
      <c r="C437" s="6"/>
      <c r="D437" s="25"/>
      <c r="E437" s="24"/>
      <c r="F437" s="21"/>
      <c r="G437" s="21"/>
      <c r="H437" s="21"/>
      <c r="I437" s="21"/>
      <c r="J437" s="21"/>
      <c r="K437" s="21"/>
      <c r="L437" s="21"/>
      <c r="M437" s="21"/>
      <c r="N437" s="21"/>
      <c r="O437" s="21"/>
      <c r="P437" s="21"/>
      <c r="Q437" s="21"/>
      <c r="R437" s="21"/>
      <c r="S437" s="21"/>
      <c r="T437" s="21"/>
      <c r="U437" s="21"/>
      <c r="V437" s="21"/>
      <c r="W437" s="21"/>
      <c r="X437" s="21"/>
      <c r="Y437" s="21"/>
      <c r="Z437" s="21"/>
      <c r="AA437" s="21"/>
    </row>
    <row r="438">
      <c r="A438" s="6" t="str">
        <f t="array" ref="A438">IF(I438="","",IFERROR(INDEX(CONFIGURACION!H:H,MATCH(I438,CONFIGURACION!J:J,0)),""))
</f>
        <v/>
      </c>
      <c r="B438" s="6" t="str">
        <f t="array" ref="B438">IF(I438="","",IFERROR(INDEX(CONFIGURACION!I:I,MATCH(I438,CONFIGURACION!J:J,0)),""))
</f>
        <v/>
      </c>
      <c r="C438" s="6"/>
      <c r="D438" s="25"/>
      <c r="E438" s="24"/>
      <c r="F438" s="21"/>
      <c r="G438" s="21"/>
      <c r="H438" s="21"/>
      <c r="I438" s="21"/>
      <c r="J438" s="21"/>
      <c r="K438" s="21"/>
      <c r="L438" s="21"/>
      <c r="M438" s="21"/>
      <c r="N438" s="21"/>
      <c r="O438" s="21"/>
      <c r="P438" s="21"/>
      <c r="Q438" s="21"/>
      <c r="R438" s="21"/>
      <c r="S438" s="21"/>
      <c r="T438" s="21"/>
      <c r="U438" s="21"/>
      <c r="V438" s="21"/>
      <c r="W438" s="21"/>
      <c r="X438" s="21"/>
      <c r="Y438" s="21"/>
      <c r="Z438" s="21"/>
      <c r="AA438" s="21"/>
    </row>
    <row r="439">
      <c r="A439" s="6" t="str">
        <f t="array" ref="A439">IF(I439="","",IFERROR(INDEX(CONFIGURACION!H:H,MATCH(I439,CONFIGURACION!J:J,0)),""))
</f>
        <v/>
      </c>
      <c r="B439" s="6" t="str">
        <f t="array" ref="B439">IF(I439="","",IFERROR(INDEX(CONFIGURACION!I:I,MATCH(I439,CONFIGURACION!J:J,0)),""))
</f>
        <v/>
      </c>
      <c r="C439" s="6"/>
      <c r="D439" s="25"/>
      <c r="E439" s="24"/>
      <c r="F439" s="21"/>
      <c r="G439" s="21"/>
      <c r="H439" s="21"/>
      <c r="I439" s="21"/>
      <c r="J439" s="21"/>
      <c r="K439" s="21"/>
      <c r="L439" s="21"/>
      <c r="M439" s="21"/>
      <c r="N439" s="21"/>
      <c r="O439" s="21"/>
      <c r="P439" s="21"/>
      <c r="Q439" s="21"/>
      <c r="R439" s="21"/>
      <c r="S439" s="21"/>
      <c r="T439" s="21"/>
      <c r="U439" s="21"/>
      <c r="V439" s="21"/>
      <c r="W439" s="21"/>
      <c r="X439" s="21"/>
      <c r="Y439" s="21"/>
      <c r="Z439" s="21"/>
      <c r="AA439" s="21"/>
    </row>
    <row r="440">
      <c r="A440" s="6" t="str">
        <f t="array" ref="A440">IF(I440="","",IFERROR(INDEX(CONFIGURACION!H:H,MATCH(I440,CONFIGURACION!J:J,0)),""))
</f>
        <v/>
      </c>
      <c r="B440" s="6" t="str">
        <f t="array" ref="B440">IF(I440="","",IFERROR(INDEX(CONFIGURACION!I:I,MATCH(I440,CONFIGURACION!J:J,0)),""))
</f>
        <v/>
      </c>
      <c r="C440" s="6"/>
      <c r="D440" s="25"/>
      <c r="E440" s="24"/>
      <c r="F440" s="21"/>
      <c r="G440" s="21"/>
      <c r="H440" s="21"/>
      <c r="I440" s="21"/>
      <c r="J440" s="21"/>
      <c r="K440" s="21"/>
      <c r="L440" s="21"/>
      <c r="M440" s="21"/>
      <c r="N440" s="21"/>
      <c r="O440" s="21"/>
      <c r="P440" s="21"/>
      <c r="Q440" s="21"/>
      <c r="R440" s="21"/>
      <c r="S440" s="21"/>
      <c r="T440" s="21"/>
      <c r="U440" s="21"/>
      <c r="V440" s="21"/>
      <c r="W440" s="21"/>
      <c r="X440" s="21"/>
      <c r="Y440" s="21"/>
      <c r="Z440" s="21"/>
      <c r="AA440" s="21"/>
    </row>
    <row r="441">
      <c r="A441" s="6" t="str">
        <f t="array" ref="A441">IF(I441="","",IFERROR(INDEX(CONFIGURACION!H:H,MATCH(I441,CONFIGURACION!J:J,0)),""))
</f>
        <v/>
      </c>
      <c r="B441" s="6" t="str">
        <f t="array" ref="B441">IF(I441="","",IFERROR(INDEX(CONFIGURACION!I:I,MATCH(I441,CONFIGURACION!J:J,0)),""))
</f>
        <v/>
      </c>
      <c r="C441" s="6"/>
      <c r="D441" s="25"/>
      <c r="E441" s="24"/>
      <c r="F441" s="21"/>
      <c r="G441" s="21"/>
      <c r="H441" s="21"/>
      <c r="I441" s="21"/>
      <c r="J441" s="21"/>
      <c r="K441" s="21"/>
      <c r="L441" s="21"/>
      <c r="M441" s="21"/>
      <c r="N441" s="21"/>
      <c r="O441" s="21"/>
      <c r="P441" s="21"/>
      <c r="Q441" s="21"/>
      <c r="R441" s="21"/>
      <c r="S441" s="21"/>
      <c r="T441" s="21"/>
      <c r="U441" s="21"/>
      <c r="V441" s="21"/>
      <c r="W441" s="21"/>
      <c r="X441" s="21"/>
      <c r="Y441" s="21"/>
      <c r="Z441" s="21"/>
      <c r="AA441" s="21"/>
    </row>
    <row r="442">
      <c r="A442" s="6" t="str">
        <f t="array" ref="A442">IF(I442="","",IFERROR(INDEX(CONFIGURACION!H:H,MATCH(I442,CONFIGURACION!J:J,0)),""))
</f>
        <v/>
      </c>
      <c r="B442" s="6" t="str">
        <f t="array" ref="B442">IF(I442="","",IFERROR(INDEX(CONFIGURACION!I:I,MATCH(I442,CONFIGURACION!J:J,0)),""))
</f>
        <v/>
      </c>
      <c r="C442" s="6"/>
      <c r="D442" s="25"/>
      <c r="E442" s="24"/>
      <c r="F442" s="21"/>
      <c r="G442" s="21"/>
      <c r="H442" s="21"/>
      <c r="I442" s="21"/>
      <c r="J442" s="21"/>
      <c r="K442" s="21"/>
      <c r="L442" s="21"/>
      <c r="M442" s="21"/>
      <c r="N442" s="21"/>
      <c r="O442" s="21"/>
      <c r="P442" s="21"/>
      <c r="Q442" s="21"/>
      <c r="R442" s="21"/>
      <c r="S442" s="21"/>
      <c r="T442" s="21"/>
      <c r="U442" s="21"/>
      <c r="V442" s="21"/>
      <c r="W442" s="21"/>
      <c r="X442" s="21"/>
      <c r="Y442" s="21"/>
      <c r="Z442" s="21"/>
      <c r="AA442" s="21"/>
    </row>
    <row r="443">
      <c r="A443" s="6" t="str">
        <f t="array" ref="A443">IF(I443="","",IFERROR(INDEX(CONFIGURACION!H:H,MATCH(I443,CONFIGURACION!J:J,0)),""))
</f>
        <v/>
      </c>
      <c r="B443" s="6" t="str">
        <f t="array" ref="B443">IF(I443="","",IFERROR(INDEX(CONFIGURACION!I:I,MATCH(I443,CONFIGURACION!J:J,0)),""))
</f>
        <v/>
      </c>
      <c r="C443" s="6"/>
      <c r="D443" s="25"/>
      <c r="E443" s="24"/>
      <c r="F443" s="21"/>
      <c r="G443" s="21"/>
      <c r="H443" s="21"/>
      <c r="I443" s="21"/>
      <c r="J443" s="21"/>
      <c r="K443" s="21"/>
      <c r="L443" s="21"/>
      <c r="M443" s="21"/>
      <c r="N443" s="21"/>
      <c r="O443" s="21"/>
      <c r="P443" s="21"/>
      <c r="Q443" s="21"/>
      <c r="R443" s="21"/>
      <c r="S443" s="21"/>
      <c r="T443" s="21"/>
      <c r="U443" s="21"/>
      <c r="V443" s="21"/>
      <c r="W443" s="21"/>
      <c r="X443" s="21"/>
      <c r="Y443" s="21"/>
      <c r="Z443" s="21"/>
      <c r="AA443" s="21"/>
    </row>
    <row r="444">
      <c r="A444" s="6" t="str">
        <f t="array" ref="A444">IF(I444="","",IFERROR(INDEX(CONFIGURACION!H:H,MATCH(I444,CONFIGURACION!J:J,0)),""))
</f>
        <v/>
      </c>
      <c r="B444" s="6" t="str">
        <f t="array" ref="B444">IF(I444="","",IFERROR(INDEX(CONFIGURACION!I:I,MATCH(I444,CONFIGURACION!J:J,0)),""))
</f>
        <v/>
      </c>
      <c r="C444" s="6"/>
      <c r="D444" s="25"/>
      <c r="E444" s="24"/>
      <c r="F444" s="21"/>
      <c r="G444" s="21"/>
      <c r="H444" s="21"/>
      <c r="I444" s="21"/>
      <c r="J444" s="21"/>
      <c r="K444" s="21"/>
      <c r="L444" s="21"/>
      <c r="M444" s="21"/>
      <c r="N444" s="21"/>
      <c r="O444" s="21"/>
      <c r="P444" s="21"/>
      <c r="Q444" s="21"/>
      <c r="R444" s="21"/>
      <c r="S444" s="21"/>
      <c r="T444" s="21"/>
      <c r="U444" s="21"/>
      <c r="V444" s="21"/>
      <c r="W444" s="21"/>
      <c r="X444" s="21"/>
      <c r="Y444" s="21"/>
      <c r="Z444" s="21"/>
      <c r="AA444" s="21"/>
    </row>
    <row r="445">
      <c r="A445" s="6" t="str">
        <f t="array" ref="A445">IF(I445="","",IFERROR(INDEX(CONFIGURACION!H:H,MATCH(I445,CONFIGURACION!J:J,0)),""))
</f>
        <v/>
      </c>
      <c r="B445" s="6" t="str">
        <f t="array" ref="B445">IF(I445="","",IFERROR(INDEX(CONFIGURACION!I:I,MATCH(I445,CONFIGURACION!J:J,0)),""))
</f>
        <v/>
      </c>
      <c r="C445" s="6"/>
      <c r="D445" s="25"/>
      <c r="E445" s="24"/>
      <c r="F445" s="21"/>
      <c r="G445" s="21"/>
      <c r="H445" s="21"/>
      <c r="I445" s="21"/>
      <c r="J445" s="21"/>
      <c r="K445" s="21"/>
      <c r="L445" s="21"/>
      <c r="M445" s="21"/>
      <c r="N445" s="21"/>
      <c r="O445" s="21"/>
      <c r="P445" s="21"/>
      <c r="Q445" s="21"/>
      <c r="R445" s="21"/>
      <c r="S445" s="21"/>
      <c r="T445" s="21"/>
      <c r="U445" s="21"/>
      <c r="V445" s="21"/>
      <c r="W445" s="21"/>
      <c r="X445" s="21"/>
      <c r="Y445" s="21"/>
      <c r="Z445" s="21"/>
      <c r="AA445" s="21"/>
    </row>
    <row r="446">
      <c r="A446" s="6" t="str">
        <f t="array" ref="A446">IF(I446="","",IFERROR(INDEX(CONFIGURACION!H:H,MATCH(I446,CONFIGURACION!J:J,0)),""))
</f>
        <v/>
      </c>
      <c r="B446" s="6" t="str">
        <f t="array" ref="B446">IF(I446="","",IFERROR(INDEX(CONFIGURACION!I:I,MATCH(I446,CONFIGURACION!J:J,0)),""))
</f>
        <v/>
      </c>
      <c r="C446" s="6"/>
      <c r="D446" s="25"/>
      <c r="E446" s="24"/>
      <c r="F446" s="21"/>
      <c r="G446" s="21"/>
      <c r="H446" s="21"/>
      <c r="I446" s="21"/>
      <c r="J446" s="21"/>
      <c r="K446" s="21"/>
      <c r="L446" s="21"/>
      <c r="M446" s="21"/>
      <c r="N446" s="21"/>
      <c r="O446" s="21"/>
      <c r="P446" s="21"/>
      <c r="Q446" s="21"/>
      <c r="R446" s="21"/>
      <c r="S446" s="21"/>
      <c r="T446" s="21"/>
      <c r="U446" s="21"/>
      <c r="V446" s="21"/>
      <c r="W446" s="21"/>
      <c r="X446" s="21"/>
      <c r="Y446" s="21"/>
      <c r="Z446" s="21"/>
      <c r="AA446" s="21"/>
    </row>
    <row r="447">
      <c r="A447" s="6" t="str">
        <f t="array" ref="A447">IF(I447="","",IFERROR(INDEX(CONFIGURACION!H:H,MATCH(I447,CONFIGURACION!J:J,0)),""))
</f>
        <v/>
      </c>
      <c r="B447" s="6" t="str">
        <f t="array" ref="B447">IF(I447="","",IFERROR(INDEX(CONFIGURACION!I:I,MATCH(I447,CONFIGURACION!J:J,0)),""))
</f>
        <v/>
      </c>
      <c r="C447" s="6"/>
      <c r="D447" s="25"/>
      <c r="E447" s="24"/>
      <c r="F447" s="21"/>
      <c r="G447" s="21"/>
      <c r="H447" s="21"/>
      <c r="I447" s="21"/>
      <c r="J447" s="21"/>
      <c r="K447" s="21"/>
      <c r="L447" s="21"/>
      <c r="M447" s="21"/>
      <c r="N447" s="21"/>
      <c r="O447" s="21"/>
      <c r="P447" s="21"/>
      <c r="Q447" s="21"/>
      <c r="R447" s="21"/>
      <c r="S447" s="21"/>
      <c r="T447" s="21"/>
      <c r="U447" s="21"/>
      <c r="V447" s="21"/>
      <c r="W447" s="21"/>
      <c r="X447" s="21"/>
      <c r="Y447" s="21"/>
      <c r="Z447" s="21"/>
      <c r="AA447" s="21"/>
    </row>
    <row r="448">
      <c r="A448" s="6" t="str">
        <f t="array" ref="A448">IF(I448="","",IFERROR(INDEX(CONFIGURACION!H:H,MATCH(I448,CONFIGURACION!J:J,0)),""))
</f>
        <v/>
      </c>
      <c r="B448" s="6" t="str">
        <f t="array" ref="B448">IF(I448="","",IFERROR(INDEX(CONFIGURACION!I:I,MATCH(I448,CONFIGURACION!J:J,0)),""))
</f>
        <v/>
      </c>
      <c r="C448" s="6"/>
      <c r="D448" s="25"/>
      <c r="E448" s="24"/>
      <c r="F448" s="21"/>
      <c r="G448" s="21"/>
      <c r="H448" s="21"/>
      <c r="I448" s="21"/>
      <c r="J448" s="21"/>
      <c r="K448" s="21"/>
      <c r="L448" s="21"/>
      <c r="M448" s="21"/>
      <c r="N448" s="21"/>
      <c r="O448" s="21"/>
      <c r="P448" s="21"/>
      <c r="Q448" s="21"/>
      <c r="R448" s="21"/>
      <c r="S448" s="21"/>
      <c r="T448" s="21"/>
      <c r="U448" s="21"/>
      <c r="V448" s="21"/>
      <c r="W448" s="21"/>
      <c r="X448" s="21"/>
      <c r="Y448" s="21"/>
      <c r="Z448" s="21"/>
      <c r="AA448" s="21"/>
    </row>
    <row r="449">
      <c r="A449" s="6" t="str">
        <f t="array" ref="A449">IF(I449="","",IFERROR(INDEX(CONFIGURACION!H:H,MATCH(I449,CONFIGURACION!J:J,0)),""))
</f>
        <v/>
      </c>
      <c r="B449" s="6" t="str">
        <f t="array" ref="B449">IF(I449="","",IFERROR(INDEX(CONFIGURACION!I:I,MATCH(I449,CONFIGURACION!J:J,0)),""))
</f>
        <v/>
      </c>
      <c r="C449" s="6"/>
      <c r="D449" s="25"/>
      <c r="E449" s="24"/>
      <c r="F449" s="21"/>
      <c r="G449" s="21"/>
      <c r="H449" s="21"/>
      <c r="I449" s="21"/>
      <c r="J449" s="21"/>
      <c r="K449" s="21"/>
      <c r="L449" s="21"/>
      <c r="M449" s="21"/>
      <c r="N449" s="21"/>
      <c r="O449" s="21"/>
      <c r="P449" s="21"/>
      <c r="Q449" s="21"/>
      <c r="R449" s="21"/>
      <c r="S449" s="21"/>
      <c r="T449" s="21"/>
      <c r="U449" s="21"/>
      <c r="V449" s="21"/>
      <c r="W449" s="21"/>
      <c r="X449" s="21"/>
      <c r="Y449" s="21"/>
      <c r="Z449" s="21"/>
      <c r="AA449" s="21"/>
    </row>
    <row r="450">
      <c r="A450" s="6" t="str">
        <f t="array" ref="A450">IF(I450="","",IFERROR(INDEX(CONFIGURACION!H:H,MATCH(I450,CONFIGURACION!J:J,0)),""))
</f>
        <v/>
      </c>
      <c r="B450" s="6" t="str">
        <f t="array" ref="B450">IF(I450="","",IFERROR(INDEX(CONFIGURACION!I:I,MATCH(I450,CONFIGURACION!J:J,0)),""))
</f>
        <v/>
      </c>
      <c r="C450" s="6"/>
      <c r="D450" s="25"/>
      <c r="E450" s="24"/>
      <c r="F450" s="21"/>
      <c r="G450" s="21"/>
      <c r="H450" s="21"/>
      <c r="I450" s="21"/>
      <c r="J450" s="21"/>
      <c r="K450" s="21"/>
      <c r="L450" s="21"/>
      <c r="M450" s="21"/>
      <c r="N450" s="21"/>
      <c r="O450" s="21"/>
      <c r="P450" s="21"/>
      <c r="Q450" s="21"/>
      <c r="R450" s="21"/>
      <c r="S450" s="21"/>
      <c r="T450" s="21"/>
      <c r="U450" s="21"/>
      <c r="V450" s="21"/>
      <c r="W450" s="21"/>
      <c r="X450" s="21"/>
      <c r="Y450" s="21"/>
      <c r="Z450" s="21"/>
      <c r="AA450" s="21"/>
    </row>
    <row r="451">
      <c r="A451" s="6" t="str">
        <f t="array" ref="A451">IF(I451="","",IFERROR(INDEX(CONFIGURACION!H:H,MATCH(I451,CONFIGURACION!J:J,0)),""))
</f>
        <v/>
      </c>
      <c r="B451" s="6" t="str">
        <f t="array" ref="B451">IF(I451="","",IFERROR(INDEX(CONFIGURACION!I:I,MATCH(I451,CONFIGURACION!J:J,0)),""))
</f>
        <v/>
      </c>
      <c r="C451" s="6"/>
      <c r="D451" s="25"/>
      <c r="E451" s="24"/>
      <c r="F451" s="21"/>
      <c r="G451" s="21"/>
      <c r="H451" s="21"/>
      <c r="I451" s="21"/>
      <c r="J451" s="21"/>
      <c r="K451" s="21"/>
      <c r="L451" s="21"/>
      <c r="M451" s="21"/>
      <c r="N451" s="21"/>
      <c r="O451" s="21"/>
      <c r="P451" s="21"/>
      <c r="Q451" s="21"/>
      <c r="R451" s="21"/>
      <c r="S451" s="21"/>
      <c r="T451" s="21"/>
      <c r="U451" s="21"/>
      <c r="V451" s="21"/>
      <c r="W451" s="21"/>
      <c r="X451" s="21"/>
      <c r="Y451" s="21"/>
      <c r="Z451" s="21"/>
      <c r="AA451" s="21"/>
    </row>
    <row r="452">
      <c r="A452" s="6" t="str">
        <f t="array" ref="A452">IF(I452="","",IFERROR(INDEX(CONFIGURACION!H:H,MATCH(I452,CONFIGURACION!J:J,0)),""))
</f>
        <v/>
      </c>
      <c r="B452" s="6" t="str">
        <f t="array" ref="B452">IF(I452="","",IFERROR(INDEX(CONFIGURACION!I:I,MATCH(I452,CONFIGURACION!J:J,0)),""))
</f>
        <v/>
      </c>
      <c r="C452" s="6"/>
      <c r="D452" s="25"/>
      <c r="E452" s="24"/>
      <c r="F452" s="21"/>
      <c r="G452" s="21"/>
      <c r="H452" s="21"/>
      <c r="I452" s="21"/>
      <c r="J452" s="21"/>
      <c r="K452" s="21"/>
      <c r="L452" s="21"/>
      <c r="M452" s="21"/>
      <c r="N452" s="21"/>
      <c r="O452" s="21"/>
      <c r="P452" s="21"/>
      <c r="Q452" s="21"/>
      <c r="R452" s="21"/>
      <c r="S452" s="21"/>
      <c r="T452" s="21"/>
      <c r="U452" s="21"/>
      <c r="V452" s="21"/>
      <c r="W452" s="21"/>
      <c r="X452" s="21"/>
      <c r="Y452" s="21"/>
      <c r="Z452" s="21"/>
      <c r="AA452" s="21"/>
    </row>
    <row r="453">
      <c r="A453" s="6" t="str">
        <f t="array" ref="A453">IF(I453="","",IFERROR(INDEX(CONFIGURACION!H:H,MATCH(I453,CONFIGURACION!J:J,0)),""))
</f>
        <v/>
      </c>
      <c r="B453" s="6" t="str">
        <f t="array" ref="B453">IF(I453="","",IFERROR(INDEX(CONFIGURACION!I:I,MATCH(I453,CONFIGURACION!J:J,0)),""))
</f>
        <v/>
      </c>
      <c r="C453" s="6"/>
      <c r="D453" s="25"/>
      <c r="E453" s="24"/>
      <c r="F453" s="21"/>
      <c r="G453" s="21"/>
      <c r="H453" s="21"/>
      <c r="I453" s="21"/>
      <c r="J453" s="21"/>
      <c r="K453" s="21"/>
      <c r="L453" s="21"/>
      <c r="M453" s="21"/>
      <c r="N453" s="21"/>
      <c r="O453" s="21"/>
      <c r="P453" s="21"/>
      <c r="Q453" s="21"/>
      <c r="R453" s="21"/>
      <c r="S453" s="21"/>
      <c r="T453" s="21"/>
      <c r="U453" s="21"/>
      <c r="V453" s="21"/>
      <c r="W453" s="21"/>
      <c r="X453" s="21"/>
      <c r="Y453" s="21"/>
      <c r="Z453" s="21"/>
      <c r="AA453" s="21"/>
    </row>
    <row r="454">
      <c r="A454" s="6" t="str">
        <f t="array" ref="A454">IF(I454="","",IFERROR(INDEX(CONFIGURACION!H:H,MATCH(I454,CONFIGURACION!J:J,0)),""))
</f>
        <v/>
      </c>
      <c r="B454" s="6" t="str">
        <f t="array" ref="B454">IF(I454="","",IFERROR(INDEX(CONFIGURACION!I:I,MATCH(I454,CONFIGURACION!J:J,0)),""))
</f>
        <v/>
      </c>
      <c r="C454" s="6"/>
      <c r="D454" s="25"/>
      <c r="E454" s="24"/>
      <c r="F454" s="21"/>
      <c r="G454" s="21"/>
      <c r="H454" s="21"/>
      <c r="I454" s="21"/>
      <c r="J454" s="21"/>
      <c r="K454" s="21"/>
      <c r="L454" s="21"/>
      <c r="M454" s="21"/>
      <c r="N454" s="21"/>
      <c r="O454" s="21"/>
      <c r="P454" s="21"/>
      <c r="Q454" s="21"/>
      <c r="R454" s="21"/>
      <c r="S454" s="21"/>
      <c r="T454" s="21"/>
      <c r="U454" s="21"/>
      <c r="V454" s="21"/>
      <c r="W454" s="21"/>
      <c r="X454" s="21"/>
      <c r="Y454" s="21"/>
      <c r="Z454" s="21"/>
      <c r="AA454" s="21"/>
    </row>
    <row r="455">
      <c r="A455" s="6" t="str">
        <f t="array" ref="A455">IF(I455="","",IFERROR(INDEX(CONFIGURACION!H:H,MATCH(I455,CONFIGURACION!J:J,0)),""))
</f>
        <v/>
      </c>
      <c r="B455" s="6" t="str">
        <f t="array" ref="B455">IF(I455="","",IFERROR(INDEX(CONFIGURACION!I:I,MATCH(I455,CONFIGURACION!J:J,0)),""))
</f>
        <v/>
      </c>
      <c r="C455" s="6"/>
      <c r="D455" s="25"/>
      <c r="E455" s="24"/>
      <c r="F455" s="21"/>
      <c r="G455" s="21"/>
      <c r="H455" s="21"/>
      <c r="I455" s="21"/>
      <c r="J455" s="21"/>
      <c r="K455" s="21"/>
      <c r="L455" s="21"/>
      <c r="M455" s="21"/>
      <c r="N455" s="21"/>
      <c r="O455" s="21"/>
      <c r="P455" s="21"/>
      <c r="Q455" s="21"/>
      <c r="R455" s="21"/>
      <c r="S455" s="21"/>
      <c r="T455" s="21"/>
      <c r="U455" s="21"/>
      <c r="V455" s="21"/>
      <c r="W455" s="21"/>
      <c r="X455" s="21"/>
      <c r="Y455" s="21"/>
      <c r="Z455" s="21"/>
      <c r="AA455" s="21"/>
    </row>
    <row r="456">
      <c r="A456" s="6" t="str">
        <f t="array" ref="A456">IF(I456="","",IFERROR(INDEX(CONFIGURACION!H:H,MATCH(I456,CONFIGURACION!J:J,0)),""))
</f>
        <v/>
      </c>
      <c r="B456" s="6" t="str">
        <f t="array" ref="B456">IF(I456="","",IFERROR(INDEX(CONFIGURACION!I:I,MATCH(I456,CONFIGURACION!J:J,0)),""))
</f>
        <v/>
      </c>
      <c r="C456" s="6"/>
      <c r="D456" s="25"/>
      <c r="E456" s="24"/>
      <c r="F456" s="21"/>
      <c r="G456" s="21"/>
      <c r="H456" s="21"/>
      <c r="I456" s="21"/>
      <c r="J456" s="21"/>
      <c r="K456" s="21"/>
      <c r="L456" s="21"/>
      <c r="M456" s="21"/>
      <c r="N456" s="21"/>
      <c r="O456" s="21"/>
      <c r="P456" s="21"/>
      <c r="Q456" s="21"/>
      <c r="R456" s="21"/>
      <c r="S456" s="21"/>
      <c r="T456" s="21"/>
      <c r="U456" s="21"/>
      <c r="V456" s="21"/>
      <c r="W456" s="21"/>
      <c r="X456" s="21"/>
      <c r="Y456" s="21"/>
      <c r="Z456" s="21"/>
      <c r="AA456" s="21"/>
    </row>
    <row r="457">
      <c r="A457" s="6" t="str">
        <f t="array" ref="A457">IF(I457="","",IFERROR(INDEX(CONFIGURACION!H:H,MATCH(I457,CONFIGURACION!J:J,0)),""))
</f>
        <v/>
      </c>
      <c r="B457" s="6" t="str">
        <f t="array" ref="B457">IF(I457="","",IFERROR(INDEX(CONFIGURACION!I:I,MATCH(I457,CONFIGURACION!J:J,0)),""))
</f>
        <v/>
      </c>
      <c r="C457" s="6"/>
      <c r="D457" s="25"/>
      <c r="E457" s="24"/>
      <c r="F457" s="21"/>
      <c r="G457" s="21"/>
      <c r="H457" s="21"/>
      <c r="I457" s="21"/>
      <c r="J457" s="21"/>
      <c r="K457" s="21"/>
      <c r="L457" s="21"/>
      <c r="M457" s="21"/>
      <c r="N457" s="21"/>
      <c r="O457" s="21"/>
      <c r="P457" s="21"/>
      <c r="Q457" s="21"/>
      <c r="R457" s="21"/>
      <c r="S457" s="21"/>
      <c r="T457" s="21"/>
      <c r="U457" s="21"/>
      <c r="V457" s="21"/>
      <c r="W457" s="21"/>
      <c r="X457" s="21"/>
      <c r="Y457" s="21"/>
      <c r="Z457" s="21"/>
      <c r="AA457" s="21"/>
    </row>
    <row r="458">
      <c r="A458" s="6" t="str">
        <f t="array" ref="A458">IF(I458="","",IFERROR(INDEX(CONFIGURACION!H:H,MATCH(I458,CONFIGURACION!J:J,0)),""))
</f>
        <v/>
      </c>
      <c r="B458" s="6" t="str">
        <f t="array" ref="B458">IF(I458="","",IFERROR(INDEX(CONFIGURACION!I:I,MATCH(I458,CONFIGURACION!J:J,0)),""))
</f>
        <v/>
      </c>
      <c r="C458" s="6"/>
      <c r="D458" s="25"/>
      <c r="E458" s="24"/>
      <c r="F458" s="21"/>
      <c r="G458" s="21"/>
      <c r="H458" s="21"/>
      <c r="I458" s="21"/>
      <c r="J458" s="21"/>
      <c r="K458" s="21"/>
      <c r="L458" s="21"/>
      <c r="M458" s="21"/>
      <c r="N458" s="21"/>
      <c r="O458" s="21"/>
      <c r="P458" s="21"/>
      <c r="Q458" s="21"/>
      <c r="R458" s="21"/>
      <c r="S458" s="21"/>
      <c r="T458" s="21"/>
      <c r="U458" s="21"/>
      <c r="V458" s="21"/>
      <c r="W458" s="21"/>
      <c r="X458" s="21"/>
      <c r="Y458" s="21"/>
      <c r="Z458" s="21"/>
      <c r="AA458" s="21"/>
    </row>
    <row r="459">
      <c r="A459" s="6" t="str">
        <f t="array" ref="A459">IF(I459="","",IFERROR(INDEX(CONFIGURACION!H:H,MATCH(I459,CONFIGURACION!J:J,0)),""))
</f>
        <v/>
      </c>
      <c r="B459" s="6" t="str">
        <f t="array" ref="B459">IF(I459="","",IFERROR(INDEX(CONFIGURACION!I:I,MATCH(I459,CONFIGURACION!J:J,0)),""))
</f>
        <v/>
      </c>
      <c r="C459" s="6"/>
      <c r="D459" s="25"/>
      <c r="E459" s="24"/>
      <c r="F459" s="21"/>
      <c r="G459" s="21"/>
      <c r="H459" s="21"/>
      <c r="I459" s="21"/>
      <c r="J459" s="21"/>
      <c r="K459" s="21"/>
      <c r="L459" s="21"/>
      <c r="M459" s="21"/>
      <c r="N459" s="21"/>
      <c r="O459" s="21"/>
      <c r="P459" s="21"/>
      <c r="Q459" s="21"/>
      <c r="R459" s="21"/>
      <c r="S459" s="21"/>
      <c r="T459" s="21"/>
      <c r="U459" s="21"/>
      <c r="V459" s="21"/>
      <c r="W459" s="21"/>
      <c r="X459" s="21"/>
      <c r="Y459" s="21"/>
      <c r="Z459" s="21"/>
      <c r="AA459" s="21"/>
    </row>
    <row r="460">
      <c r="A460" s="6" t="str">
        <f t="array" ref="A460">IF(I460="","",IFERROR(INDEX(CONFIGURACION!H:H,MATCH(I460,CONFIGURACION!J:J,0)),""))
</f>
        <v/>
      </c>
      <c r="B460" s="6" t="str">
        <f t="array" ref="B460">IF(I460="","",IFERROR(INDEX(CONFIGURACION!I:I,MATCH(I460,CONFIGURACION!J:J,0)),""))
</f>
        <v/>
      </c>
      <c r="C460" s="6"/>
      <c r="D460" s="25"/>
      <c r="E460" s="24"/>
      <c r="F460" s="21"/>
      <c r="G460" s="21"/>
      <c r="H460" s="21"/>
      <c r="I460" s="21"/>
      <c r="J460" s="21"/>
      <c r="K460" s="21"/>
      <c r="L460" s="21"/>
      <c r="M460" s="21"/>
      <c r="N460" s="21"/>
      <c r="O460" s="21"/>
      <c r="P460" s="21"/>
      <c r="Q460" s="21"/>
      <c r="R460" s="21"/>
      <c r="S460" s="21"/>
      <c r="T460" s="21"/>
      <c r="U460" s="21"/>
      <c r="V460" s="21"/>
      <c r="W460" s="21"/>
      <c r="X460" s="21"/>
      <c r="Y460" s="21"/>
      <c r="Z460" s="21"/>
      <c r="AA460" s="21"/>
    </row>
    <row r="461">
      <c r="A461" s="6" t="str">
        <f t="array" ref="A461">IF(I461="","",IFERROR(INDEX(CONFIGURACION!H:H,MATCH(I461,CONFIGURACION!J:J,0)),""))
</f>
        <v/>
      </c>
      <c r="B461" s="6" t="str">
        <f t="array" ref="B461">IF(I461="","",IFERROR(INDEX(CONFIGURACION!I:I,MATCH(I461,CONFIGURACION!J:J,0)),""))
</f>
        <v/>
      </c>
      <c r="C461" s="6"/>
      <c r="D461" s="25"/>
      <c r="E461" s="24"/>
      <c r="F461" s="21"/>
      <c r="G461" s="21"/>
      <c r="H461" s="21"/>
      <c r="I461" s="21"/>
      <c r="J461" s="21"/>
      <c r="K461" s="21"/>
      <c r="L461" s="21"/>
      <c r="M461" s="21"/>
      <c r="N461" s="21"/>
      <c r="O461" s="21"/>
      <c r="P461" s="21"/>
      <c r="Q461" s="21"/>
      <c r="R461" s="21"/>
      <c r="S461" s="21"/>
      <c r="T461" s="21"/>
      <c r="U461" s="21"/>
      <c r="V461" s="21"/>
      <c r="W461" s="21"/>
      <c r="X461" s="21"/>
      <c r="Y461" s="21"/>
      <c r="Z461" s="21"/>
      <c r="AA461" s="21"/>
    </row>
    <row r="462">
      <c r="A462" s="6" t="str">
        <f t="array" ref="A462">IF(I462="","",IFERROR(INDEX(CONFIGURACION!H:H,MATCH(I462,CONFIGURACION!J:J,0)),""))
</f>
        <v/>
      </c>
      <c r="B462" s="6" t="str">
        <f t="array" ref="B462">IF(I462="","",IFERROR(INDEX(CONFIGURACION!I:I,MATCH(I462,CONFIGURACION!J:J,0)),""))
</f>
        <v/>
      </c>
      <c r="C462" s="6"/>
      <c r="D462" s="25"/>
      <c r="E462" s="24"/>
      <c r="F462" s="21"/>
      <c r="G462" s="21"/>
      <c r="H462" s="21"/>
      <c r="I462" s="21"/>
      <c r="J462" s="21"/>
      <c r="K462" s="21"/>
      <c r="L462" s="21"/>
      <c r="M462" s="21"/>
      <c r="N462" s="21"/>
      <c r="O462" s="21"/>
      <c r="P462" s="21"/>
      <c r="Q462" s="21"/>
      <c r="R462" s="21"/>
      <c r="S462" s="21"/>
      <c r="T462" s="21"/>
      <c r="U462" s="21"/>
      <c r="V462" s="21"/>
      <c r="W462" s="21"/>
      <c r="X462" s="21"/>
      <c r="Y462" s="21"/>
      <c r="Z462" s="21"/>
      <c r="AA462" s="21"/>
    </row>
    <row r="463">
      <c r="A463" s="6" t="str">
        <f t="array" ref="A463">IF(I463="","",IFERROR(INDEX(CONFIGURACION!H:H,MATCH(I463,CONFIGURACION!J:J,0)),""))
</f>
        <v/>
      </c>
      <c r="B463" s="6" t="str">
        <f t="array" ref="B463">IF(I463="","",IFERROR(INDEX(CONFIGURACION!I:I,MATCH(I463,CONFIGURACION!J:J,0)),""))
</f>
        <v/>
      </c>
      <c r="C463" s="6"/>
      <c r="D463" s="25"/>
      <c r="E463" s="24"/>
      <c r="F463" s="21"/>
      <c r="G463" s="21"/>
      <c r="H463" s="21"/>
      <c r="I463" s="21"/>
      <c r="J463" s="21"/>
      <c r="K463" s="21"/>
      <c r="L463" s="21"/>
      <c r="M463" s="21"/>
      <c r="N463" s="21"/>
      <c r="O463" s="21"/>
      <c r="P463" s="21"/>
      <c r="Q463" s="21"/>
      <c r="R463" s="21"/>
      <c r="S463" s="21"/>
      <c r="T463" s="21"/>
      <c r="U463" s="21"/>
      <c r="V463" s="21"/>
      <c r="W463" s="21"/>
      <c r="X463" s="21"/>
      <c r="Y463" s="21"/>
      <c r="Z463" s="21"/>
      <c r="AA463" s="21"/>
    </row>
    <row r="464">
      <c r="A464" s="6" t="str">
        <f t="array" ref="A464">IF(I464="","",IFERROR(INDEX(CONFIGURACION!H:H,MATCH(I464,CONFIGURACION!J:J,0)),""))
</f>
        <v/>
      </c>
      <c r="B464" s="6" t="str">
        <f t="array" ref="B464">IF(I464="","",IFERROR(INDEX(CONFIGURACION!I:I,MATCH(I464,CONFIGURACION!J:J,0)),""))
</f>
        <v/>
      </c>
      <c r="C464" s="6"/>
      <c r="D464" s="25"/>
      <c r="E464" s="24"/>
      <c r="F464" s="21"/>
      <c r="G464" s="21"/>
      <c r="H464" s="21"/>
      <c r="I464" s="21"/>
      <c r="J464" s="21"/>
      <c r="K464" s="21"/>
      <c r="L464" s="21"/>
      <c r="M464" s="21"/>
      <c r="N464" s="21"/>
      <c r="O464" s="21"/>
      <c r="P464" s="21"/>
      <c r="Q464" s="21"/>
      <c r="R464" s="21"/>
      <c r="S464" s="21"/>
      <c r="T464" s="21"/>
      <c r="U464" s="21"/>
      <c r="V464" s="21"/>
      <c r="W464" s="21"/>
      <c r="X464" s="21"/>
      <c r="Y464" s="21"/>
      <c r="Z464" s="21"/>
      <c r="AA464" s="21"/>
    </row>
    <row r="465">
      <c r="A465" s="6" t="str">
        <f t="array" ref="A465">IF(I465="","",IFERROR(INDEX(CONFIGURACION!H:H,MATCH(I465,CONFIGURACION!J:J,0)),""))
</f>
        <v/>
      </c>
      <c r="B465" s="6" t="str">
        <f t="array" ref="B465">IF(I465="","",IFERROR(INDEX(CONFIGURACION!I:I,MATCH(I465,CONFIGURACION!J:J,0)),""))
</f>
        <v/>
      </c>
      <c r="C465" s="6"/>
      <c r="D465" s="25"/>
      <c r="E465" s="24"/>
      <c r="F465" s="21"/>
      <c r="G465" s="21"/>
      <c r="H465" s="21"/>
      <c r="I465" s="21"/>
      <c r="J465" s="21"/>
      <c r="K465" s="21"/>
      <c r="L465" s="21"/>
      <c r="M465" s="21"/>
      <c r="N465" s="21"/>
      <c r="O465" s="21"/>
      <c r="P465" s="21"/>
      <c r="Q465" s="21"/>
      <c r="R465" s="21"/>
      <c r="S465" s="21"/>
      <c r="T465" s="21"/>
      <c r="U465" s="21"/>
      <c r="V465" s="21"/>
      <c r="W465" s="21"/>
      <c r="X465" s="21"/>
      <c r="Y465" s="21"/>
      <c r="Z465" s="21"/>
      <c r="AA465" s="21"/>
    </row>
    <row r="466">
      <c r="A466" s="6" t="str">
        <f t="array" ref="A466">IF(I466="","",IFERROR(INDEX(CONFIGURACION!H:H,MATCH(I466,CONFIGURACION!J:J,0)),""))
</f>
        <v/>
      </c>
      <c r="B466" s="6" t="str">
        <f t="array" ref="B466">IF(I466="","",IFERROR(INDEX(CONFIGURACION!I:I,MATCH(I466,CONFIGURACION!J:J,0)),""))
</f>
        <v/>
      </c>
      <c r="C466" s="6"/>
      <c r="D466" s="25"/>
      <c r="E466" s="24"/>
      <c r="F466" s="21"/>
      <c r="G466" s="21"/>
      <c r="H466" s="21"/>
      <c r="I466" s="21"/>
      <c r="J466" s="21"/>
      <c r="K466" s="21"/>
      <c r="L466" s="21"/>
      <c r="M466" s="21"/>
      <c r="N466" s="21"/>
      <c r="O466" s="21"/>
      <c r="P466" s="21"/>
      <c r="Q466" s="21"/>
      <c r="R466" s="21"/>
      <c r="S466" s="21"/>
      <c r="T466" s="21"/>
      <c r="U466" s="21"/>
      <c r="V466" s="21"/>
      <c r="W466" s="21"/>
      <c r="X466" s="21"/>
      <c r="Y466" s="21"/>
      <c r="Z466" s="21"/>
      <c r="AA466" s="21"/>
    </row>
    <row r="467">
      <c r="A467" s="6" t="str">
        <f t="array" ref="A467">IF(I467="","",IFERROR(INDEX(CONFIGURACION!H:H,MATCH(I467,CONFIGURACION!J:J,0)),""))
</f>
        <v/>
      </c>
      <c r="B467" s="6" t="str">
        <f t="array" ref="B467">IF(I467="","",IFERROR(INDEX(CONFIGURACION!I:I,MATCH(I467,CONFIGURACION!J:J,0)),""))
</f>
        <v/>
      </c>
      <c r="C467" s="6"/>
      <c r="D467" s="25"/>
      <c r="E467" s="24"/>
      <c r="F467" s="21"/>
      <c r="G467" s="21"/>
      <c r="H467" s="21"/>
      <c r="I467" s="21"/>
      <c r="J467" s="21"/>
      <c r="K467" s="21"/>
      <c r="L467" s="21"/>
      <c r="M467" s="21"/>
      <c r="N467" s="21"/>
      <c r="O467" s="21"/>
      <c r="P467" s="21"/>
      <c r="Q467" s="21"/>
      <c r="R467" s="21"/>
      <c r="S467" s="21"/>
      <c r="T467" s="21"/>
      <c r="U467" s="21"/>
      <c r="V467" s="21"/>
      <c r="W467" s="21"/>
      <c r="X467" s="21"/>
      <c r="Y467" s="21"/>
      <c r="Z467" s="21"/>
      <c r="AA467" s="21"/>
    </row>
    <row r="468">
      <c r="A468" s="6" t="str">
        <f t="array" ref="A468">IF(I468="","",IFERROR(INDEX(CONFIGURACION!H:H,MATCH(I468,CONFIGURACION!J:J,0)),""))
</f>
        <v/>
      </c>
      <c r="B468" s="6" t="str">
        <f t="array" ref="B468">IF(I468="","",IFERROR(INDEX(CONFIGURACION!I:I,MATCH(I468,CONFIGURACION!J:J,0)),""))
</f>
        <v/>
      </c>
      <c r="C468" s="6"/>
      <c r="D468" s="25"/>
      <c r="E468" s="24"/>
      <c r="F468" s="21"/>
      <c r="G468" s="21"/>
      <c r="H468" s="21"/>
      <c r="I468" s="21"/>
      <c r="J468" s="21"/>
      <c r="K468" s="21"/>
      <c r="L468" s="21"/>
      <c r="M468" s="21"/>
      <c r="N468" s="21"/>
      <c r="O468" s="21"/>
      <c r="P468" s="21"/>
      <c r="Q468" s="21"/>
      <c r="R468" s="21"/>
      <c r="S468" s="21"/>
      <c r="T468" s="21"/>
      <c r="U468" s="21"/>
      <c r="V468" s="21"/>
      <c r="W468" s="21"/>
      <c r="X468" s="21"/>
      <c r="Y468" s="21"/>
      <c r="Z468" s="21"/>
      <c r="AA468" s="21"/>
    </row>
    <row r="469">
      <c r="A469" s="6" t="str">
        <f t="array" ref="A469">IF(I469="","",IFERROR(INDEX(CONFIGURACION!H:H,MATCH(I469,CONFIGURACION!J:J,0)),""))
</f>
        <v/>
      </c>
      <c r="B469" s="6" t="str">
        <f t="array" ref="B469">IF(I469="","",IFERROR(INDEX(CONFIGURACION!I:I,MATCH(I469,CONFIGURACION!J:J,0)),""))
</f>
        <v/>
      </c>
      <c r="C469" s="6"/>
      <c r="D469" s="25"/>
      <c r="E469" s="24"/>
      <c r="F469" s="21"/>
      <c r="G469" s="21"/>
      <c r="H469" s="21"/>
      <c r="I469" s="21"/>
      <c r="J469" s="21"/>
      <c r="K469" s="21"/>
      <c r="L469" s="21"/>
      <c r="M469" s="21"/>
      <c r="N469" s="21"/>
      <c r="O469" s="21"/>
      <c r="P469" s="21"/>
      <c r="Q469" s="21"/>
      <c r="R469" s="21"/>
      <c r="S469" s="21"/>
      <c r="T469" s="21"/>
      <c r="U469" s="21"/>
      <c r="V469" s="21"/>
      <c r="W469" s="21"/>
      <c r="X469" s="21"/>
      <c r="Y469" s="21"/>
      <c r="Z469" s="21"/>
      <c r="AA469" s="21"/>
    </row>
    <row r="470">
      <c r="A470" s="6" t="str">
        <f t="array" ref="A470">IF(I470="","",IFERROR(INDEX(CONFIGURACION!H:H,MATCH(I470,CONFIGURACION!J:J,0)),""))
</f>
        <v/>
      </c>
      <c r="B470" s="6" t="str">
        <f t="array" ref="B470">IF(I470="","",IFERROR(INDEX(CONFIGURACION!I:I,MATCH(I470,CONFIGURACION!J:J,0)),""))
</f>
        <v/>
      </c>
      <c r="C470" s="6"/>
      <c r="D470" s="25"/>
      <c r="E470" s="24"/>
      <c r="F470" s="21"/>
      <c r="G470" s="21"/>
      <c r="H470" s="21"/>
      <c r="I470" s="21"/>
      <c r="J470" s="21"/>
      <c r="K470" s="21"/>
      <c r="L470" s="21"/>
      <c r="M470" s="21"/>
      <c r="N470" s="21"/>
      <c r="O470" s="21"/>
      <c r="P470" s="21"/>
      <c r="Q470" s="21"/>
      <c r="R470" s="21"/>
      <c r="S470" s="21"/>
      <c r="T470" s="21"/>
      <c r="U470" s="21"/>
      <c r="V470" s="21"/>
      <c r="W470" s="21"/>
      <c r="X470" s="21"/>
      <c r="Y470" s="21"/>
      <c r="Z470" s="21"/>
      <c r="AA470" s="21"/>
    </row>
    <row r="471">
      <c r="A471" s="6" t="str">
        <f t="array" ref="A471">IF(I471="","",IFERROR(INDEX(CONFIGURACION!H:H,MATCH(I471,CONFIGURACION!J:J,0)),""))
</f>
        <v/>
      </c>
      <c r="B471" s="6" t="str">
        <f t="array" ref="B471">IF(I471="","",IFERROR(INDEX(CONFIGURACION!I:I,MATCH(I471,CONFIGURACION!J:J,0)),""))
</f>
        <v/>
      </c>
      <c r="C471" s="6"/>
      <c r="D471" s="25"/>
      <c r="E471" s="24"/>
      <c r="F471" s="21"/>
      <c r="G471" s="21"/>
      <c r="H471" s="21"/>
      <c r="I471" s="21"/>
      <c r="J471" s="21"/>
      <c r="K471" s="21"/>
      <c r="L471" s="21"/>
      <c r="M471" s="21"/>
      <c r="N471" s="21"/>
      <c r="O471" s="21"/>
      <c r="P471" s="21"/>
      <c r="Q471" s="21"/>
      <c r="R471" s="21"/>
      <c r="S471" s="21"/>
      <c r="T471" s="21"/>
      <c r="U471" s="21"/>
      <c r="V471" s="21"/>
      <c r="W471" s="21"/>
      <c r="X471" s="21"/>
      <c r="Y471" s="21"/>
      <c r="Z471" s="21"/>
      <c r="AA471" s="21"/>
    </row>
    <row r="472">
      <c r="A472" s="6" t="str">
        <f t="array" ref="A472">IF(I472="","",IFERROR(INDEX(CONFIGURACION!H:H,MATCH(I472,CONFIGURACION!J:J,0)),""))
</f>
        <v/>
      </c>
      <c r="B472" s="6" t="str">
        <f t="array" ref="B472">IF(I472="","",IFERROR(INDEX(CONFIGURACION!I:I,MATCH(I472,CONFIGURACION!J:J,0)),""))
</f>
        <v/>
      </c>
      <c r="C472" s="6"/>
      <c r="D472" s="25"/>
      <c r="E472" s="24"/>
      <c r="F472" s="21"/>
      <c r="G472" s="21"/>
      <c r="H472" s="21"/>
      <c r="I472" s="21"/>
      <c r="J472" s="21"/>
      <c r="K472" s="21"/>
      <c r="L472" s="21"/>
      <c r="M472" s="21"/>
      <c r="N472" s="21"/>
      <c r="O472" s="21"/>
      <c r="P472" s="21"/>
      <c r="Q472" s="21"/>
      <c r="R472" s="21"/>
      <c r="S472" s="21"/>
      <c r="T472" s="21"/>
      <c r="U472" s="21"/>
      <c r="V472" s="21"/>
      <c r="W472" s="21"/>
      <c r="X472" s="21"/>
      <c r="Y472" s="21"/>
      <c r="Z472" s="21"/>
      <c r="AA472" s="21"/>
    </row>
    <row r="473">
      <c r="A473" s="6" t="str">
        <f t="array" ref="A473">IF(I473="","",IFERROR(INDEX(CONFIGURACION!H:H,MATCH(I473,CONFIGURACION!J:J,0)),""))
</f>
        <v/>
      </c>
      <c r="B473" s="6" t="str">
        <f t="array" ref="B473">IF(I473="","",IFERROR(INDEX(CONFIGURACION!I:I,MATCH(I473,CONFIGURACION!J:J,0)),""))
</f>
        <v/>
      </c>
      <c r="C473" s="6"/>
      <c r="D473" s="25"/>
      <c r="E473" s="24"/>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 r="A474" s="6" t="str">
        <f t="array" ref="A474">IF(I474="","",IFERROR(INDEX(CONFIGURACION!H:H,MATCH(I474,CONFIGURACION!J:J,0)),""))
</f>
        <v/>
      </c>
      <c r="B474" s="6" t="str">
        <f t="array" ref="B474">IF(I474="","",IFERROR(INDEX(CONFIGURACION!I:I,MATCH(I474,CONFIGURACION!J:J,0)),""))
</f>
        <v/>
      </c>
      <c r="C474" s="6"/>
      <c r="D474" s="25"/>
      <c r="E474" s="24"/>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 r="A475" s="6" t="str">
        <f t="array" ref="A475">IF(I475="","",IFERROR(INDEX(CONFIGURACION!H:H,MATCH(I475,CONFIGURACION!J:J,0)),""))
</f>
        <v/>
      </c>
      <c r="B475" s="6" t="str">
        <f t="array" ref="B475">IF(I475="","",IFERROR(INDEX(CONFIGURACION!I:I,MATCH(I475,CONFIGURACION!J:J,0)),""))
</f>
        <v/>
      </c>
      <c r="C475" s="6"/>
      <c r="D475" s="25"/>
      <c r="E475" s="24"/>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 r="A476" s="6" t="str">
        <f t="array" ref="A476">IF(I476="","",IFERROR(INDEX(CONFIGURACION!H:H,MATCH(I476,CONFIGURACION!J:J,0)),""))
</f>
        <v/>
      </c>
      <c r="B476" s="6" t="str">
        <f t="array" ref="B476">IF(I476="","",IFERROR(INDEX(CONFIGURACION!I:I,MATCH(I476,CONFIGURACION!J:J,0)),""))
</f>
        <v/>
      </c>
      <c r="C476" s="6"/>
      <c r="D476" s="25"/>
      <c r="E476" s="24"/>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 r="A477" s="6" t="str">
        <f t="array" ref="A477">IF(I477="","",IFERROR(INDEX(CONFIGURACION!H:H,MATCH(I477,CONFIGURACION!J:J,0)),""))
</f>
        <v/>
      </c>
      <c r="B477" s="6" t="str">
        <f t="array" ref="B477">IF(I477="","",IFERROR(INDEX(CONFIGURACION!I:I,MATCH(I477,CONFIGURACION!J:J,0)),""))
</f>
        <v/>
      </c>
      <c r="C477" s="6"/>
      <c r="D477" s="25"/>
      <c r="E477" s="24"/>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 r="A478" s="6" t="str">
        <f t="array" ref="A478">IF(I478="","",IFERROR(INDEX(CONFIGURACION!H:H,MATCH(I478,CONFIGURACION!J:J,0)),""))
</f>
        <v/>
      </c>
      <c r="B478" s="6" t="str">
        <f t="array" ref="B478">IF(I478="","",IFERROR(INDEX(CONFIGURACION!I:I,MATCH(I478,CONFIGURACION!J:J,0)),""))
</f>
        <v/>
      </c>
      <c r="C478" s="6"/>
      <c r="D478" s="25"/>
      <c r="E478" s="24"/>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 r="A479" s="6" t="str">
        <f t="array" ref="A479">IF(I479="","",IFERROR(INDEX(CONFIGURACION!H:H,MATCH(I479,CONFIGURACION!J:J,0)),""))
</f>
        <v/>
      </c>
      <c r="B479" s="6" t="str">
        <f t="array" ref="B479">IF(I479="","",IFERROR(INDEX(CONFIGURACION!I:I,MATCH(I479,CONFIGURACION!J:J,0)),""))
</f>
        <v/>
      </c>
      <c r="C479" s="6"/>
      <c r="D479" s="25"/>
      <c r="E479" s="24"/>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 r="A480" s="6" t="str">
        <f t="array" ref="A480">IF(I480="","",IFERROR(INDEX(CONFIGURACION!H:H,MATCH(I480,CONFIGURACION!J:J,0)),""))
</f>
        <v/>
      </c>
      <c r="B480" s="6" t="str">
        <f t="array" ref="B480">IF(I480="","",IFERROR(INDEX(CONFIGURACION!I:I,MATCH(I480,CONFIGURACION!J:J,0)),""))
</f>
        <v/>
      </c>
      <c r="C480" s="6"/>
      <c r="D480" s="25"/>
      <c r="E480" s="24"/>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 r="A481" s="6" t="str">
        <f t="array" ref="A481">IF(I481="","",IFERROR(INDEX(CONFIGURACION!H:H,MATCH(I481,CONFIGURACION!J:J,0)),""))
</f>
        <v/>
      </c>
      <c r="B481" s="6" t="str">
        <f t="array" ref="B481">IF(I481="","",IFERROR(INDEX(CONFIGURACION!I:I,MATCH(I481,CONFIGURACION!J:J,0)),""))
</f>
        <v/>
      </c>
      <c r="C481" s="6"/>
      <c r="D481" s="25"/>
      <c r="E481" s="24"/>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 r="A482" s="6" t="str">
        <f t="array" ref="A482">IF(I482="","",IFERROR(INDEX(CONFIGURACION!H:H,MATCH(I482,CONFIGURACION!J:J,0)),""))
</f>
        <v/>
      </c>
      <c r="B482" s="6" t="str">
        <f t="array" ref="B482">IF(I482="","",IFERROR(INDEX(CONFIGURACION!I:I,MATCH(I482,CONFIGURACION!J:J,0)),""))
</f>
        <v/>
      </c>
      <c r="C482" s="6"/>
      <c r="D482" s="25"/>
      <c r="E482" s="24"/>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 r="A483" s="6" t="str">
        <f t="array" ref="A483">IF(I483="","",IFERROR(INDEX(CONFIGURACION!H:H,MATCH(I483,CONFIGURACION!J:J,0)),""))
</f>
        <v/>
      </c>
      <c r="B483" s="6" t="str">
        <f t="array" ref="B483">IF(I483="","",IFERROR(INDEX(CONFIGURACION!I:I,MATCH(I483,CONFIGURACION!J:J,0)),""))
</f>
        <v/>
      </c>
      <c r="C483" s="6"/>
      <c r="D483" s="25"/>
      <c r="E483" s="24"/>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 r="A484" s="6" t="str">
        <f t="array" ref="A484">IF(I484="","",IFERROR(INDEX(CONFIGURACION!H:H,MATCH(I484,CONFIGURACION!J:J,0)),""))
</f>
        <v/>
      </c>
      <c r="B484" s="6" t="str">
        <f t="array" ref="B484">IF(I484="","",IFERROR(INDEX(CONFIGURACION!I:I,MATCH(I484,CONFIGURACION!J:J,0)),""))
</f>
        <v/>
      </c>
      <c r="C484" s="6"/>
      <c r="D484" s="25"/>
      <c r="E484" s="24"/>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 r="A485" s="6" t="str">
        <f t="array" ref="A485">IF(I485="","",IFERROR(INDEX(CONFIGURACION!H:H,MATCH(I485,CONFIGURACION!J:J,0)),""))
</f>
        <v/>
      </c>
      <c r="B485" s="6" t="str">
        <f t="array" ref="B485">IF(I485="","",IFERROR(INDEX(CONFIGURACION!I:I,MATCH(I485,CONFIGURACION!J:J,0)),""))
</f>
        <v/>
      </c>
      <c r="C485" s="6"/>
      <c r="D485" s="25"/>
      <c r="E485" s="24"/>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 r="A486" s="6" t="str">
        <f t="array" ref="A486">IF(I486="","",IFERROR(INDEX(CONFIGURACION!H:H,MATCH(I486,CONFIGURACION!J:J,0)),""))
</f>
        <v/>
      </c>
      <c r="B486" s="6" t="str">
        <f t="array" ref="B486">IF(I486="","",IFERROR(INDEX(CONFIGURACION!I:I,MATCH(I486,CONFIGURACION!J:J,0)),""))
</f>
        <v/>
      </c>
      <c r="C486" s="6"/>
      <c r="D486" s="25"/>
      <c r="E486" s="24"/>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 r="A487" s="6" t="str">
        <f t="array" ref="A487">IF(I487="","",IFERROR(INDEX(CONFIGURACION!H:H,MATCH(I487,CONFIGURACION!J:J,0)),""))
</f>
        <v/>
      </c>
      <c r="B487" s="6" t="str">
        <f t="array" ref="B487">IF(I487="","",IFERROR(INDEX(CONFIGURACION!I:I,MATCH(I487,CONFIGURACION!J:J,0)),""))
</f>
        <v/>
      </c>
      <c r="C487" s="6"/>
      <c r="D487" s="25"/>
      <c r="E487" s="24"/>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 r="A488" s="6" t="str">
        <f t="array" ref="A488">IF(I488="","",IFERROR(INDEX(CONFIGURACION!H:H,MATCH(I488,CONFIGURACION!J:J,0)),""))
</f>
        <v/>
      </c>
      <c r="B488" s="6" t="str">
        <f t="array" ref="B488">IF(I488="","",IFERROR(INDEX(CONFIGURACION!I:I,MATCH(I488,CONFIGURACION!J:J,0)),""))
</f>
        <v/>
      </c>
      <c r="C488" s="6"/>
      <c r="D488" s="25"/>
      <c r="E488" s="24"/>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 r="A489" s="6" t="str">
        <f t="array" ref="A489">IF(I489="","",IFERROR(INDEX(CONFIGURACION!H:H,MATCH(I489,CONFIGURACION!J:J,0)),""))
</f>
        <v/>
      </c>
      <c r="B489" s="6" t="str">
        <f t="array" ref="B489">IF(I489="","",IFERROR(INDEX(CONFIGURACION!I:I,MATCH(I489,CONFIGURACION!J:J,0)),""))
</f>
        <v/>
      </c>
      <c r="C489" s="6"/>
      <c r="D489" s="25"/>
      <c r="E489" s="24"/>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 r="A490" s="6" t="str">
        <f t="array" ref="A490">IF(I490="","",IFERROR(INDEX(CONFIGURACION!H:H,MATCH(I490,CONFIGURACION!J:J,0)),""))
</f>
        <v/>
      </c>
      <c r="B490" s="6" t="str">
        <f t="array" ref="B490">IF(I490="","",IFERROR(INDEX(CONFIGURACION!I:I,MATCH(I490,CONFIGURACION!J:J,0)),""))
</f>
        <v/>
      </c>
      <c r="C490" s="6"/>
      <c r="D490" s="25"/>
      <c r="E490" s="24"/>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 r="A491" s="6" t="str">
        <f t="array" ref="A491">IF(I491="","",IFERROR(INDEX(CONFIGURACION!H:H,MATCH(I491,CONFIGURACION!J:J,0)),""))
</f>
        <v/>
      </c>
      <c r="B491" s="6" t="str">
        <f t="array" ref="B491">IF(I491="","",IFERROR(INDEX(CONFIGURACION!I:I,MATCH(I491,CONFIGURACION!J:J,0)),""))
</f>
        <v/>
      </c>
      <c r="C491" s="6"/>
      <c r="D491" s="25"/>
      <c r="E491" s="24"/>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 r="A492" s="6" t="str">
        <f t="array" ref="A492">IF(I492="","",IFERROR(INDEX(CONFIGURACION!H:H,MATCH(I492,CONFIGURACION!J:J,0)),""))
</f>
        <v/>
      </c>
      <c r="B492" s="6" t="str">
        <f t="array" ref="B492">IF(I492="","",IFERROR(INDEX(CONFIGURACION!I:I,MATCH(I492,CONFIGURACION!J:J,0)),""))
</f>
        <v/>
      </c>
      <c r="C492" s="6"/>
      <c r="D492" s="25"/>
      <c r="E492" s="24"/>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 r="A493" s="6" t="str">
        <f t="array" ref="A493">IF(I493="","",IFERROR(INDEX(CONFIGURACION!H:H,MATCH(I493,CONFIGURACION!J:J,0)),""))
</f>
        <v/>
      </c>
      <c r="B493" s="6" t="str">
        <f t="array" ref="B493">IF(I493="","",IFERROR(INDEX(CONFIGURACION!I:I,MATCH(I493,CONFIGURACION!J:J,0)),""))
</f>
        <v/>
      </c>
      <c r="C493" s="6"/>
      <c r="D493" s="25"/>
      <c r="E493" s="24"/>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 r="A494" s="6" t="str">
        <f t="array" ref="A494">IF(I494="","",IFERROR(INDEX(CONFIGURACION!H:H,MATCH(I494,CONFIGURACION!J:J,0)),""))
</f>
        <v/>
      </c>
      <c r="B494" s="6" t="str">
        <f t="array" ref="B494">IF(I494="","",IFERROR(INDEX(CONFIGURACION!I:I,MATCH(I494,CONFIGURACION!J:J,0)),""))
</f>
        <v/>
      </c>
      <c r="C494" s="6"/>
      <c r="D494" s="25"/>
      <c r="E494" s="24"/>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 r="A495" s="6" t="str">
        <f t="array" ref="A495">IF(I495="","",IFERROR(INDEX(CONFIGURACION!H:H,MATCH(I495,CONFIGURACION!J:J,0)),""))
</f>
        <v/>
      </c>
      <c r="B495" s="6" t="str">
        <f t="array" ref="B495">IF(I495="","",IFERROR(INDEX(CONFIGURACION!I:I,MATCH(I495,CONFIGURACION!J:J,0)),""))
</f>
        <v/>
      </c>
      <c r="C495" s="6"/>
      <c r="D495" s="25"/>
      <c r="E495" s="24"/>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 r="A496" s="6" t="str">
        <f t="array" ref="A496">IF(I496="","",IFERROR(INDEX(CONFIGURACION!H:H,MATCH(I496,CONFIGURACION!J:J,0)),""))
</f>
        <v/>
      </c>
      <c r="B496" s="6" t="str">
        <f t="array" ref="B496">IF(I496="","",IFERROR(INDEX(CONFIGURACION!I:I,MATCH(I496,CONFIGURACION!J:J,0)),""))
</f>
        <v/>
      </c>
      <c r="C496" s="6"/>
      <c r="D496" s="25"/>
      <c r="E496" s="24"/>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 r="A497" s="6" t="str">
        <f t="array" ref="A497">IF(I497="","",IFERROR(INDEX(CONFIGURACION!H:H,MATCH(I497,CONFIGURACION!J:J,0)),""))
</f>
        <v/>
      </c>
      <c r="B497" s="6" t="str">
        <f t="array" ref="B497">IF(I497="","",IFERROR(INDEX(CONFIGURACION!I:I,MATCH(I497,CONFIGURACION!J:J,0)),""))
</f>
        <v/>
      </c>
      <c r="C497" s="6"/>
      <c r="D497" s="25"/>
      <c r="E497" s="24"/>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 r="A498" s="6" t="str">
        <f t="array" ref="A498">IF(I498="","",IFERROR(INDEX(CONFIGURACION!H:H,MATCH(I498,CONFIGURACION!J:J,0)),""))
</f>
        <v/>
      </c>
      <c r="B498" s="6" t="str">
        <f t="array" ref="B498">IF(I498="","",IFERROR(INDEX(CONFIGURACION!I:I,MATCH(I498,CONFIGURACION!J:J,0)),""))
</f>
        <v/>
      </c>
      <c r="C498" s="6"/>
      <c r="D498" s="25"/>
      <c r="E498" s="24"/>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 r="A499" s="6" t="str">
        <f t="array" ref="A499">IF(I499="","",IFERROR(INDEX(CONFIGURACION!H:H,MATCH(I499,CONFIGURACION!J:J,0)),""))
</f>
        <v/>
      </c>
      <c r="B499" s="6" t="str">
        <f t="array" ref="B499">IF(I499="","",IFERROR(INDEX(CONFIGURACION!I:I,MATCH(I499,CONFIGURACION!J:J,0)),""))
</f>
        <v/>
      </c>
      <c r="C499" s="6"/>
      <c r="D499" s="25"/>
      <c r="E499" s="24"/>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 r="A500" s="26" t="s">
        <v>1</v>
      </c>
      <c r="B500" s="27" t="s">
        <v>2</v>
      </c>
      <c r="C500" s="27" t="s">
        <v>3</v>
      </c>
      <c r="D500" s="25"/>
      <c r="E500" s="28"/>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 r="A501" s="6" t="str">
        <f t="array" ref="A501">IF(I501="","",IFERROR(INDEX(CONFIGURACION!H:H,MATCH(I501,CONFIGURACION!J:J,0)),""))
</f>
        <v/>
      </c>
      <c r="B501" s="6" t="str">
        <f t="array" ref="B501">IF(I501="","",IFERROR(INDEX(CONFIGURACION!I:I,MATCH(I501,CONFIGURACION!J:J,0)),""))
</f>
        <v/>
      </c>
      <c r="C501" s="6" t="s">
        <v>89</v>
      </c>
      <c r="D501" s="25"/>
      <c r="E501" s="28"/>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 r="A502" s="6" t="str">
        <f t="array" ref="A502">IF(I502="","",IFERROR(INDEX(CONFIGURACION!H:H,MATCH(I502,CONFIGURACION!J:J,0)),""))
</f>
        <v/>
      </c>
      <c r="B502" s="6" t="str">
        <f t="array" ref="B502">IF(I502="","",IFERROR(INDEX(CONFIGURACION!I:I,MATCH(I502,CONFIGURACION!J:J,0)),""))
</f>
        <v/>
      </c>
      <c r="C502" s="6" t="s">
        <v>89</v>
      </c>
      <c r="D502" s="25"/>
      <c r="E502" s="28"/>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 r="A503" s="6" t="str">
        <f t="array" ref="A503">IF(I503="","",IFERROR(INDEX(CONFIGURACION!H:H,MATCH(I503,CONFIGURACION!J:J,0)),""))
</f>
        <v/>
      </c>
      <c r="B503" s="6" t="str">
        <f t="array" ref="B503">IF(I503="","",IFERROR(INDEX(CONFIGURACION!I:I,MATCH(I503,CONFIGURACION!J:J,0)),""))
</f>
        <v/>
      </c>
      <c r="C503" s="6" t="s">
        <v>89</v>
      </c>
      <c r="D503" s="25"/>
      <c r="E503" s="28"/>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 r="A504" s="6" t="str">
        <f t="array" ref="A504">IF(I504="","",IFERROR(INDEX(CONFIGURACION!H:H,MATCH(I504,CONFIGURACION!J:J,0)),""))
</f>
        <v/>
      </c>
      <c r="B504" s="6" t="str">
        <f t="array" ref="B504">IF(I504="","",IFERROR(INDEX(CONFIGURACION!I:I,MATCH(I504,CONFIGURACION!J:J,0)),""))
</f>
        <v/>
      </c>
      <c r="C504" s="6" t="s">
        <v>89</v>
      </c>
      <c r="D504" s="25"/>
      <c r="E504" s="28"/>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 r="A505" s="6" t="str">
        <f t="array" ref="A505">IF(I505="","",IFERROR(INDEX(CONFIGURACION!H:H,MATCH(I505,CONFIGURACION!J:J,0)),""))
</f>
        <v/>
      </c>
      <c r="B505" s="6" t="str">
        <f t="array" ref="B505">IF(I505="","",IFERROR(INDEX(CONFIGURACION!I:I,MATCH(I505,CONFIGURACION!J:J,0)),""))
</f>
        <v/>
      </c>
      <c r="C505" s="6" t="s">
        <v>89</v>
      </c>
      <c r="D505" s="25"/>
      <c r="E505" s="28"/>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 r="A506" s="6" t="str">
        <f t="array" ref="A506">IF(I506="","",IFERROR(INDEX(CONFIGURACION!H:H,MATCH(I506,CONFIGURACION!J:J,0)),""))
</f>
        <v/>
      </c>
      <c r="B506" s="6" t="str">
        <f t="array" ref="B506">IF(I506="","",IFERROR(INDEX(CONFIGURACION!I:I,MATCH(I506,CONFIGURACION!J:J,0)),""))
</f>
        <v/>
      </c>
      <c r="C506" s="6" t="s">
        <v>89</v>
      </c>
      <c r="D506" s="25"/>
      <c r="E506" s="28"/>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 r="A507" s="6" t="str">
        <f t="array" ref="A507">IF(I507="","",IFERROR(INDEX(CONFIGURACION!H:H,MATCH(I507,CONFIGURACION!J:J,0)),""))
</f>
        <v/>
      </c>
      <c r="B507" s="6" t="str">
        <f t="array" ref="B507">IF(I507="","",IFERROR(INDEX(CONFIGURACION!I:I,MATCH(I507,CONFIGURACION!J:J,0)),""))
</f>
        <v/>
      </c>
      <c r="C507" s="6" t="s">
        <v>89</v>
      </c>
      <c r="D507" s="25"/>
      <c r="E507" s="28"/>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 r="A508" s="6" t="str">
        <f t="array" ref="A508">IF(I508="","",IFERROR(INDEX(CONFIGURACION!H:H,MATCH(I508,CONFIGURACION!J:J,0)),""))
</f>
        <v/>
      </c>
      <c r="B508" s="6" t="str">
        <f t="array" ref="B508">IF(I508="","",IFERROR(INDEX(CONFIGURACION!I:I,MATCH(I508,CONFIGURACION!J:J,0)),""))
</f>
        <v/>
      </c>
      <c r="C508" s="6" t="s">
        <v>89</v>
      </c>
      <c r="D508" s="25"/>
      <c r="E508" s="28"/>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 r="A509" s="6" t="str">
        <f t="array" ref="A509">IF(I509="","",IFERROR(INDEX(CONFIGURACION!H:H,MATCH(I509,CONFIGURACION!J:J,0)),""))
</f>
        <v/>
      </c>
      <c r="B509" s="6" t="str">
        <f t="array" ref="B509">IF(I509="","",IFERROR(INDEX(CONFIGURACION!I:I,MATCH(I509,CONFIGURACION!J:J,0)),""))
</f>
        <v/>
      </c>
      <c r="C509" s="6" t="s">
        <v>89</v>
      </c>
      <c r="D509" s="25"/>
      <c r="E509" s="28"/>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 r="A510" s="6" t="str">
        <f t="array" ref="A510">IF(I510="","",IFERROR(INDEX(CONFIGURACION!H:H,MATCH(I510,CONFIGURACION!J:J,0)),""))
</f>
        <v/>
      </c>
      <c r="B510" s="6" t="str">
        <f t="array" ref="B510">IF(I510="","",IFERROR(INDEX(CONFIGURACION!I:I,MATCH(I510,CONFIGURACION!J:J,0)),""))
</f>
        <v/>
      </c>
      <c r="C510" s="6" t="s">
        <v>89</v>
      </c>
      <c r="D510" s="25"/>
      <c r="E510" s="28"/>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 r="A511" s="6" t="str">
        <f t="array" ref="A511">IF(I511="","",IFERROR(INDEX(CONFIGURACION!H:H,MATCH(I511,CONFIGURACION!J:J,0)),""))
</f>
        <v/>
      </c>
      <c r="B511" s="6" t="str">
        <f t="array" ref="B511">IF(I511="","",IFERROR(INDEX(CONFIGURACION!I:I,MATCH(I511,CONFIGURACION!J:J,0)),""))
</f>
        <v/>
      </c>
      <c r="C511" s="6" t="s">
        <v>89</v>
      </c>
      <c r="D511" s="25"/>
      <c r="E511" s="28"/>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 r="A512" s="6" t="str">
        <f t="array" ref="A512">IF(I512="","",IFERROR(INDEX(CONFIGURACION!H:H,MATCH(I512,CONFIGURACION!J:J,0)),""))
</f>
        <v/>
      </c>
      <c r="B512" s="6" t="str">
        <f t="array" ref="B512">IF(I512="","",IFERROR(INDEX(CONFIGURACION!I:I,MATCH(I512,CONFIGURACION!J:J,0)),""))
</f>
        <v/>
      </c>
      <c r="C512" s="6" t="s">
        <v>89</v>
      </c>
      <c r="D512" s="25"/>
      <c r="E512" s="28"/>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 r="A513" s="6" t="str">
        <f t="array" ref="A513">IF(I513="","",IFERROR(INDEX(CONFIGURACION!H:H,MATCH(I513,CONFIGURACION!J:J,0)),""))
</f>
        <v/>
      </c>
      <c r="B513" s="6" t="str">
        <f t="array" ref="B513">IF(I513="","",IFERROR(INDEX(CONFIGURACION!I:I,MATCH(I513,CONFIGURACION!J:J,0)),""))
</f>
        <v/>
      </c>
      <c r="C513" s="6" t="s">
        <v>89</v>
      </c>
      <c r="D513" s="25"/>
      <c r="E513" s="28"/>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 r="A514" s="6" t="str">
        <f t="array" ref="A514">IF(I514="","",IFERROR(INDEX(CONFIGURACION!H:H,MATCH(I514,CONFIGURACION!J:J,0)),""))
</f>
        <v/>
      </c>
      <c r="B514" s="6" t="str">
        <f t="array" ref="B514">IF(I514="","",IFERROR(INDEX(CONFIGURACION!I:I,MATCH(I514,CONFIGURACION!J:J,0)),""))
</f>
        <v/>
      </c>
      <c r="C514" s="6" t="s">
        <v>89</v>
      </c>
      <c r="D514" s="25"/>
      <c r="E514" s="28"/>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 r="A515" s="6" t="str">
        <f t="array" ref="A515">IF(I515="","",IFERROR(INDEX(CONFIGURACION!H:H,MATCH(I515,CONFIGURACION!J:J,0)),""))
</f>
        <v/>
      </c>
      <c r="B515" s="6" t="str">
        <f t="array" ref="B515">IF(I515="","",IFERROR(INDEX(CONFIGURACION!I:I,MATCH(I515,CONFIGURACION!J:J,0)),""))
</f>
        <v/>
      </c>
      <c r="C515" s="6" t="s">
        <v>89</v>
      </c>
      <c r="D515" s="25"/>
      <c r="E515" s="28"/>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 r="A516" s="6" t="str">
        <f t="array" ref="A516">IF(I516="","",IFERROR(INDEX(CONFIGURACION!H:H,MATCH(I516,CONFIGURACION!J:J,0)),""))
</f>
        <v/>
      </c>
      <c r="B516" s="6" t="str">
        <f t="array" ref="B516">IF(I516="","",IFERROR(INDEX(CONFIGURACION!I:I,MATCH(I516,CONFIGURACION!J:J,0)),""))
</f>
        <v/>
      </c>
      <c r="C516" s="6" t="s">
        <v>89</v>
      </c>
      <c r="D516" s="25"/>
      <c r="E516" s="28"/>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 r="A517" s="6" t="str">
        <f t="array" ref="A517">IF(I517="","",IFERROR(INDEX(CONFIGURACION!H:H,MATCH(I517,CONFIGURACION!J:J,0)),""))
</f>
        <v/>
      </c>
      <c r="B517" s="6" t="str">
        <f t="array" ref="B517">IF(I517="","",IFERROR(INDEX(CONFIGURACION!I:I,MATCH(I517,CONFIGURACION!J:J,0)),""))
</f>
        <v/>
      </c>
      <c r="C517" s="6" t="s">
        <v>89</v>
      </c>
      <c r="D517" s="25"/>
      <c r="E517" s="28"/>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 r="A518" s="6" t="str">
        <f t="array" ref="A518">IF(I518="","",IFERROR(INDEX(CONFIGURACION!H:H,MATCH(I518,CONFIGURACION!J:J,0)),""))
</f>
        <v/>
      </c>
      <c r="B518" s="6" t="str">
        <f t="array" ref="B518">IF(I518="","",IFERROR(INDEX(CONFIGURACION!I:I,MATCH(I518,CONFIGURACION!J:J,0)),""))
</f>
        <v/>
      </c>
      <c r="C518" s="6" t="s">
        <v>89</v>
      </c>
      <c r="D518" s="25"/>
      <c r="E518" s="28"/>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 r="A519" s="6" t="str">
        <f t="array" ref="A519">IF(I519="","",IFERROR(INDEX(CONFIGURACION!H:H,MATCH(I519,CONFIGURACION!J:J,0)),""))
</f>
        <v/>
      </c>
      <c r="B519" s="6" t="str">
        <f t="array" ref="B519">IF(I519="","",IFERROR(INDEX(CONFIGURACION!I:I,MATCH(I519,CONFIGURACION!J:J,0)),""))
</f>
        <v/>
      </c>
      <c r="C519" s="6" t="s">
        <v>89</v>
      </c>
      <c r="D519" s="25"/>
      <c r="E519" s="28"/>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 r="A520" s="6" t="str">
        <f t="array" ref="A520">IF(I520="","",IFERROR(INDEX(CONFIGURACION!H:H,MATCH(I520,CONFIGURACION!J:J,0)),""))
</f>
        <v/>
      </c>
      <c r="B520" s="6" t="str">
        <f t="array" ref="B520">IF(I520="","",IFERROR(INDEX(CONFIGURACION!I:I,MATCH(I520,CONFIGURACION!J:J,0)),""))
</f>
        <v/>
      </c>
      <c r="C520" s="6" t="s">
        <v>89</v>
      </c>
      <c r="D520" s="25"/>
      <c r="E520" s="28"/>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 r="A521" s="6" t="str">
        <f t="array" ref="A521">IF(I521="","",IFERROR(INDEX(CONFIGURACION!H:H,MATCH(I521,CONFIGURACION!J:J,0)),""))
</f>
        <v/>
      </c>
      <c r="B521" s="6" t="str">
        <f t="array" ref="B521">IF(I521="","",IFERROR(INDEX(CONFIGURACION!I:I,MATCH(I521,CONFIGURACION!J:J,0)),""))
</f>
        <v/>
      </c>
      <c r="C521" s="6" t="s">
        <v>89</v>
      </c>
      <c r="D521" s="25"/>
      <c r="E521" s="28"/>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 r="A522" s="6" t="str">
        <f t="array" ref="A522">IF(I522="","",IFERROR(INDEX(CONFIGURACION!H:H,MATCH(I522,CONFIGURACION!J:J,0)),""))
</f>
        <v/>
      </c>
      <c r="B522" s="6" t="str">
        <f t="array" ref="B522">IF(I522="","",IFERROR(INDEX(CONFIGURACION!I:I,MATCH(I522,CONFIGURACION!J:J,0)),""))
</f>
        <v/>
      </c>
      <c r="C522" s="6" t="s">
        <v>89</v>
      </c>
      <c r="D522" s="25"/>
      <c r="E522" s="28"/>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 r="A523" s="6" t="str">
        <f t="array" ref="A523">IF(I523="","",IFERROR(INDEX(CONFIGURACION!H:H,MATCH(I523,CONFIGURACION!J:J,0)),""))
</f>
        <v/>
      </c>
      <c r="B523" s="6" t="str">
        <f t="array" ref="B523">IF(I523="","",IFERROR(INDEX(CONFIGURACION!I:I,MATCH(I523,CONFIGURACION!J:J,0)),""))
</f>
        <v/>
      </c>
      <c r="C523" s="6"/>
      <c r="D523" s="25"/>
      <c r="E523" s="28"/>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 r="A524" s="6" t="str">
        <f t="array" ref="A524">IF(I524="","",IFERROR(INDEX(CONFIGURACION!H:H,MATCH(I524,CONFIGURACION!J:J,0)),""))
</f>
        <v/>
      </c>
      <c r="B524" s="6" t="str">
        <f t="array" ref="B524">IF(I524="","",IFERROR(INDEX(CONFIGURACION!I:I,MATCH(I524,CONFIGURACION!J:J,0)),""))
</f>
        <v/>
      </c>
      <c r="C524" s="6"/>
      <c r="D524" s="25"/>
      <c r="E524" s="28"/>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 r="A525" s="6" t="str">
        <f t="array" ref="A525">IF(I525="","",IFERROR(INDEX(CONFIGURACION!H:H,MATCH(I525,CONFIGURACION!J:J,0)),""))
</f>
        <v/>
      </c>
      <c r="B525" s="6" t="str">
        <f t="array" ref="B525">IF(I525="","",IFERROR(INDEX(CONFIGURACION!I:I,MATCH(I525,CONFIGURACION!J:J,0)),""))
</f>
        <v/>
      </c>
      <c r="C525" s="6"/>
      <c r="D525" s="25"/>
      <c r="E525" s="28"/>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 r="A526" s="6" t="str">
        <f t="array" ref="A526">IF(I526="","",IFERROR(INDEX(CONFIGURACION!H:H,MATCH(I526,CONFIGURACION!J:J,0)),""))
</f>
        <v/>
      </c>
      <c r="B526" s="6" t="str">
        <f t="array" ref="B526">IF(I526="","",IFERROR(INDEX(CONFIGURACION!I:I,MATCH(I526,CONFIGURACION!J:J,0)),""))
</f>
        <v/>
      </c>
      <c r="C526" s="6"/>
      <c r="D526" s="25"/>
      <c r="E526" s="28"/>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 r="A527" s="6" t="str">
        <f t="array" ref="A527">IF(I527="","",IFERROR(INDEX(CONFIGURACION!H:H,MATCH(I527,CONFIGURACION!J:J,0)),""))
</f>
        <v/>
      </c>
      <c r="B527" s="6" t="str">
        <f t="array" ref="B527">IF(I527="","",IFERROR(INDEX(CONFIGURACION!I:I,MATCH(I527,CONFIGURACION!J:J,0)),""))
</f>
        <v/>
      </c>
      <c r="C527" s="6"/>
      <c r="D527" s="25"/>
      <c r="E527" s="28"/>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 r="A528" s="6" t="str">
        <f t="array" ref="A528">IF(I528="","",IFERROR(INDEX(CONFIGURACION!H:H,MATCH(I528,CONFIGURACION!J:J,0)),""))
</f>
        <v/>
      </c>
      <c r="B528" s="6" t="str">
        <f t="array" ref="B528">IF(I528="","",IFERROR(INDEX(CONFIGURACION!I:I,MATCH(I528,CONFIGURACION!J:J,0)),""))
</f>
        <v/>
      </c>
      <c r="C528" s="6"/>
      <c r="D528" s="25"/>
      <c r="E528" s="28"/>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 r="A529" s="6" t="str">
        <f t="array" ref="A529">IF(I529="","",IFERROR(INDEX(CONFIGURACION!H:H,MATCH(I529,CONFIGURACION!J:J,0)),""))
</f>
        <v/>
      </c>
      <c r="B529" s="6" t="str">
        <f t="array" ref="B529">IF(I529="","",IFERROR(INDEX(CONFIGURACION!I:I,MATCH(I529,CONFIGURACION!J:J,0)),""))
</f>
        <v/>
      </c>
      <c r="C529" s="6"/>
      <c r="D529" s="25"/>
      <c r="E529" s="28"/>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 r="A530" s="6" t="str">
        <f t="array" ref="A530">IF(I530="","",IFERROR(INDEX(CONFIGURACION!H:H,MATCH(I530,CONFIGURACION!J:J,0)),""))
</f>
        <v/>
      </c>
      <c r="B530" s="6" t="str">
        <f t="array" ref="B530">IF(I530="","",IFERROR(INDEX(CONFIGURACION!I:I,MATCH(I530,CONFIGURACION!J:J,0)),""))
</f>
        <v/>
      </c>
      <c r="C530" s="6"/>
      <c r="D530" s="25"/>
      <c r="E530" s="28"/>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 r="A531" s="6" t="str">
        <f t="array" ref="A531">IF(I531="","",IFERROR(INDEX(CONFIGURACION!H:H,MATCH(I531,CONFIGURACION!J:J,0)),""))
</f>
        <v/>
      </c>
      <c r="B531" s="6" t="str">
        <f t="array" ref="B531">IF(I531="","",IFERROR(INDEX(CONFIGURACION!I:I,MATCH(I531,CONFIGURACION!J:J,0)),""))
</f>
        <v/>
      </c>
      <c r="C531" s="6"/>
      <c r="D531" s="25"/>
      <c r="E531" s="28"/>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 r="A532" s="6" t="str">
        <f t="array" ref="A532">IF(I532="","",IFERROR(INDEX(CONFIGURACION!H:H,MATCH(I532,CONFIGURACION!J:J,0)),""))
</f>
        <v/>
      </c>
      <c r="B532" s="6" t="str">
        <f t="array" ref="B532">IF(I532="","",IFERROR(INDEX(CONFIGURACION!I:I,MATCH(I532,CONFIGURACION!J:J,0)),""))
</f>
        <v/>
      </c>
      <c r="C532" s="6"/>
      <c r="D532" s="25"/>
      <c r="E532" s="28"/>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 r="A533" s="6" t="str">
        <f t="array" ref="A533">IF(I533="","",IFERROR(INDEX(CONFIGURACION!H:H,MATCH(I533,CONFIGURACION!J:J,0)),""))
</f>
        <v/>
      </c>
      <c r="B533" s="6" t="str">
        <f t="array" ref="B533">IF(I533="","",IFERROR(INDEX(CONFIGURACION!I:I,MATCH(I533,CONFIGURACION!J:J,0)),""))
</f>
        <v/>
      </c>
      <c r="C533" s="6"/>
      <c r="D533" s="25"/>
      <c r="E533" s="28"/>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 r="A534" s="6" t="str">
        <f t="array" ref="A534">IF(I534="","",IFERROR(INDEX(CONFIGURACION!H:H,MATCH(I534,CONFIGURACION!J:J,0)),""))
</f>
        <v/>
      </c>
      <c r="B534" s="6" t="str">
        <f t="array" ref="B534">IF(I534="","",IFERROR(INDEX(CONFIGURACION!I:I,MATCH(I534,CONFIGURACION!J:J,0)),""))
</f>
        <v/>
      </c>
      <c r="C534" s="6"/>
      <c r="D534" s="25"/>
      <c r="E534" s="28"/>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 r="A535" s="6" t="str">
        <f t="array" ref="A535">IF(I535="","",IFERROR(INDEX(CONFIGURACION!H:H,MATCH(I535,CONFIGURACION!J:J,0)),""))
</f>
        <v/>
      </c>
      <c r="B535" s="6" t="str">
        <f t="array" ref="B535">IF(I535="","",IFERROR(INDEX(CONFIGURACION!I:I,MATCH(I535,CONFIGURACION!J:J,0)),""))
</f>
        <v/>
      </c>
      <c r="C535" s="6"/>
      <c r="D535" s="25"/>
      <c r="E535" s="28"/>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 r="A536" s="6" t="str">
        <f t="array" ref="A536">IF(I536="","",IFERROR(INDEX(CONFIGURACION!H:H,MATCH(I536,CONFIGURACION!J:J,0)),""))
</f>
        <v/>
      </c>
      <c r="B536" s="6" t="str">
        <f t="array" ref="B536">IF(I536="","",IFERROR(INDEX(CONFIGURACION!I:I,MATCH(I536,CONFIGURACION!J:J,0)),""))
</f>
        <v/>
      </c>
      <c r="C536" s="6"/>
      <c r="D536" s="25"/>
      <c r="E536" s="28"/>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 r="A537" s="6" t="str">
        <f t="array" ref="A537">IF(I537="","",IFERROR(INDEX(CONFIGURACION!H:H,MATCH(I537,CONFIGURACION!J:J,0)),""))
</f>
        <v/>
      </c>
      <c r="B537" s="6" t="str">
        <f t="array" ref="B537">IF(I537="","",IFERROR(INDEX(CONFIGURACION!I:I,MATCH(I537,CONFIGURACION!J:J,0)),""))
</f>
        <v/>
      </c>
      <c r="C537" s="6"/>
      <c r="D537" s="25"/>
      <c r="E537" s="28"/>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 r="A538" s="6" t="str">
        <f t="array" ref="A538">IF(I538="","",IFERROR(INDEX(CONFIGURACION!H:H,MATCH(I538,CONFIGURACION!J:J,0)),""))
</f>
        <v/>
      </c>
      <c r="B538" s="6" t="str">
        <f t="array" ref="B538">IF(I538="","",IFERROR(INDEX(CONFIGURACION!I:I,MATCH(I538,CONFIGURACION!J:J,0)),""))
</f>
        <v/>
      </c>
      <c r="C538" s="6"/>
      <c r="D538" s="25"/>
      <c r="E538" s="28"/>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 r="A539" s="6" t="str">
        <f t="array" ref="A539">IF(I539="","",IFERROR(INDEX(CONFIGURACION!H:H,MATCH(I539,CONFIGURACION!J:J,0)),""))
</f>
        <v/>
      </c>
      <c r="B539" s="6" t="str">
        <f t="array" ref="B539">IF(I539="","",IFERROR(INDEX(CONFIGURACION!I:I,MATCH(I539,CONFIGURACION!J:J,0)),""))
</f>
        <v/>
      </c>
      <c r="C539" s="6"/>
      <c r="D539" s="25"/>
      <c r="E539" s="28"/>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 r="A540" s="6" t="str">
        <f t="array" ref="A540">IF(I540="","",IFERROR(INDEX(CONFIGURACION!H:H,MATCH(I540,CONFIGURACION!J:J,0)),""))
</f>
        <v/>
      </c>
      <c r="B540" s="6" t="str">
        <f t="array" ref="B540">IF(I540="","",IFERROR(INDEX(CONFIGURACION!I:I,MATCH(I540,CONFIGURACION!J:J,0)),""))
</f>
        <v/>
      </c>
      <c r="C540" s="6"/>
      <c r="D540" s="25"/>
      <c r="E540" s="28"/>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 r="A541" s="6" t="str">
        <f t="array" ref="A541">IF(I541="","",IFERROR(INDEX(CONFIGURACION!H:H,MATCH(I541,CONFIGURACION!J:J,0)),""))
</f>
        <v/>
      </c>
      <c r="B541" s="6" t="str">
        <f t="array" ref="B541">IF(I541="","",IFERROR(INDEX(CONFIGURACION!I:I,MATCH(I541,CONFIGURACION!J:J,0)),""))
</f>
        <v/>
      </c>
      <c r="C541" s="6"/>
      <c r="D541" s="25"/>
      <c r="E541" s="28"/>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 r="A542" s="6" t="str">
        <f t="array" ref="A542">IF(I542="","",IFERROR(INDEX(CONFIGURACION!H:H,MATCH(I542,CONFIGURACION!J:J,0)),""))
</f>
        <v/>
      </c>
      <c r="B542" s="6" t="str">
        <f t="array" ref="B542">IF(I542="","",IFERROR(INDEX(CONFIGURACION!I:I,MATCH(I542,CONFIGURACION!J:J,0)),""))
</f>
        <v/>
      </c>
      <c r="C542" s="6"/>
      <c r="D542" s="25"/>
      <c r="E542" s="28"/>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 r="A543" s="6" t="str">
        <f t="array" ref="A543">IF(I543="","",IFERROR(INDEX(CONFIGURACION!H:H,MATCH(I543,CONFIGURACION!J:J,0)),""))
</f>
        <v/>
      </c>
      <c r="B543" s="6" t="str">
        <f t="array" ref="B543">IF(I543="","",IFERROR(INDEX(CONFIGURACION!I:I,MATCH(I543,CONFIGURACION!J:J,0)),""))
</f>
        <v/>
      </c>
      <c r="C543" s="6"/>
      <c r="D543" s="25"/>
      <c r="E543" s="28"/>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 r="A544" s="6" t="str">
        <f t="array" ref="A544">IF(I544="","",IFERROR(INDEX(CONFIGURACION!H:H,MATCH(I544,CONFIGURACION!J:J,0)),""))
</f>
        <v/>
      </c>
      <c r="B544" s="6" t="str">
        <f t="array" ref="B544">IF(I544="","",IFERROR(INDEX(CONFIGURACION!I:I,MATCH(I544,CONFIGURACION!J:J,0)),""))
</f>
        <v/>
      </c>
      <c r="C544" s="6"/>
      <c r="D544" s="25"/>
      <c r="E544" s="28"/>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 r="A545" s="6" t="str">
        <f t="array" ref="A545">IF(I545="","",IFERROR(INDEX(CONFIGURACION!H:H,MATCH(I545,CONFIGURACION!J:J,0)),""))
</f>
        <v/>
      </c>
      <c r="B545" s="6" t="str">
        <f t="array" ref="B545">IF(I545="","",IFERROR(INDEX(CONFIGURACION!I:I,MATCH(I545,CONFIGURACION!J:J,0)),""))
</f>
        <v/>
      </c>
      <c r="C545" s="6"/>
      <c r="D545" s="25"/>
      <c r="E545" s="28"/>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 r="A546" s="6" t="str">
        <f t="array" ref="A546">IF(I546="","",IFERROR(INDEX(CONFIGURACION!H:H,MATCH(I546,CONFIGURACION!J:J,0)),""))
</f>
        <v/>
      </c>
      <c r="B546" s="6" t="str">
        <f t="array" ref="B546">IF(I546="","",IFERROR(INDEX(CONFIGURACION!I:I,MATCH(I546,CONFIGURACION!J:J,0)),""))
</f>
        <v/>
      </c>
      <c r="C546" s="6"/>
      <c r="D546" s="25"/>
      <c r="E546" s="28"/>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 r="A547" s="6" t="str">
        <f t="array" ref="A547">IF(I547="","",IFERROR(INDEX(CONFIGURACION!H:H,MATCH(I547,CONFIGURACION!J:J,0)),""))
</f>
        <v/>
      </c>
      <c r="B547" s="6" t="str">
        <f t="array" ref="B547">IF(I547="","",IFERROR(INDEX(CONFIGURACION!I:I,MATCH(I547,CONFIGURACION!J:J,0)),""))
</f>
        <v/>
      </c>
      <c r="C547" s="6"/>
      <c r="D547" s="25"/>
      <c r="E547" s="28"/>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 r="A548" s="6" t="str">
        <f t="array" ref="A548">IF(I548="","",IFERROR(INDEX(CONFIGURACION!H:H,MATCH(I548,CONFIGURACION!J:J,0)),""))
</f>
        <v/>
      </c>
      <c r="B548" s="6" t="str">
        <f t="array" ref="B548">IF(I548="","",IFERROR(INDEX(CONFIGURACION!I:I,MATCH(I548,CONFIGURACION!J:J,0)),""))
</f>
        <v/>
      </c>
      <c r="C548" s="6"/>
      <c r="D548" s="25"/>
      <c r="E548" s="28"/>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 r="A549" s="6" t="str">
        <f t="array" ref="A549">IF(I549="","",IFERROR(INDEX(CONFIGURACION!H:H,MATCH(I549,CONFIGURACION!J:J,0)),""))
</f>
        <v/>
      </c>
      <c r="B549" s="6" t="str">
        <f t="array" ref="B549">IF(I549="","",IFERROR(INDEX(CONFIGURACION!I:I,MATCH(I549,CONFIGURACION!J:J,0)),""))
</f>
        <v/>
      </c>
      <c r="C549" s="6"/>
      <c r="D549" s="25"/>
      <c r="E549" s="28"/>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 r="A550" s="6" t="str">
        <f t="array" ref="A550">IF(I550="","",IFERROR(INDEX(CONFIGURACION!H:H,MATCH(I550,CONFIGURACION!J:J,0)),""))
</f>
        <v/>
      </c>
      <c r="B550" s="6" t="str">
        <f t="array" ref="B550">IF(I550="","",IFERROR(INDEX(CONFIGURACION!I:I,MATCH(I550,CONFIGURACION!J:J,0)),""))
</f>
        <v/>
      </c>
      <c r="C550" s="6"/>
      <c r="D550" s="25"/>
      <c r="E550" s="28"/>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 r="A551" s="6" t="str">
        <f t="array" ref="A551">IF(I551="","",IFERROR(INDEX(CONFIGURACION!H:H,MATCH(I551,CONFIGURACION!J:J,0)),""))
</f>
        <v/>
      </c>
      <c r="B551" s="6" t="str">
        <f t="array" ref="B551">IF(I551="","",IFERROR(INDEX(CONFIGURACION!I:I,MATCH(I551,CONFIGURACION!J:J,0)),""))
</f>
        <v/>
      </c>
      <c r="C551" s="6"/>
      <c r="D551" s="25"/>
      <c r="E551" s="28"/>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 r="A552" s="6" t="str">
        <f t="array" ref="A552">IF(I552="","",IFERROR(INDEX(CONFIGURACION!H:H,MATCH(I552,CONFIGURACION!J:J,0)),""))
</f>
        <v/>
      </c>
      <c r="B552" s="6" t="str">
        <f t="array" ref="B552">IF(I552="","",IFERROR(INDEX(CONFIGURACION!I:I,MATCH(I552,CONFIGURACION!J:J,0)),""))
</f>
        <v/>
      </c>
      <c r="C552" s="6"/>
      <c r="D552" s="25"/>
      <c r="E552" s="28"/>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 r="A553" s="6" t="str">
        <f t="array" ref="A553">IF(I553="","",IFERROR(INDEX(CONFIGURACION!H:H,MATCH(I553,CONFIGURACION!J:J,0)),""))
</f>
        <v/>
      </c>
      <c r="B553" s="6" t="str">
        <f t="array" ref="B553">IF(I553="","",IFERROR(INDEX(CONFIGURACION!I:I,MATCH(I553,CONFIGURACION!J:J,0)),""))
</f>
        <v/>
      </c>
      <c r="C553" s="6"/>
      <c r="D553" s="25"/>
      <c r="E553" s="28"/>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 r="A554" s="6" t="str">
        <f t="array" ref="A554">IF(I554="","",IFERROR(INDEX(CONFIGURACION!H:H,MATCH(I554,CONFIGURACION!J:J,0)),""))
</f>
        <v/>
      </c>
      <c r="B554" s="6" t="str">
        <f t="array" ref="B554">IF(I554="","",IFERROR(INDEX(CONFIGURACION!I:I,MATCH(I554,CONFIGURACION!J:J,0)),""))
</f>
        <v/>
      </c>
      <c r="C554" s="6"/>
      <c r="D554" s="25"/>
      <c r="E554" s="28"/>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 r="A555" s="6" t="str">
        <f t="array" ref="A555">IF(I555="","",IFERROR(INDEX(CONFIGURACION!H:H,MATCH(I555,CONFIGURACION!J:J,0)),""))
</f>
        <v/>
      </c>
      <c r="B555" s="6" t="str">
        <f t="array" ref="B555">IF(I555="","",IFERROR(INDEX(CONFIGURACION!I:I,MATCH(I555,CONFIGURACION!J:J,0)),""))
</f>
        <v/>
      </c>
      <c r="C555" s="6"/>
      <c r="D555" s="25"/>
      <c r="E555" s="28"/>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 r="A556" s="6" t="str">
        <f t="array" ref="A556">IF(I556="","",IFERROR(INDEX(CONFIGURACION!H:H,MATCH(I556,CONFIGURACION!J:J,0)),""))
</f>
        <v/>
      </c>
      <c r="B556" s="6" t="str">
        <f t="array" ref="B556">IF(I556="","",IFERROR(INDEX(CONFIGURACION!I:I,MATCH(I556,CONFIGURACION!J:J,0)),""))
</f>
        <v/>
      </c>
      <c r="C556" s="6"/>
      <c r="D556" s="25"/>
      <c r="E556" s="28"/>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 r="A557" s="6" t="str">
        <f t="array" ref="A557">IF(I557="","",IFERROR(INDEX(CONFIGURACION!H:H,MATCH(I557,CONFIGURACION!J:J,0)),""))
</f>
        <v/>
      </c>
      <c r="B557" s="6" t="str">
        <f t="array" ref="B557">IF(I557="","",IFERROR(INDEX(CONFIGURACION!I:I,MATCH(I557,CONFIGURACION!J:J,0)),""))
</f>
        <v/>
      </c>
      <c r="C557" s="6"/>
      <c r="D557" s="25"/>
      <c r="E557" s="28"/>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 r="A558" s="6" t="str">
        <f t="array" ref="A558">IF(I558="","",IFERROR(INDEX(CONFIGURACION!H:H,MATCH(I558,CONFIGURACION!J:J,0)),""))
</f>
        <v/>
      </c>
      <c r="B558" s="6" t="str">
        <f t="array" ref="B558">IF(I558="","",IFERROR(INDEX(CONFIGURACION!I:I,MATCH(I558,CONFIGURACION!J:J,0)),""))
</f>
        <v/>
      </c>
      <c r="C558" s="6"/>
      <c r="D558" s="25"/>
      <c r="E558" s="28"/>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 r="A559" s="6" t="str">
        <f t="array" ref="A559">IF(I559="","",IFERROR(INDEX(CONFIGURACION!H:H,MATCH(I559,CONFIGURACION!J:J,0)),""))
</f>
        <v/>
      </c>
      <c r="B559" s="6" t="str">
        <f t="array" ref="B559">IF(I559="","",IFERROR(INDEX(CONFIGURACION!I:I,MATCH(I559,CONFIGURACION!J:J,0)),""))
</f>
        <v/>
      </c>
      <c r="C559" s="6"/>
      <c r="D559" s="25"/>
      <c r="E559" s="28"/>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 r="A560" s="6" t="str">
        <f t="array" ref="A560">IF(I560="","",IFERROR(INDEX(CONFIGURACION!H:H,MATCH(I560,CONFIGURACION!J:J,0)),""))
</f>
        <v/>
      </c>
      <c r="B560" s="6" t="str">
        <f t="array" ref="B560">IF(I560="","",IFERROR(INDEX(CONFIGURACION!I:I,MATCH(I560,CONFIGURACION!J:J,0)),""))
</f>
        <v/>
      </c>
      <c r="C560" s="6"/>
      <c r="D560" s="25"/>
      <c r="E560" s="28"/>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 r="A561" s="6" t="str">
        <f t="array" ref="A561">IF(I561="","",IFERROR(INDEX(CONFIGURACION!H:H,MATCH(I561,CONFIGURACION!J:J,0)),""))
</f>
        <v/>
      </c>
      <c r="B561" s="6" t="str">
        <f t="array" ref="B561">IF(I561="","",IFERROR(INDEX(CONFIGURACION!I:I,MATCH(I561,CONFIGURACION!J:J,0)),""))
</f>
        <v/>
      </c>
      <c r="C561" s="6"/>
      <c r="D561" s="25"/>
      <c r="E561" s="28"/>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 r="A562" s="6" t="str">
        <f t="array" ref="A562">IF(I562="","",IFERROR(INDEX(CONFIGURACION!H:H,MATCH(I562,CONFIGURACION!J:J,0)),""))
</f>
        <v/>
      </c>
      <c r="B562" s="6" t="str">
        <f t="array" ref="B562">IF(I562="","",IFERROR(INDEX(CONFIGURACION!I:I,MATCH(I562,CONFIGURACION!J:J,0)),""))
</f>
        <v/>
      </c>
      <c r="C562" s="6"/>
      <c r="D562" s="25"/>
      <c r="E562" s="28"/>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 r="A563" s="6" t="str">
        <f t="array" ref="A563">IF(I563="","",IFERROR(INDEX(CONFIGURACION!H:H,MATCH(I563,CONFIGURACION!J:J,0)),""))
</f>
        <v/>
      </c>
      <c r="B563" s="6" t="str">
        <f t="array" ref="B563">IF(I563="","",IFERROR(INDEX(CONFIGURACION!I:I,MATCH(I563,CONFIGURACION!J:J,0)),""))
</f>
        <v/>
      </c>
      <c r="C563" s="6"/>
      <c r="D563" s="25"/>
      <c r="E563" s="28"/>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 r="A564" s="6" t="str">
        <f t="array" ref="A564">IF(I564="","",IFERROR(INDEX(CONFIGURACION!H:H,MATCH(I564,CONFIGURACION!J:J,0)),""))
</f>
        <v/>
      </c>
      <c r="B564" s="6" t="str">
        <f t="array" ref="B564">IF(I564="","",IFERROR(INDEX(CONFIGURACION!I:I,MATCH(I564,CONFIGURACION!J:J,0)),""))
</f>
        <v/>
      </c>
      <c r="C564" s="6"/>
      <c r="D564" s="25"/>
      <c r="E564" s="28"/>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 r="A565" s="6" t="str">
        <f t="array" ref="A565">IF(I565="","",IFERROR(INDEX(CONFIGURACION!H:H,MATCH(I565,CONFIGURACION!J:J,0)),""))
</f>
        <v/>
      </c>
      <c r="B565" s="6" t="str">
        <f t="array" ref="B565">IF(I565="","",IFERROR(INDEX(CONFIGURACION!I:I,MATCH(I565,CONFIGURACION!J:J,0)),""))
</f>
        <v/>
      </c>
      <c r="C565" s="6"/>
      <c r="D565" s="25"/>
      <c r="E565" s="28"/>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 r="A566" s="6" t="str">
        <f t="array" ref="A566">IF(I566="","",IFERROR(INDEX(CONFIGURACION!H:H,MATCH(I566,CONFIGURACION!J:J,0)),""))
</f>
        <v/>
      </c>
      <c r="B566" s="6" t="str">
        <f t="array" ref="B566">IF(I566="","",IFERROR(INDEX(CONFIGURACION!I:I,MATCH(I566,CONFIGURACION!J:J,0)),""))
</f>
        <v/>
      </c>
      <c r="C566" s="6"/>
      <c r="D566" s="25"/>
      <c r="E566" s="28"/>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 r="A567" s="6" t="str">
        <f t="array" ref="A567">IF(I567="","",IFERROR(INDEX(CONFIGURACION!H:H,MATCH(I567,CONFIGURACION!J:J,0)),""))
</f>
        <v/>
      </c>
      <c r="B567" s="6" t="str">
        <f t="array" ref="B567">IF(I567="","",IFERROR(INDEX(CONFIGURACION!I:I,MATCH(I567,CONFIGURACION!J:J,0)),""))
</f>
        <v/>
      </c>
      <c r="C567" s="6"/>
      <c r="D567" s="25"/>
      <c r="E567" s="28"/>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 r="A568" s="6" t="str">
        <f t="array" ref="A568">IF(I568="","",IFERROR(INDEX(CONFIGURACION!H:H,MATCH(I568,CONFIGURACION!J:J,0)),""))
</f>
        <v/>
      </c>
      <c r="B568" s="6" t="str">
        <f t="array" ref="B568">IF(I568="","",IFERROR(INDEX(CONFIGURACION!I:I,MATCH(I568,CONFIGURACION!J:J,0)),""))
</f>
        <v/>
      </c>
      <c r="C568" s="6"/>
      <c r="D568" s="25"/>
      <c r="E568" s="28"/>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 r="A569" s="6" t="str">
        <f t="array" ref="A569">IF(I569="","",IFERROR(INDEX(CONFIGURACION!H:H,MATCH(I569,CONFIGURACION!J:J,0)),""))
</f>
        <v/>
      </c>
      <c r="B569" s="6" t="str">
        <f t="array" ref="B569">IF(I569="","",IFERROR(INDEX(CONFIGURACION!I:I,MATCH(I569,CONFIGURACION!J:J,0)),""))
</f>
        <v/>
      </c>
      <c r="C569" s="6"/>
      <c r="D569" s="25"/>
      <c r="E569" s="28"/>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 r="A570" s="6" t="str">
        <f t="array" ref="A570">IF(I570="","",IFERROR(INDEX(CONFIGURACION!H:H,MATCH(I570,CONFIGURACION!J:J,0)),""))
</f>
        <v/>
      </c>
      <c r="B570" s="6" t="str">
        <f t="array" ref="B570">IF(I570="","",IFERROR(INDEX(CONFIGURACION!I:I,MATCH(I570,CONFIGURACION!J:J,0)),""))
</f>
        <v/>
      </c>
      <c r="C570" s="6"/>
      <c r="D570" s="25"/>
      <c r="E570" s="28"/>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 r="A571" s="6" t="str">
        <f t="array" ref="A571">IF(I571="","",IFERROR(INDEX(CONFIGURACION!H:H,MATCH(I571,CONFIGURACION!J:J,0)),""))
</f>
        <v/>
      </c>
      <c r="B571" s="6" t="str">
        <f t="array" ref="B571">IF(I571="","",IFERROR(INDEX(CONFIGURACION!I:I,MATCH(I571,CONFIGURACION!J:J,0)),""))
</f>
        <v/>
      </c>
      <c r="C571" s="6"/>
      <c r="D571" s="25"/>
      <c r="E571" s="28"/>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 r="A572" s="6" t="str">
        <f t="array" ref="A572">IF(I572="","",IFERROR(INDEX(CONFIGURACION!H:H,MATCH(I572,CONFIGURACION!J:J,0)),""))
</f>
        <v/>
      </c>
      <c r="B572" s="6" t="str">
        <f t="array" ref="B572">IF(I572="","",IFERROR(INDEX(CONFIGURACION!I:I,MATCH(I572,CONFIGURACION!J:J,0)),""))
</f>
        <v/>
      </c>
      <c r="C572" s="6"/>
      <c r="D572" s="25"/>
      <c r="E572" s="28"/>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 r="A573" s="6" t="str">
        <f t="array" ref="A573">IF(I573="","",IFERROR(INDEX(CONFIGURACION!H:H,MATCH(I573,CONFIGURACION!J:J,0)),""))
</f>
        <v/>
      </c>
      <c r="B573" s="6" t="str">
        <f t="array" ref="B573">IF(I573="","",IFERROR(INDEX(CONFIGURACION!I:I,MATCH(I573,CONFIGURACION!J:J,0)),""))
</f>
        <v/>
      </c>
      <c r="C573" s="6"/>
      <c r="D573" s="25"/>
      <c r="E573" s="28"/>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 r="A574" s="6" t="str">
        <f t="array" ref="A574">IF(I574="","",IFERROR(INDEX(CONFIGURACION!H:H,MATCH(I574,CONFIGURACION!J:J,0)),""))
</f>
        <v/>
      </c>
      <c r="B574" s="6" t="str">
        <f t="array" ref="B574">IF(I574="","",IFERROR(INDEX(CONFIGURACION!I:I,MATCH(I574,CONFIGURACION!J:J,0)),""))
</f>
        <v/>
      </c>
      <c r="C574" s="6"/>
      <c r="D574" s="25"/>
      <c r="E574" s="28"/>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 r="A575" s="6" t="str">
        <f t="array" ref="A575">IF(I575="","",IFERROR(INDEX(CONFIGURACION!H:H,MATCH(I575,CONFIGURACION!J:J,0)),""))
</f>
        <v/>
      </c>
      <c r="B575" s="6" t="str">
        <f t="array" ref="B575">IF(I575="","",IFERROR(INDEX(CONFIGURACION!I:I,MATCH(I575,CONFIGURACION!J:J,0)),""))
</f>
        <v/>
      </c>
      <c r="C575" s="6"/>
      <c r="D575" s="25"/>
      <c r="E575" s="28"/>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 r="A576" s="6" t="str">
        <f t="array" ref="A576">IF(I576="","",IFERROR(INDEX(CONFIGURACION!H:H,MATCH(I576,CONFIGURACION!J:J,0)),""))
</f>
        <v/>
      </c>
      <c r="B576" s="6" t="str">
        <f t="array" ref="B576">IF(I576="","",IFERROR(INDEX(CONFIGURACION!I:I,MATCH(I576,CONFIGURACION!J:J,0)),""))
</f>
        <v/>
      </c>
      <c r="C576" s="6"/>
      <c r="D576" s="25"/>
      <c r="E576" s="28"/>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 r="A577" s="6" t="str">
        <f t="array" ref="A577">IF(I577="","",IFERROR(INDEX(CONFIGURACION!H:H,MATCH(I577,CONFIGURACION!J:J,0)),""))
</f>
        <v/>
      </c>
      <c r="B577" s="6" t="str">
        <f t="array" ref="B577">IF(I577="","",IFERROR(INDEX(CONFIGURACION!I:I,MATCH(I577,CONFIGURACION!J:J,0)),""))
</f>
        <v/>
      </c>
      <c r="C577" s="6"/>
      <c r="D577" s="25"/>
      <c r="E577" s="28"/>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 r="A578" s="6" t="str">
        <f t="array" ref="A578">IF(I578="","",IFERROR(INDEX(CONFIGURACION!H:H,MATCH(I578,CONFIGURACION!J:J,0)),""))
</f>
        <v/>
      </c>
      <c r="B578" s="6" t="str">
        <f t="array" ref="B578">IF(I578="","",IFERROR(INDEX(CONFIGURACION!I:I,MATCH(I578,CONFIGURACION!J:J,0)),""))
</f>
        <v/>
      </c>
      <c r="C578" s="6"/>
      <c r="D578" s="25"/>
      <c r="E578" s="28"/>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 r="A579" s="6" t="str">
        <f t="array" ref="A579">IF(I579="","",IFERROR(INDEX(CONFIGURACION!H:H,MATCH(I579,CONFIGURACION!J:J,0)),""))
</f>
        <v/>
      </c>
      <c r="B579" s="6" t="str">
        <f t="array" ref="B579">IF(I579="","",IFERROR(INDEX(CONFIGURACION!I:I,MATCH(I579,CONFIGURACION!J:J,0)),""))
</f>
        <v/>
      </c>
      <c r="C579" s="6"/>
      <c r="D579" s="25"/>
      <c r="E579" s="28"/>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 r="A580" s="6" t="str">
        <f t="array" ref="A580">IF(I580="","",IFERROR(INDEX(CONFIGURACION!H:H,MATCH(I580,CONFIGURACION!J:J,0)),""))
</f>
        <v/>
      </c>
      <c r="B580" s="6" t="str">
        <f t="array" ref="B580">IF(I580="","",IFERROR(INDEX(CONFIGURACION!I:I,MATCH(I580,CONFIGURACION!J:J,0)),""))
</f>
        <v/>
      </c>
      <c r="C580" s="6"/>
      <c r="D580" s="25"/>
      <c r="E580" s="28"/>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 r="A581" s="6" t="str">
        <f t="array" ref="A581">IF(I581="","",IFERROR(INDEX(CONFIGURACION!H:H,MATCH(I581,CONFIGURACION!J:J,0)),""))
</f>
        <v/>
      </c>
      <c r="B581" s="6" t="str">
        <f t="array" ref="B581">IF(I581="","",IFERROR(INDEX(CONFIGURACION!I:I,MATCH(I581,CONFIGURACION!J:J,0)),""))
</f>
        <v/>
      </c>
      <c r="C581" s="6"/>
      <c r="D581" s="25"/>
      <c r="E581" s="28"/>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 r="A582" s="6" t="str">
        <f t="array" ref="A582">IF(I582="","",IFERROR(INDEX(CONFIGURACION!H:H,MATCH(I582,CONFIGURACION!J:J,0)),""))
</f>
        <v/>
      </c>
      <c r="B582" s="6" t="str">
        <f t="array" ref="B582">IF(I582="","",IFERROR(INDEX(CONFIGURACION!I:I,MATCH(I582,CONFIGURACION!J:J,0)),""))
</f>
        <v/>
      </c>
      <c r="C582" s="6"/>
      <c r="D582" s="25"/>
      <c r="E582" s="28"/>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 r="A583" s="6" t="str">
        <f t="array" ref="A583">IF(I583="","",IFERROR(INDEX(CONFIGURACION!H:H,MATCH(I583,CONFIGURACION!J:J,0)),""))
</f>
        <v/>
      </c>
      <c r="B583" s="6" t="str">
        <f t="array" ref="B583">IF(I583="","",IFERROR(INDEX(CONFIGURACION!I:I,MATCH(I583,CONFIGURACION!J:J,0)),""))
</f>
        <v/>
      </c>
      <c r="C583" s="6"/>
      <c r="D583" s="25"/>
      <c r="E583" s="28"/>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 r="A584" s="6" t="str">
        <f t="array" ref="A584">IF(I584="","",IFERROR(INDEX(CONFIGURACION!H:H,MATCH(I584,CONFIGURACION!J:J,0)),""))
</f>
        <v/>
      </c>
      <c r="B584" s="6" t="str">
        <f t="array" ref="B584">IF(I584="","",IFERROR(INDEX(CONFIGURACION!I:I,MATCH(I584,CONFIGURACION!J:J,0)),""))
</f>
        <v/>
      </c>
      <c r="C584" s="6"/>
      <c r="D584" s="25"/>
      <c r="E584" s="28"/>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 r="A585" s="6" t="str">
        <f t="array" ref="A585">IF(I585="","",IFERROR(INDEX(CONFIGURACION!H:H,MATCH(I585,CONFIGURACION!J:J,0)),""))
</f>
        <v/>
      </c>
      <c r="B585" s="6" t="str">
        <f t="array" ref="B585">IF(I585="","",IFERROR(INDEX(CONFIGURACION!I:I,MATCH(I585,CONFIGURACION!J:J,0)),""))
</f>
        <v/>
      </c>
      <c r="C585" s="6"/>
      <c r="D585" s="25"/>
      <c r="E585" s="28"/>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 r="A586" s="6" t="str">
        <f t="array" ref="A586">IF(I586="","",IFERROR(INDEX(CONFIGURACION!H:H,MATCH(I586,CONFIGURACION!J:J,0)),""))
</f>
        <v/>
      </c>
      <c r="B586" s="6" t="str">
        <f t="array" ref="B586">IF(I586="","",IFERROR(INDEX(CONFIGURACION!I:I,MATCH(I586,CONFIGURACION!J:J,0)),""))
</f>
        <v/>
      </c>
      <c r="C586" s="6"/>
      <c r="D586" s="25"/>
      <c r="E586" s="28"/>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 r="A587" s="6" t="str">
        <f t="array" ref="A587">IF(I587="","",IFERROR(INDEX(CONFIGURACION!H:H,MATCH(I587,CONFIGURACION!J:J,0)),""))
</f>
        <v/>
      </c>
      <c r="B587" s="6" t="str">
        <f t="array" ref="B587">IF(I587="","",IFERROR(INDEX(CONFIGURACION!I:I,MATCH(I587,CONFIGURACION!J:J,0)),""))
</f>
        <v/>
      </c>
      <c r="C587" s="6"/>
      <c r="D587" s="25"/>
      <c r="E587" s="28"/>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 r="A588" s="6" t="str">
        <f t="array" ref="A588">IF(I588="","",IFERROR(INDEX(CONFIGURACION!H:H,MATCH(I588,CONFIGURACION!J:J,0)),""))
</f>
        <v/>
      </c>
      <c r="B588" s="6" t="str">
        <f t="array" ref="B588">IF(I588="","",IFERROR(INDEX(CONFIGURACION!I:I,MATCH(I588,CONFIGURACION!J:J,0)),""))
</f>
        <v/>
      </c>
      <c r="C588" s="6"/>
      <c r="D588" s="25"/>
      <c r="E588" s="28"/>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 r="A589" s="6" t="str">
        <f t="array" ref="A589">IF(I589="","",IFERROR(INDEX(CONFIGURACION!H:H,MATCH(I589,CONFIGURACION!J:J,0)),""))
</f>
        <v/>
      </c>
      <c r="B589" s="6" t="str">
        <f t="array" ref="B589">IF(I589="","",IFERROR(INDEX(CONFIGURACION!I:I,MATCH(I589,CONFIGURACION!J:J,0)),""))
</f>
        <v/>
      </c>
      <c r="C589" s="6"/>
      <c r="D589" s="25"/>
      <c r="E589" s="28"/>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 r="A590" s="6" t="str">
        <f t="array" ref="A590">IF(I590="","",IFERROR(INDEX(CONFIGURACION!H:H,MATCH(I590,CONFIGURACION!J:J,0)),""))
</f>
        <v/>
      </c>
      <c r="B590" s="6" t="str">
        <f t="array" ref="B590">IF(I590="","",IFERROR(INDEX(CONFIGURACION!I:I,MATCH(I590,CONFIGURACION!J:J,0)),""))
</f>
        <v/>
      </c>
      <c r="C590" s="6"/>
      <c r="D590" s="25"/>
      <c r="E590" s="28"/>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 r="A591" s="6" t="str">
        <f t="array" ref="A591">IF(I591="","",IFERROR(INDEX(CONFIGURACION!H:H,MATCH(I591,CONFIGURACION!J:J,0)),""))
</f>
        <v/>
      </c>
      <c r="B591" s="6" t="str">
        <f t="array" ref="B591">IF(I591="","",IFERROR(INDEX(CONFIGURACION!I:I,MATCH(I591,CONFIGURACION!J:J,0)),""))
</f>
        <v/>
      </c>
      <c r="C591" s="6"/>
      <c r="D591" s="25"/>
      <c r="E591" s="28"/>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 r="A592" s="6" t="str">
        <f t="array" ref="A592">IF(I592="","",IFERROR(INDEX(CONFIGURACION!H:H,MATCH(I592,CONFIGURACION!J:J,0)),""))
</f>
        <v/>
      </c>
      <c r="B592" s="6" t="str">
        <f t="array" ref="B592">IF(I592="","",IFERROR(INDEX(CONFIGURACION!I:I,MATCH(I592,CONFIGURACION!J:J,0)),""))
</f>
        <v/>
      </c>
      <c r="C592" s="6"/>
      <c r="D592" s="25"/>
      <c r="E592" s="28"/>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 r="A593" s="6" t="str">
        <f t="array" ref="A593">IF(I593="","",IFERROR(INDEX(CONFIGURACION!H:H,MATCH(I593,CONFIGURACION!J:J,0)),""))
</f>
        <v/>
      </c>
      <c r="B593" s="6" t="str">
        <f t="array" ref="B593">IF(I593="","",IFERROR(INDEX(CONFIGURACION!I:I,MATCH(I593,CONFIGURACION!J:J,0)),""))
</f>
        <v/>
      </c>
      <c r="C593" s="6"/>
      <c r="D593" s="25"/>
      <c r="E593" s="28"/>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 r="A594" s="6" t="str">
        <f t="array" ref="A594">IF(I594="","",IFERROR(INDEX(CONFIGURACION!H:H,MATCH(I594,CONFIGURACION!J:J,0)),""))
</f>
        <v/>
      </c>
      <c r="B594" s="6" t="str">
        <f t="array" ref="B594">IF(I594="","",IFERROR(INDEX(CONFIGURACION!I:I,MATCH(I594,CONFIGURACION!J:J,0)),""))
</f>
        <v/>
      </c>
      <c r="C594" s="6"/>
      <c r="D594" s="25"/>
      <c r="E594" s="28"/>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 r="A595" s="6" t="str">
        <f t="array" ref="A595">IF(I595="","",IFERROR(INDEX(CONFIGURACION!H:H,MATCH(I595,CONFIGURACION!J:J,0)),""))
</f>
        <v/>
      </c>
      <c r="B595" s="6" t="str">
        <f t="array" ref="B595">IF(I595="","",IFERROR(INDEX(CONFIGURACION!I:I,MATCH(I595,CONFIGURACION!J:J,0)),""))
</f>
        <v/>
      </c>
      <c r="C595" s="6"/>
      <c r="D595" s="25"/>
      <c r="E595" s="28"/>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 r="A596" s="6" t="str">
        <f t="array" ref="A596">IF(I596="","",IFERROR(INDEX(CONFIGURACION!H:H,MATCH(I596,CONFIGURACION!J:J,0)),""))
</f>
        <v/>
      </c>
      <c r="B596" s="6" t="str">
        <f t="array" ref="B596">IF(I596="","",IFERROR(INDEX(CONFIGURACION!I:I,MATCH(I596,CONFIGURACION!J:J,0)),""))
</f>
        <v/>
      </c>
      <c r="C596" s="6"/>
      <c r="D596" s="25"/>
      <c r="E596" s="28"/>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 r="A597" s="6" t="str">
        <f t="array" ref="A597">IF(I597="","",IFERROR(INDEX(CONFIGURACION!H:H,MATCH(I597,CONFIGURACION!J:J,0)),""))
</f>
        <v/>
      </c>
      <c r="B597" s="6" t="str">
        <f t="array" ref="B597">IF(I597="","",IFERROR(INDEX(CONFIGURACION!I:I,MATCH(I597,CONFIGURACION!J:J,0)),""))
</f>
        <v/>
      </c>
      <c r="C597" s="6"/>
      <c r="D597" s="25"/>
      <c r="E597" s="28"/>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 r="A598" s="6" t="str">
        <f t="array" ref="A598">IF(I598="","",IFERROR(INDEX(CONFIGURACION!H:H,MATCH(I598,CONFIGURACION!J:J,0)),""))
</f>
        <v/>
      </c>
      <c r="B598" s="6" t="str">
        <f t="array" ref="B598">IF(I598="","",IFERROR(INDEX(CONFIGURACION!I:I,MATCH(I598,CONFIGURACION!J:J,0)),""))
</f>
        <v/>
      </c>
      <c r="C598" s="6"/>
      <c r="D598" s="25"/>
      <c r="E598" s="28"/>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 r="A599" s="6" t="str">
        <f t="array" ref="A599">IF(I599="","",IFERROR(INDEX(CONFIGURACION!H:H,MATCH(I599,CONFIGURACION!J:J,0)),""))
</f>
        <v/>
      </c>
      <c r="B599" s="6" t="str">
        <f t="array" ref="B599">IF(I599="","",IFERROR(INDEX(CONFIGURACION!I:I,MATCH(I599,CONFIGURACION!J:J,0)),""))
</f>
        <v/>
      </c>
      <c r="C599" s="6"/>
      <c r="D599" s="25"/>
      <c r="E599" s="28"/>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 r="A600" s="6" t="str">
        <f t="array" ref="A600">IF(I600="","",IFERROR(INDEX(CONFIGURACION!H:H,MATCH(I600,CONFIGURACION!J:J,0)),""))
</f>
        <v/>
      </c>
      <c r="B600" s="6" t="str">
        <f t="array" ref="B600">IF(I600="","",IFERROR(INDEX(CONFIGURACION!I:I,MATCH(I600,CONFIGURACION!J:J,0)),""))
</f>
        <v/>
      </c>
      <c r="C600" s="6"/>
      <c r="D600" s="25"/>
      <c r="E600" s="28"/>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 r="A601" s="6" t="str">
        <f t="array" ref="A601">IF(I601="","",IFERROR(INDEX(CONFIGURACION!H:H,MATCH(I601,CONFIGURACION!J:J,0)),""))
</f>
        <v/>
      </c>
      <c r="B601" s="6" t="str">
        <f t="array" ref="B601">IF(I601="","",IFERROR(INDEX(CONFIGURACION!I:I,MATCH(I601,CONFIGURACION!J:J,0)),""))
</f>
        <v/>
      </c>
      <c r="C601" s="6"/>
      <c r="D601" s="25"/>
      <c r="E601" s="28"/>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 r="A602" s="6" t="str">
        <f t="array" ref="A602">IF(I602="","",IFERROR(INDEX(CONFIGURACION!H:H,MATCH(I602,CONFIGURACION!J:J,0)),""))
</f>
        <v/>
      </c>
      <c r="B602" s="6" t="str">
        <f t="array" ref="B602">IF(I602="","",IFERROR(INDEX(CONFIGURACION!I:I,MATCH(I602,CONFIGURACION!J:J,0)),""))
</f>
        <v/>
      </c>
      <c r="C602" s="6"/>
      <c r="D602" s="25"/>
      <c r="E602" s="28"/>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 r="A603" s="6" t="str">
        <f t="array" ref="A603">IF(I603="","",IFERROR(INDEX(CONFIGURACION!H:H,MATCH(I603,CONFIGURACION!J:J,0)),""))
</f>
        <v/>
      </c>
      <c r="B603" s="6" t="str">
        <f t="array" ref="B603">IF(I603="","",IFERROR(INDEX(CONFIGURACION!I:I,MATCH(I603,CONFIGURACION!J:J,0)),""))
</f>
        <v/>
      </c>
      <c r="C603" s="6"/>
      <c r="D603" s="25"/>
      <c r="E603" s="28"/>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 r="A604" s="6" t="str">
        <f t="array" ref="A604">IF(I604="","",IFERROR(INDEX(CONFIGURACION!H:H,MATCH(I604,CONFIGURACION!J:J,0)),""))
</f>
        <v/>
      </c>
      <c r="B604" s="6" t="str">
        <f t="array" ref="B604">IF(I604="","",IFERROR(INDEX(CONFIGURACION!I:I,MATCH(I604,CONFIGURACION!J:J,0)),""))
</f>
        <v/>
      </c>
      <c r="C604" s="6"/>
      <c r="D604" s="25"/>
      <c r="E604" s="28"/>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 r="A605" s="6" t="str">
        <f t="array" ref="A605">IF(I605="","",IFERROR(INDEX(CONFIGURACION!H:H,MATCH(I605,CONFIGURACION!J:J,0)),""))
</f>
        <v/>
      </c>
      <c r="B605" s="6" t="str">
        <f t="array" ref="B605">IF(I605="","",IFERROR(INDEX(CONFIGURACION!I:I,MATCH(I605,CONFIGURACION!J:J,0)),""))
</f>
        <v/>
      </c>
      <c r="C605" s="6"/>
      <c r="D605" s="25"/>
      <c r="E605" s="28"/>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 r="A606" s="6" t="str">
        <f t="array" ref="A606">IF(I606="","",IFERROR(INDEX(CONFIGURACION!H:H,MATCH(I606,CONFIGURACION!J:J,0)),""))
</f>
        <v/>
      </c>
      <c r="B606" s="6" t="str">
        <f t="array" ref="B606">IF(I606="","",IFERROR(INDEX(CONFIGURACION!I:I,MATCH(I606,CONFIGURACION!J:J,0)),""))
</f>
        <v/>
      </c>
      <c r="C606" s="6"/>
      <c r="D606" s="25"/>
      <c r="E606" s="28"/>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 r="A607" s="6" t="str">
        <f t="array" ref="A607">IF(I607="","",IFERROR(INDEX(CONFIGURACION!H:H,MATCH(I607,CONFIGURACION!J:J,0)),""))
</f>
        <v/>
      </c>
      <c r="B607" s="6" t="str">
        <f t="array" ref="B607">IF(I607="","",IFERROR(INDEX(CONFIGURACION!I:I,MATCH(I607,CONFIGURACION!J:J,0)),""))
</f>
        <v/>
      </c>
      <c r="C607" s="6"/>
      <c r="D607" s="25"/>
      <c r="E607" s="28"/>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 r="A608" s="6" t="str">
        <f t="array" ref="A608">IF(I608="","",IFERROR(INDEX(CONFIGURACION!H:H,MATCH(I608,CONFIGURACION!J:J,0)),""))
</f>
        <v/>
      </c>
      <c r="B608" s="6" t="str">
        <f t="array" ref="B608">IF(I608="","",IFERROR(INDEX(CONFIGURACION!I:I,MATCH(I608,CONFIGURACION!J:J,0)),""))
</f>
        <v/>
      </c>
      <c r="C608" s="6"/>
      <c r="D608" s="25"/>
      <c r="E608" s="28"/>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 r="A609" s="6" t="str">
        <f t="array" ref="A609">IF(I609="","",IFERROR(INDEX(CONFIGURACION!H:H,MATCH(I609,CONFIGURACION!J:J,0)),""))
</f>
        <v/>
      </c>
      <c r="B609" s="6" t="str">
        <f t="array" ref="B609">IF(I609="","",IFERROR(INDEX(CONFIGURACION!I:I,MATCH(I609,CONFIGURACION!J:J,0)),""))
</f>
        <v/>
      </c>
      <c r="C609" s="6"/>
      <c r="D609" s="25"/>
      <c r="E609" s="28"/>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 r="A610" s="6" t="str">
        <f t="array" ref="A610">IF(I610="","",IFERROR(INDEX(CONFIGURACION!H:H,MATCH(I610,CONFIGURACION!J:J,0)),""))
</f>
        <v/>
      </c>
      <c r="B610" s="6" t="str">
        <f t="array" ref="B610">IF(I610="","",IFERROR(INDEX(CONFIGURACION!I:I,MATCH(I610,CONFIGURACION!J:J,0)),""))
</f>
        <v/>
      </c>
      <c r="C610" s="6"/>
      <c r="D610" s="25"/>
      <c r="E610" s="28"/>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 r="A611" s="6" t="str">
        <f t="array" ref="A611">IF(I611="","",IFERROR(INDEX(CONFIGURACION!H:H,MATCH(I611,CONFIGURACION!J:J,0)),""))
</f>
        <v/>
      </c>
      <c r="B611" s="6" t="str">
        <f t="array" ref="B611">IF(I611="","",IFERROR(INDEX(CONFIGURACION!I:I,MATCH(I611,CONFIGURACION!J:J,0)),""))
</f>
        <v/>
      </c>
      <c r="C611" s="6"/>
      <c r="D611" s="25"/>
      <c r="E611" s="28"/>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 r="A612" s="6" t="str">
        <f t="array" ref="A612">IF(I612="","",IFERROR(INDEX(CONFIGURACION!H:H,MATCH(I612,CONFIGURACION!J:J,0)),""))
</f>
        <v/>
      </c>
      <c r="B612" s="6" t="str">
        <f t="array" ref="B612">IF(I612="","",IFERROR(INDEX(CONFIGURACION!I:I,MATCH(I612,CONFIGURACION!J:J,0)),""))
</f>
        <v/>
      </c>
      <c r="C612" s="6"/>
      <c r="D612" s="25"/>
      <c r="E612" s="28"/>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 r="A613" s="6" t="str">
        <f t="array" ref="A613">IF(I613="","",IFERROR(INDEX(CONFIGURACION!H:H,MATCH(I613,CONFIGURACION!J:J,0)),""))
</f>
        <v/>
      </c>
      <c r="B613" s="6" t="str">
        <f t="array" ref="B613">IF(I613="","",IFERROR(INDEX(CONFIGURACION!I:I,MATCH(I613,CONFIGURACION!J:J,0)),""))
</f>
        <v/>
      </c>
      <c r="C613" s="6"/>
      <c r="D613" s="25"/>
      <c r="E613" s="28"/>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 r="A614" s="6" t="str">
        <f t="array" ref="A614">IF(I614="","",IFERROR(INDEX(CONFIGURACION!H:H,MATCH(I614,CONFIGURACION!J:J,0)),""))
</f>
        <v/>
      </c>
      <c r="B614" s="6" t="str">
        <f t="array" ref="B614">IF(I614="","",IFERROR(INDEX(CONFIGURACION!I:I,MATCH(I614,CONFIGURACION!J:J,0)),""))
</f>
        <v/>
      </c>
      <c r="C614" s="6"/>
      <c r="D614" s="25"/>
      <c r="E614" s="28"/>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 r="A615" s="6" t="str">
        <f t="array" ref="A615">IF(I615="","",IFERROR(INDEX(CONFIGURACION!H:H,MATCH(I615,CONFIGURACION!J:J,0)),""))
</f>
        <v/>
      </c>
      <c r="B615" s="6" t="str">
        <f t="array" ref="B615">IF(I615="","",IFERROR(INDEX(CONFIGURACION!I:I,MATCH(I615,CONFIGURACION!J:J,0)),""))
</f>
        <v/>
      </c>
      <c r="C615" s="6"/>
      <c r="D615" s="25"/>
      <c r="E615" s="28"/>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 r="A616" s="6" t="str">
        <f t="array" ref="A616">IF(I616="","",IFERROR(INDEX(CONFIGURACION!H:H,MATCH(I616,CONFIGURACION!J:J,0)),""))
</f>
        <v/>
      </c>
      <c r="B616" s="6" t="str">
        <f t="array" ref="B616">IF(I616="","",IFERROR(INDEX(CONFIGURACION!I:I,MATCH(I616,CONFIGURACION!J:J,0)),""))
</f>
        <v/>
      </c>
      <c r="C616" s="6"/>
      <c r="D616" s="25"/>
      <c r="E616" s="28"/>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 r="A617" s="6" t="str">
        <f t="array" ref="A617">IF(I617="","",IFERROR(INDEX(CONFIGURACION!H:H,MATCH(I617,CONFIGURACION!J:J,0)),""))
</f>
        <v/>
      </c>
      <c r="B617" s="6" t="str">
        <f t="array" ref="B617">IF(I617="","",IFERROR(INDEX(CONFIGURACION!I:I,MATCH(I617,CONFIGURACION!J:J,0)),""))
</f>
        <v/>
      </c>
      <c r="C617" s="6"/>
      <c r="D617" s="25"/>
      <c r="E617" s="28"/>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 r="A618" s="6" t="str">
        <f t="array" ref="A618">IF(I618="","",IFERROR(INDEX(CONFIGURACION!H:H,MATCH(I618,CONFIGURACION!J:J,0)),""))
</f>
        <v/>
      </c>
      <c r="B618" s="6" t="str">
        <f t="array" ref="B618">IF(I618="","",IFERROR(INDEX(CONFIGURACION!I:I,MATCH(I618,CONFIGURACION!J:J,0)),""))
</f>
        <v/>
      </c>
      <c r="C618" s="6"/>
      <c r="D618" s="25"/>
      <c r="E618" s="28"/>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 r="A619" s="6" t="str">
        <f t="array" ref="A619">IF(I619="","",IFERROR(INDEX(CONFIGURACION!H:H,MATCH(I619,CONFIGURACION!J:J,0)),""))
</f>
        <v/>
      </c>
      <c r="B619" s="6" t="str">
        <f t="array" ref="B619">IF(I619="","",IFERROR(INDEX(CONFIGURACION!I:I,MATCH(I619,CONFIGURACION!J:J,0)),""))
</f>
        <v/>
      </c>
      <c r="C619" s="6"/>
      <c r="D619" s="25"/>
      <c r="E619" s="28"/>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 r="A620" s="6" t="str">
        <f t="array" ref="A620">IF(I620="","",IFERROR(INDEX(CONFIGURACION!H:H,MATCH(I620,CONFIGURACION!J:J,0)),""))
</f>
        <v/>
      </c>
      <c r="B620" s="6" t="str">
        <f t="array" ref="B620">IF(I620="","",IFERROR(INDEX(CONFIGURACION!I:I,MATCH(I620,CONFIGURACION!J:J,0)),""))
</f>
        <v/>
      </c>
      <c r="C620" s="6"/>
      <c r="D620" s="25"/>
      <c r="E620" s="28"/>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 r="A621" s="6" t="str">
        <f t="array" ref="A621">IF(I621="","",IFERROR(INDEX(CONFIGURACION!H:H,MATCH(I621,CONFIGURACION!J:J,0)),""))
</f>
        <v/>
      </c>
      <c r="B621" s="6" t="str">
        <f t="array" ref="B621">IF(I621="","",IFERROR(INDEX(CONFIGURACION!I:I,MATCH(I621,CONFIGURACION!J:J,0)),""))
</f>
        <v/>
      </c>
      <c r="C621" s="6"/>
      <c r="D621" s="25"/>
      <c r="E621" s="28"/>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 r="A622" s="6" t="str">
        <f t="array" ref="A622">IF(I622="","",IFERROR(INDEX(CONFIGURACION!H:H,MATCH(I622,CONFIGURACION!J:J,0)),""))
</f>
        <v/>
      </c>
      <c r="B622" s="6" t="str">
        <f t="array" ref="B622">IF(I622="","",IFERROR(INDEX(CONFIGURACION!I:I,MATCH(I622,CONFIGURACION!J:J,0)),""))
</f>
        <v/>
      </c>
      <c r="C622" s="6"/>
      <c r="D622" s="25"/>
      <c r="E622" s="28"/>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 r="A623" s="6" t="str">
        <f t="array" ref="A623">IF(I623="","",IFERROR(INDEX(CONFIGURACION!H:H,MATCH(I623,CONFIGURACION!J:J,0)),""))
</f>
        <v/>
      </c>
      <c r="B623" s="6" t="str">
        <f t="array" ref="B623">IF(I623="","",IFERROR(INDEX(CONFIGURACION!I:I,MATCH(I623,CONFIGURACION!J:J,0)),""))
</f>
        <v/>
      </c>
      <c r="C623" s="6"/>
      <c r="D623" s="25"/>
      <c r="E623" s="28"/>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 r="A624" s="6" t="str">
        <f t="array" ref="A624">IF(I624="","",IFERROR(INDEX(CONFIGURACION!H:H,MATCH(I624,CONFIGURACION!J:J,0)),""))
</f>
        <v/>
      </c>
      <c r="B624" s="6" t="str">
        <f t="array" ref="B624">IF(I624="","",IFERROR(INDEX(CONFIGURACION!I:I,MATCH(I624,CONFIGURACION!J:J,0)),""))
</f>
        <v/>
      </c>
      <c r="C624" s="6"/>
      <c r="D624" s="25"/>
      <c r="E624" s="28"/>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 r="A625" s="6" t="str">
        <f t="array" ref="A625">IF(I625="","",IFERROR(INDEX(CONFIGURACION!H:H,MATCH(I625,CONFIGURACION!J:J,0)),""))
</f>
        <v/>
      </c>
      <c r="B625" s="6" t="str">
        <f t="array" ref="B625">IF(I625="","",IFERROR(INDEX(CONFIGURACION!I:I,MATCH(I625,CONFIGURACION!J:J,0)),""))
</f>
        <v/>
      </c>
      <c r="C625" s="6"/>
      <c r="D625" s="25"/>
      <c r="E625" s="28"/>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 r="A626" s="6" t="str">
        <f t="array" ref="A626">IF(I626="","",IFERROR(INDEX(CONFIGURACION!H:H,MATCH(I626,CONFIGURACION!J:J,0)),""))
</f>
        <v/>
      </c>
      <c r="B626" s="6" t="str">
        <f t="array" ref="B626">IF(I626="","",IFERROR(INDEX(CONFIGURACION!I:I,MATCH(I626,CONFIGURACION!J:J,0)),""))
</f>
        <v/>
      </c>
      <c r="C626" s="6"/>
      <c r="D626" s="25"/>
      <c r="E626" s="28"/>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 r="A627" s="6" t="str">
        <f t="array" ref="A627">IF(I627="","",IFERROR(INDEX(CONFIGURACION!H:H,MATCH(I627,CONFIGURACION!J:J,0)),""))
</f>
        <v/>
      </c>
      <c r="B627" s="6" t="str">
        <f t="array" ref="B627">IF(I627="","",IFERROR(INDEX(CONFIGURACION!I:I,MATCH(I627,CONFIGURACION!J:J,0)),""))
</f>
        <v/>
      </c>
      <c r="C627" s="6"/>
      <c r="D627" s="25"/>
      <c r="E627" s="28"/>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 r="A628" s="6" t="str">
        <f t="array" ref="A628">IF(I628="","",IFERROR(INDEX(CONFIGURACION!H:H,MATCH(I628,CONFIGURACION!J:J,0)),""))
</f>
        <v/>
      </c>
      <c r="B628" s="6" t="str">
        <f t="array" ref="B628">IF(I628="","",IFERROR(INDEX(CONFIGURACION!I:I,MATCH(I628,CONFIGURACION!J:J,0)),""))
</f>
        <v/>
      </c>
      <c r="C628" s="6"/>
      <c r="D628" s="25"/>
      <c r="E628" s="28"/>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 r="A629" s="6" t="str">
        <f t="array" ref="A629">IF(I629="","",IFERROR(INDEX(CONFIGURACION!H:H,MATCH(I629,CONFIGURACION!J:J,0)),""))
</f>
        <v/>
      </c>
      <c r="B629" s="6" t="str">
        <f t="array" ref="B629">IF(I629="","",IFERROR(INDEX(CONFIGURACION!I:I,MATCH(I629,CONFIGURACION!J:J,0)),""))
</f>
        <v/>
      </c>
      <c r="C629" s="6"/>
      <c r="D629" s="25"/>
      <c r="E629" s="28"/>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 r="A630" s="6" t="str">
        <f t="array" ref="A630">IF(I630="","",IFERROR(INDEX(CONFIGURACION!H:H,MATCH(I630,CONFIGURACION!J:J,0)),""))
</f>
        <v/>
      </c>
      <c r="B630" s="6" t="str">
        <f t="array" ref="B630">IF(I630="","",IFERROR(INDEX(CONFIGURACION!I:I,MATCH(I630,CONFIGURACION!J:J,0)),""))
</f>
        <v/>
      </c>
      <c r="C630" s="6"/>
      <c r="D630" s="25"/>
      <c r="E630" s="28"/>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 r="A631" s="6" t="str">
        <f t="array" ref="A631">IF(I631="","",IFERROR(INDEX(CONFIGURACION!H:H,MATCH(I631,CONFIGURACION!J:J,0)),""))
</f>
        <v/>
      </c>
      <c r="B631" s="6" t="str">
        <f t="array" ref="B631">IF(I631="","",IFERROR(INDEX(CONFIGURACION!I:I,MATCH(I631,CONFIGURACION!J:J,0)),""))
</f>
        <v/>
      </c>
      <c r="C631" s="6"/>
      <c r="D631" s="25"/>
      <c r="E631" s="28"/>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 r="A632" s="6" t="str">
        <f t="array" ref="A632">IF(I632="","",IFERROR(INDEX(CONFIGURACION!H:H,MATCH(I632,CONFIGURACION!J:J,0)),""))
</f>
        <v/>
      </c>
      <c r="B632" s="6" t="str">
        <f t="array" ref="B632">IF(I632="","",IFERROR(INDEX(CONFIGURACION!I:I,MATCH(I632,CONFIGURACION!J:J,0)),""))
</f>
        <v/>
      </c>
      <c r="C632" s="6"/>
      <c r="D632" s="25"/>
      <c r="E632" s="28"/>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 r="A633" s="6" t="str">
        <f t="array" ref="A633">IF(I633="","",IFERROR(INDEX(CONFIGURACION!H:H,MATCH(I633,CONFIGURACION!J:J,0)),""))
</f>
        <v/>
      </c>
      <c r="B633" s="6" t="str">
        <f t="array" ref="B633">IF(I633="","",IFERROR(INDEX(CONFIGURACION!I:I,MATCH(I633,CONFIGURACION!J:J,0)),""))
</f>
        <v/>
      </c>
      <c r="C633" s="6"/>
      <c r="D633" s="25"/>
      <c r="E633" s="28"/>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 r="A634" s="6" t="str">
        <f t="array" ref="A634">IF(I634="","",IFERROR(INDEX(CONFIGURACION!H:H,MATCH(I634,CONFIGURACION!J:J,0)),""))
</f>
        <v/>
      </c>
      <c r="B634" s="6" t="str">
        <f t="array" ref="B634">IF(I634="","",IFERROR(INDEX(CONFIGURACION!I:I,MATCH(I634,CONFIGURACION!J:J,0)),""))
</f>
        <v/>
      </c>
      <c r="C634" s="6"/>
      <c r="D634" s="25"/>
      <c r="E634" s="28"/>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 r="A635" s="6" t="str">
        <f t="array" ref="A635">IF(I635="","",IFERROR(INDEX(CONFIGURACION!H:H,MATCH(I635,CONFIGURACION!J:J,0)),""))
</f>
        <v/>
      </c>
      <c r="B635" s="6" t="str">
        <f t="array" ref="B635">IF(I635="","",IFERROR(INDEX(CONFIGURACION!I:I,MATCH(I635,CONFIGURACION!J:J,0)),""))
</f>
        <v/>
      </c>
      <c r="C635" s="6"/>
      <c r="D635" s="25"/>
      <c r="E635" s="28"/>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 r="A636" s="6" t="str">
        <f t="array" ref="A636">IF(I636="","",IFERROR(INDEX(CONFIGURACION!H:H,MATCH(I636,CONFIGURACION!J:J,0)),""))
</f>
        <v/>
      </c>
      <c r="B636" s="6" t="str">
        <f t="array" ref="B636">IF(I636="","",IFERROR(INDEX(CONFIGURACION!I:I,MATCH(I636,CONFIGURACION!J:J,0)),""))
</f>
        <v/>
      </c>
      <c r="C636" s="6"/>
      <c r="D636" s="25"/>
      <c r="E636" s="28"/>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 r="A637" s="6" t="str">
        <f t="array" ref="A637">IF(I637="","",IFERROR(INDEX(CONFIGURACION!H:H,MATCH(I637,CONFIGURACION!J:J,0)),""))
</f>
        <v/>
      </c>
      <c r="B637" s="6" t="str">
        <f t="array" ref="B637">IF(I637="","",IFERROR(INDEX(CONFIGURACION!I:I,MATCH(I637,CONFIGURACION!J:J,0)),""))
</f>
        <v/>
      </c>
      <c r="C637" s="6"/>
      <c r="D637" s="25"/>
      <c r="E637" s="28"/>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 r="A638" s="6" t="str">
        <f t="array" ref="A638">IF(I638="","",IFERROR(INDEX(CONFIGURACION!H:H,MATCH(I638,CONFIGURACION!J:J,0)),""))
</f>
        <v/>
      </c>
      <c r="B638" s="6" t="str">
        <f t="array" ref="B638">IF(I638="","",IFERROR(INDEX(CONFIGURACION!I:I,MATCH(I638,CONFIGURACION!J:J,0)),""))
</f>
        <v/>
      </c>
      <c r="C638" s="6"/>
      <c r="D638" s="25"/>
      <c r="E638" s="28"/>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 r="A639" s="6" t="str">
        <f t="array" ref="A639">IF(I639="","",IFERROR(INDEX(CONFIGURACION!H:H,MATCH(I639,CONFIGURACION!J:J,0)),""))
</f>
        <v/>
      </c>
      <c r="B639" s="6" t="str">
        <f t="array" ref="B639">IF(I639="","",IFERROR(INDEX(CONFIGURACION!I:I,MATCH(I639,CONFIGURACION!J:J,0)),""))
</f>
        <v/>
      </c>
      <c r="C639" s="6"/>
      <c r="D639" s="25"/>
      <c r="E639" s="28"/>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 r="A640" s="6" t="str">
        <f t="array" ref="A640">IF(I640="","",IFERROR(INDEX(CONFIGURACION!H:H,MATCH(I640,CONFIGURACION!J:J,0)),""))
</f>
        <v/>
      </c>
      <c r="B640" s="6" t="str">
        <f t="array" ref="B640">IF(I640="","",IFERROR(INDEX(CONFIGURACION!I:I,MATCH(I640,CONFIGURACION!J:J,0)),""))
</f>
        <v/>
      </c>
      <c r="C640" s="6"/>
      <c r="D640" s="25"/>
      <c r="E640" s="28"/>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 r="A641" s="6" t="str">
        <f t="array" ref="A641">IF(I641="","",IFERROR(INDEX(CONFIGURACION!H:H,MATCH(I641,CONFIGURACION!J:J,0)),""))
</f>
        <v/>
      </c>
      <c r="B641" s="6" t="str">
        <f t="array" ref="B641">IF(I641="","",IFERROR(INDEX(CONFIGURACION!I:I,MATCH(I641,CONFIGURACION!J:J,0)),""))
</f>
        <v/>
      </c>
      <c r="C641" s="6"/>
      <c r="D641" s="25"/>
      <c r="E641" s="28"/>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 r="A642" s="6" t="str">
        <f t="array" ref="A642">IF(I642="","",IFERROR(INDEX(CONFIGURACION!H:H,MATCH(I642,CONFIGURACION!J:J,0)),""))
</f>
        <v/>
      </c>
      <c r="B642" s="6" t="str">
        <f t="array" ref="B642">IF(I642="","",IFERROR(INDEX(CONFIGURACION!I:I,MATCH(I642,CONFIGURACION!J:J,0)),""))
</f>
        <v/>
      </c>
      <c r="C642" s="6"/>
      <c r="D642" s="25"/>
      <c r="E642" s="28"/>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 r="A643" s="6" t="str">
        <f t="array" ref="A643">IF(I643="","",IFERROR(INDEX(CONFIGURACION!H:H,MATCH(I643,CONFIGURACION!J:J,0)),""))
</f>
        <v/>
      </c>
      <c r="B643" s="6" t="str">
        <f t="array" ref="B643">IF(I643="","",IFERROR(INDEX(CONFIGURACION!I:I,MATCH(I643,CONFIGURACION!J:J,0)),""))
</f>
        <v/>
      </c>
      <c r="C643" s="6"/>
      <c r="D643" s="25"/>
      <c r="E643" s="28"/>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 r="A644" s="6" t="str">
        <f t="array" ref="A644">IF(I644="","",IFERROR(INDEX(CONFIGURACION!H:H,MATCH(I644,CONFIGURACION!J:J,0)),""))
</f>
        <v/>
      </c>
      <c r="B644" s="6" t="str">
        <f t="array" ref="B644">IF(I644="","",IFERROR(INDEX(CONFIGURACION!I:I,MATCH(I644,CONFIGURACION!J:J,0)),""))
</f>
        <v/>
      </c>
      <c r="C644" s="6"/>
      <c r="D644" s="25"/>
      <c r="E644" s="28"/>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 r="A645" s="6" t="str">
        <f t="array" ref="A645">IF(I645="","",IFERROR(INDEX(CONFIGURACION!H:H,MATCH(I645,CONFIGURACION!J:J,0)),""))
</f>
        <v/>
      </c>
      <c r="B645" s="6" t="str">
        <f t="array" ref="B645">IF(I645="","",IFERROR(INDEX(CONFIGURACION!I:I,MATCH(I645,CONFIGURACION!J:J,0)),""))
</f>
        <v/>
      </c>
      <c r="C645" s="6"/>
      <c r="D645" s="25"/>
      <c r="E645" s="28"/>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 r="A646" s="6" t="str">
        <f t="array" ref="A646">IF(I646="","",IFERROR(INDEX(CONFIGURACION!H:H,MATCH(I646,CONFIGURACION!J:J,0)),""))
</f>
        <v/>
      </c>
      <c r="B646" s="6" t="str">
        <f t="array" ref="B646">IF(I646="","",IFERROR(INDEX(CONFIGURACION!I:I,MATCH(I646,CONFIGURACION!J:J,0)),""))
</f>
        <v/>
      </c>
      <c r="C646" s="6"/>
      <c r="D646" s="25"/>
      <c r="E646" s="28"/>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 r="A647" s="6" t="str">
        <f t="array" ref="A647">IF(I647="","",IFERROR(INDEX(CONFIGURACION!H:H,MATCH(I647,CONFIGURACION!J:J,0)),""))
</f>
        <v/>
      </c>
      <c r="B647" s="6" t="str">
        <f t="array" ref="B647">IF(I647="","",IFERROR(INDEX(CONFIGURACION!I:I,MATCH(I647,CONFIGURACION!J:J,0)),""))
</f>
        <v/>
      </c>
      <c r="C647" s="6"/>
      <c r="D647" s="25"/>
      <c r="E647" s="28"/>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 r="A648" s="6" t="str">
        <f t="array" ref="A648">IF(I648="","",IFERROR(INDEX(CONFIGURACION!H:H,MATCH(I648,CONFIGURACION!J:J,0)),""))
</f>
        <v/>
      </c>
      <c r="B648" s="6" t="str">
        <f t="array" ref="B648">IF(I648="","",IFERROR(INDEX(CONFIGURACION!I:I,MATCH(I648,CONFIGURACION!J:J,0)),""))
</f>
        <v/>
      </c>
      <c r="C648" s="6"/>
      <c r="D648" s="25"/>
      <c r="E648" s="28"/>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 r="A649" s="6" t="str">
        <f t="array" ref="A649">IF(I649="","",IFERROR(INDEX(CONFIGURACION!H:H,MATCH(I649,CONFIGURACION!J:J,0)),""))
</f>
        <v/>
      </c>
      <c r="B649" s="6" t="str">
        <f t="array" ref="B649">IF(I649="","",IFERROR(INDEX(CONFIGURACION!I:I,MATCH(I649,CONFIGURACION!J:J,0)),""))
</f>
        <v/>
      </c>
      <c r="C649" s="6"/>
      <c r="D649" s="25"/>
      <c r="E649" s="28"/>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 r="A650" s="6" t="str">
        <f t="array" ref="A650">IF(I650="","",IFERROR(INDEX(CONFIGURACION!H:H,MATCH(I650,CONFIGURACION!J:J,0)),""))
</f>
        <v/>
      </c>
      <c r="B650" s="6" t="str">
        <f t="array" ref="B650">IF(I650="","",IFERROR(INDEX(CONFIGURACION!I:I,MATCH(I650,CONFIGURACION!J:J,0)),""))
</f>
        <v/>
      </c>
      <c r="C650" s="6"/>
      <c r="D650" s="25"/>
      <c r="E650" s="28"/>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 r="A651" s="6" t="str">
        <f t="array" ref="A651">IF(I651="","",IFERROR(INDEX(CONFIGURACION!H:H,MATCH(I651,CONFIGURACION!J:J,0)),""))
</f>
        <v/>
      </c>
      <c r="B651" s="6" t="str">
        <f t="array" ref="B651">IF(I651="","",IFERROR(INDEX(CONFIGURACION!I:I,MATCH(I651,CONFIGURACION!J:J,0)),""))
</f>
        <v/>
      </c>
      <c r="C651" s="6"/>
      <c r="D651" s="25"/>
      <c r="E651" s="28"/>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 r="A652" s="6" t="str">
        <f t="array" ref="A652">IF(I652="","",IFERROR(INDEX(CONFIGURACION!H:H,MATCH(I652,CONFIGURACION!J:J,0)),""))
</f>
        <v/>
      </c>
      <c r="B652" s="6" t="str">
        <f t="array" ref="B652">IF(I652="","",IFERROR(INDEX(CONFIGURACION!I:I,MATCH(I652,CONFIGURACION!J:J,0)),""))
</f>
        <v/>
      </c>
      <c r="C652" s="6"/>
      <c r="D652" s="25"/>
      <c r="E652" s="28"/>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 r="A653" s="6" t="str">
        <f t="array" ref="A653">IF(I653="","",IFERROR(INDEX(CONFIGURACION!H:H,MATCH(I653,CONFIGURACION!J:J,0)),""))
</f>
        <v/>
      </c>
      <c r="B653" s="6" t="str">
        <f t="array" ref="B653">IF(I653="","",IFERROR(INDEX(CONFIGURACION!I:I,MATCH(I653,CONFIGURACION!J:J,0)),""))
</f>
        <v/>
      </c>
      <c r="C653" s="6"/>
      <c r="D653" s="25"/>
      <c r="E653" s="28"/>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 r="A654" s="6" t="str">
        <f t="array" ref="A654">IF(I654="","",IFERROR(INDEX(CONFIGURACION!H:H,MATCH(I654,CONFIGURACION!J:J,0)),""))
</f>
        <v/>
      </c>
      <c r="B654" s="6" t="str">
        <f t="array" ref="B654">IF(I654="","",IFERROR(INDEX(CONFIGURACION!I:I,MATCH(I654,CONFIGURACION!J:J,0)),""))
</f>
        <v/>
      </c>
      <c r="C654" s="6"/>
      <c r="D654" s="25"/>
      <c r="E654" s="28"/>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 r="A655" s="6" t="str">
        <f t="array" ref="A655">IF(I655="","",IFERROR(INDEX(CONFIGURACION!H:H,MATCH(I655,CONFIGURACION!J:J,0)),""))
</f>
        <v/>
      </c>
      <c r="B655" s="6" t="str">
        <f t="array" ref="B655">IF(I655="","",IFERROR(INDEX(CONFIGURACION!I:I,MATCH(I655,CONFIGURACION!J:J,0)),""))
</f>
        <v/>
      </c>
      <c r="C655" s="6"/>
      <c r="D655" s="25"/>
      <c r="E655" s="28"/>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 r="A656" s="6" t="str">
        <f t="array" ref="A656">IF(I656="","",IFERROR(INDEX(CONFIGURACION!H:H,MATCH(I656,CONFIGURACION!J:J,0)),""))
</f>
        <v/>
      </c>
      <c r="B656" s="6" t="str">
        <f t="array" ref="B656">IF(I656="","",IFERROR(INDEX(CONFIGURACION!I:I,MATCH(I656,CONFIGURACION!J:J,0)),""))
</f>
        <v/>
      </c>
      <c r="C656" s="6"/>
      <c r="D656" s="25"/>
      <c r="E656" s="28"/>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 r="A657" s="6" t="str">
        <f t="array" ref="A657">IF(I657="","",IFERROR(INDEX(CONFIGURACION!H:H,MATCH(I657,CONFIGURACION!J:J,0)),""))
</f>
        <v/>
      </c>
      <c r="B657" s="6" t="str">
        <f t="array" ref="B657">IF(I657="","",IFERROR(INDEX(CONFIGURACION!I:I,MATCH(I657,CONFIGURACION!J:J,0)),""))
</f>
        <v/>
      </c>
      <c r="C657" s="6"/>
      <c r="D657" s="25"/>
      <c r="E657" s="28"/>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 r="A658" s="6" t="str">
        <f t="array" ref="A658">IF(I658="","",IFERROR(INDEX(CONFIGURACION!H:H,MATCH(I658,CONFIGURACION!J:J,0)),""))
</f>
        <v/>
      </c>
      <c r="B658" s="6" t="str">
        <f t="array" ref="B658">IF(I658="","",IFERROR(INDEX(CONFIGURACION!I:I,MATCH(I658,CONFIGURACION!J:J,0)),""))
</f>
        <v/>
      </c>
      <c r="C658" s="6"/>
      <c r="D658" s="25"/>
      <c r="E658" s="28"/>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 r="A659" s="6" t="str">
        <f t="array" ref="A659">IF(I659="","",IFERROR(INDEX(CONFIGURACION!H:H,MATCH(I659,CONFIGURACION!J:J,0)),""))
</f>
        <v/>
      </c>
      <c r="B659" s="6" t="str">
        <f t="array" ref="B659">IF(I659="","",IFERROR(INDEX(CONFIGURACION!I:I,MATCH(I659,CONFIGURACION!J:J,0)),""))
</f>
        <v/>
      </c>
      <c r="C659" s="6"/>
      <c r="D659" s="25"/>
      <c r="E659" s="28"/>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 r="A660" s="6" t="str">
        <f t="array" ref="A660">IF(I660="","",IFERROR(INDEX(CONFIGURACION!H:H,MATCH(I660,CONFIGURACION!J:J,0)),""))
</f>
        <v/>
      </c>
      <c r="B660" s="6" t="str">
        <f t="array" ref="B660">IF(I660="","",IFERROR(INDEX(CONFIGURACION!I:I,MATCH(I660,CONFIGURACION!J:J,0)),""))
</f>
        <v/>
      </c>
      <c r="C660" s="6"/>
      <c r="D660" s="25"/>
      <c r="E660" s="28"/>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 r="A661" s="6" t="str">
        <f t="array" ref="A661">IF(I661="","",IFERROR(INDEX(CONFIGURACION!H:H,MATCH(I661,CONFIGURACION!J:J,0)),""))
</f>
        <v/>
      </c>
      <c r="B661" s="6" t="str">
        <f t="array" ref="B661">IF(I661="","",IFERROR(INDEX(CONFIGURACION!I:I,MATCH(I661,CONFIGURACION!J:J,0)),""))
</f>
        <v/>
      </c>
      <c r="C661" s="6"/>
      <c r="D661" s="25"/>
      <c r="E661" s="28"/>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 r="A662" s="6" t="str">
        <f t="array" ref="A662">IF(I662="","",IFERROR(INDEX(CONFIGURACION!H:H,MATCH(I662,CONFIGURACION!J:J,0)),""))
</f>
        <v/>
      </c>
      <c r="B662" s="6" t="str">
        <f t="array" ref="B662">IF(I662="","",IFERROR(INDEX(CONFIGURACION!I:I,MATCH(I662,CONFIGURACION!J:J,0)),""))
</f>
        <v/>
      </c>
      <c r="C662" s="6"/>
      <c r="D662" s="25"/>
      <c r="E662" s="28"/>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 r="A663" s="6" t="str">
        <f t="array" ref="A663">IF(I663="","",IFERROR(INDEX(CONFIGURACION!H:H,MATCH(I663,CONFIGURACION!J:J,0)),""))
</f>
        <v/>
      </c>
      <c r="B663" s="6" t="str">
        <f t="array" ref="B663">IF(I663="","",IFERROR(INDEX(CONFIGURACION!I:I,MATCH(I663,CONFIGURACION!J:J,0)),""))
</f>
        <v/>
      </c>
      <c r="C663" s="6"/>
      <c r="D663" s="25"/>
      <c r="E663" s="28"/>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 r="A664" s="6" t="str">
        <f t="array" ref="A664">IF(I664="","",IFERROR(INDEX(CONFIGURACION!H:H,MATCH(I664,CONFIGURACION!J:J,0)),""))
</f>
        <v/>
      </c>
      <c r="B664" s="6" t="str">
        <f t="array" ref="B664">IF(I664="","",IFERROR(INDEX(CONFIGURACION!I:I,MATCH(I664,CONFIGURACION!J:J,0)),""))
</f>
        <v/>
      </c>
      <c r="C664" s="6"/>
      <c r="D664" s="25"/>
      <c r="E664" s="28"/>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 r="A665" s="6" t="str">
        <f t="array" ref="A665">IF(I665="","",IFERROR(INDEX(CONFIGURACION!H:H,MATCH(I665,CONFIGURACION!J:J,0)),""))
</f>
        <v/>
      </c>
      <c r="B665" s="6" t="str">
        <f t="array" ref="B665">IF(I665="","",IFERROR(INDEX(CONFIGURACION!I:I,MATCH(I665,CONFIGURACION!J:J,0)),""))
</f>
        <v/>
      </c>
      <c r="C665" s="6"/>
      <c r="D665" s="25"/>
      <c r="E665" s="28"/>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 r="A666" s="6" t="str">
        <f t="array" ref="A666">IF(I666="","",IFERROR(INDEX(CONFIGURACION!H:H,MATCH(I666,CONFIGURACION!J:J,0)),""))
</f>
        <v/>
      </c>
      <c r="B666" s="6" t="str">
        <f t="array" ref="B666">IF(I666="","",IFERROR(INDEX(CONFIGURACION!I:I,MATCH(I666,CONFIGURACION!J:J,0)),""))
</f>
        <v/>
      </c>
      <c r="C666" s="6"/>
      <c r="D666" s="25"/>
      <c r="E666" s="28"/>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 r="A667" s="6" t="str">
        <f t="array" ref="A667">IF(I667="","",IFERROR(INDEX(CONFIGURACION!H:H,MATCH(I667,CONFIGURACION!J:J,0)),""))
</f>
        <v/>
      </c>
      <c r="B667" s="6" t="str">
        <f t="array" ref="B667">IF(I667="","",IFERROR(INDEX(CONFIGURACION!I:I,MATCH(I667,CONFIGURACION!J:J,0)),""))
</f>
        <v/>
      </c>
      <c r="C667" s="6"/>
      <c r="D667" s="25"/>
      <c r="E667" s="28"/>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 r="A668" s="6" t="str">
        <f t="array" ref="A668">IF(I668="","",IFERROR(INDEX(CONFIGURACION!H:H,MATCH(I668,CONFIGURACION!J:J,0)),""))
</f>
        <v/>
      </c>
      <c r="B668" s="6" t="str">
        <f t="array" ref="B668">IF(I668="","",IFERROR(INDEX(CONFIGURACION!I:I,MATCH(I668,CONFIGURACION!J:J,0)),""))
</f>
        <v/>
      </c>
      <c r="C668" s="6"/>
      <c r="D668" s="25"/>
      <c r="E668" s="28"/>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 r="A669" s="6" t="str">
        <f t="array" ref="A669">IF(I669="","",IFERROR(INDEX(CONFIGURACION!H:H,MATCH(I669,CONFIGURACION!J:J,0)),""))
</f>
        <v/>
      </c>
      <c r="B669" s="6" t="str">
        <f t="array" ref="B669">IF(I669="","",IFERROR(INDEX(CONFIGURACION!I:I,MATCH(I669,CONFIGURACION!J:J,0)),""))
</f>
        <v/>
      </c>
      <c r="C669" s="6"/>
      <c r="D669" s="25"/>
      <c r="E669" s="28"/>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 r="A670" s="6" t="str">
        <f t="array" ref="A670">IF(I670="","",IFERROR(INDEX(CONFIGURACION!H:H,MATCH(I670,CONFIGURACION!J:J,0)),""))
</f>
        <v/>
      </c>
      <c r="B670" s="6" t="str">
        <f t="array" ref="B670">IF(I670="","",IFERROR(INDEX(CONFIGURACION!I:I,MATCH(I670,CONFIGURACION!J:J,0)),""))
</f>
        <v/>
      </c>
      <c r="C670" s="6"/>
      <c r="D670" s="25"/>
      <c r="E670" s="28"/>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 r="A671" s="6" t="str">
        <f t="array" ref="A671">IF(I671="","",IFERROR(INDEX(CONFIGURACION!H:H,MATCH(I671,CONFIGURACION!J:J,0)),""))
</f>
        <v/>
      </c>
      <c r="B671" s="6" t="str">
        <f t="array" ref="B671">IF(I671="","",IFERROR(INDEX(CONFIGURACION!I:I,MATCH(I671,CONFIGURACION!J:J,0)),""))
</f>
        <v/>
      </c>
      <c r="C671" s="6"/>
      <c r="D671" s="25"/>
      <c r="E671" s="28"/>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 r="A672" s="6" t="str">
        <f t="array" ref="A672">IF(I672="","",IFERROR(INDEX(CONFIGURACION!H:H,MATCH(I672,CONFIGURACION!J:J,0)),""))
</f>
        <v/>
      </c>
      <c r="B672" s="6" t="str">
        <f t="array" ref="B672">IF(I672="","",IFERROR(INDEX(CONFIGURACION!I:I,MATCH(I672,CONFIGURACION!J:J,0)),""))
</f>
        <v/>
      </c>
      <c r="C672" s="6"/>
      <c r="D672" s="25"/>
      <c r="E672" s="28"/>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 r="A673" s="6" t="str">
        <f t="array" ref="A673">IF(I673="","",IFERROR(INDEX(CONFIGURACION!H:H,MATCH(I673,CONFIGURACION!J:J,0)),""))
</f>
        <v/>
      </c>
      <c r="B673" s="6" t="str">
        <f t="array" ref="B673">IF(I673="","",IFERROR(INDEX(CONFIGURACION!I:I,MATCH(I673,CONFIGURACION!J:J,0)),""))
</f>
        <v/>
      </c>
      <c r="C673" s="6"/>
      <c r="D673" s="25"/>
      <c r="E673" s="28"/>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 r="A674" s="6" t="str">
        <f t="array" ref="A674">IF(I674="","",IFERROR(INDEX(CONFIGURACION!H:H,MATCH(I674,CONFIGURACION!J:J,0)),""))
</f>
        <v/>
      </c>
      <c r="B674" s="6" t="str">
        <f t="array" ref="B674">IF(I674="","",IFERROR(INDEX(CONFIGURACION!I:I,MATCH(I674,CONFIGURACION!J:J,0)),""))
</f>
        <v/>
      </c>
      <c r="C674" s="6"/>
      <c r="D674" s="25"/>
      <c r="E674" s="28"/>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 r="A675" s="6" t="str">
        <f t="array" ref="A675">IF(I675="","",IFERROR(INDEX(CONFIGURACION!H:H,MATCH(I675,CONFIGURACION!J:J,0)),""))
</f>
        <v/>
      </c>
      <c r="B675" s="6" t="str">
        <f t="array" ref="B675">IF(I675="","",IFERROR(INDEX(CONFIGURACION!I:I,MATCH(I675,CONFIGURACION!J:J,0)),""))
</f>
        <v/>
      </c>
      <c r="C675" s="6"/>
      <c r="D675" s="25"/>
      <c r="E675" s="28"/>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 r="A676" s="6" t="str">
        <f t="array" ref="A676">IF(I676="","",IFERROR(INDEX(CONFIGURACION!H:H,MATCH(I676,CONFIGURACION!J:J,0)),""))
</f>
        <v/>
      </c>
      <c r="B676" s="6" t="str">
        <f t="array" ref="B676">IF(I676="","",IFERROR(INDEX(CONFIGURACION!I:I,MATCH(I676,CONFIGURACION!J:J,0)),""))
</f>
        <v/>
      </c>
      <c r="C676" s="6"/>
      <c r="D676" s="25"/>
      <c r="E676" s="28"/>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 r="A677" s="6" t="str">
        <f t="array" ref="A677">IF(I677="","",IFERROR(INDEX(CONFIGURACION!H:H,MATCH(I677,CONFIGURACION!J:J,0)),""))
</f>
        <v/>
      </c>
      <c r="B677" s="6" t="str">
        <f t="array" ref="B677">IF(I677="","",IFERROR(INDEX(CONFIGURACION!I:I,MATCH(I677,CONFIGURACION!J:J,0)),""))
</f>
        <v/>
      </c>
      <c r="C677" s="6"/>
      <c r="D677" s="25"/>
      <c r="E677" s="28"/>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 r="A678" s="6" t="str">
        <f t="array" ref="A678">IF(I678="","",IFERROR(INDEX(CONFIGURACION!H:H,MATCH(I678,CONFIGURACION!J:J,0)),""))
</f>
        <v/>
      </c>
      <c r="B678" s="6" t="str">
        <f t="array" ref="B678">IF(I678="","",IFERROR(INDEX(CONFIGURACION!I:I,MATCH(I678,CONFIGURACION!J:J,0)),""))
</f>
        <v/>
      </c>
      <c r="C678" s="6"/>
      <c r="D678" s="25"/>
      <c r="E678" s="28"/>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 r="A679" s="6" t="str">
        <f t="array" ref="A679">IF(I679="","",IFERROR(INDEX(CONFIGURACION!H:H,MATCH(I679,CONFIGURACION!J:J,0)),""))
</f>
        <v/>
      </c>
      <c r="B679" s="6" t="str">
        <f t="array" ref="B679">IF(I679="","",IFERROR(INDEX(CONFIGURACION!I:I,MATCH(I679,CONFIGURACION!J:J,0)),""))
</f>
        <v/>
      </c>
      <c r="C679" s="6"/>
      <c r="D679" s="25"/>
      <c r="E679" s="28"/>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 r="A680" s="6" t="str">
        <f t="array" ref="A680">IF(I680="","",IFERROR(INDEX(CONFIGURACION!H:H,MATCH(I680,CONFIGURACION!J:J,0)),""))
</f>
        <v/>
      </c>
      <c r="B680" s="6" t="str">
        <f t="array" ref="B680">IF(I680="","",IFERROR(INDEX(CONFIGURACION!I:I,MATCH(I680,CONFIGURACION!J:J,0)),""))
</f>
        <v/>
      </c>
      <c r="C680" s="6"/>
      <c r="D680" s="25"/>
      <c r="E680" s="28"/>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 r="A681" s="6" t="str">
        <f t="array" ref="A681">IF(I681="","",IFERROR(INDEX(CONFIGURACION!H:H,MATCH(I681,CONFIGURACION!J:J,0)),""))
</f>
        <v/>
      </c>
      <c r="B681" s="6" t="str">
        <f t="array" ref="B681">IF(I681="","",IFERROR(INDEX(CONFIGURACION!I:I,MATCH(I681,CONFIGURACION!J:J,0)),""))
</f>
        <v/>
      </c>
      <c r="C681" s="6"/>
      <c r="D681" s="25"/>
      <c r="E681" s="28"/>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 r="A682" s="6" t="str">
        <f t="array" ref="A682">IF(I682="","",IFERROR(INDEX(CONFIGURACION!H:H,MATCH(I682,CONFIGURACION!J:J,0)),""))
</f>
        <v/>
      </c>
      <c r="B682" s="6" t="str">
        <f t="array" ref="B682">IF(I682="","",IFERROR(INDEX(CONFIGURACION!I:I,MATCH(I682,CONFIGURACION!J:J,0)),""))
</f>
        <v/>
      </c>
      <c r="C682" s="6"/>
      <c r="D682" s="25"/>
      <c r="E682" s="28"/>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 r="A683" s="6" t="str">
        <f t="array" ref="A683">IF(I683="","",IFERROR(INDEX(CONFIGURACION!H:H,MATCH(I683,CONFIGURACION!J:J,0)),""))
</f>
        <v/>
      </c>
      <c r="B683" s="6" t="str">
        <f t="array" ref="B683">IF(I683="","",IFERROR(INDEX(CONFIGURACION!I:I,MATCH(I683,CONFIGURACION!J:J,0)),""))
</f>
        <v/>
      </c>
      <c r="C683" s="6"/>
      <c r="D683" s="25"/>
      <c r="E683" s="28"/>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 r="A684" s="6" t="str">
        <f t="array" ref="A684">IF(I684="","",IFERROR(INDEX(CONFIGURACION!H:H,MATCH(I684,CONFIGURACION!J:J,0)),""))
</f>
        <v/>
      </c>
      <c r="B684" s="6" t="str">
        <f t="array" ref="B684">IF(I684="","",IFERROR(INDEX(CONFIGURACION!I:I,MATCH(I684,CONFIGURACION!J:J,0)),""))
</f>
        <v/>
      </c>
      <c r="C684" s="6"/>
      <c r="D684" s="25"/>
      <c r="E684" s="28"/>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 r="A685" s="6" t="str">
        <f t="array" ref="A685">IF(I685="","",IFERROR(INDEX(CONFIGURACION!H:H,MATCH(I685,CONFIGURACION!J:J,0)),""))
</f>
        <v/>
      </c>
      <c r="B685" s="6" t="str">
        <f t="array" ref="B685">IF(I685="","",IFERROR(INDEX(CONFIGURACION!I:I,MATCH(I685,CONFIGURACION!J:J,0)),""))
</f>
        <v/>
      </c>
      <c r="C685" s="6"/>
      <c r="D685" s="25"/>
      <c r="E685" s="28"/>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 r="A686" s="6" t="str">
        <f t="array" ref="A686">IF(I686="","",IFERROR(INDEX(CONFIGURACION!H:H,MATCH(I686,CONFIGURACION!J:J,0)),""))
</f>
        <v/>
      </c>
      <c r="B686" s="6" t="str">
        <f t="array" ref="B686">IF(I686="","",IFERROR(INDEX(CONFIGURACION!I:I,MATCH(I686,CONFIGURACION!J:J,0)),""))
</f>
        <v/>
      </c>
      <c r="C686" s="6"/>
      <c r="D686" s="25"/>
      <c r="E686" s="28"/>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 r="A687" s="6" t="str">
        <f t="array" ref="A687">IF(I687="","",IFERROR(INDEX(CONFIGURACION!H:H,MATCH(I687,CONFIGURACION!J:J,0)),""))
</f>
        <v/>
      </c>
      <c r="B687" s="6" t="str">
        <f t="array" ref="B687">IF(I687="","",IFERROR(INDEX(CONFIGURACION!I:I,MATCH(I687,CONFIGURACION!J:J,0)),""))
</f>
        <v/>
      </c>
      <c r="C687" s="6"/>
      <c r="D687" s="25"/>
      <c r="E687" s="28"/>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 r="A688" s="6" t="str">
        <f t="array" ref="A688">IF(I688="","",IFERROR(INDEX(CONFIGURACION!H:H,MATCH(I688,CONFIGURACION!J:J,0)),""))
</f>
        <v/>
      </c>
      <c r="B688" s="6" t="str">
        <f t="array" ref="B688">IF(I688="","",IFERROR(INDEX(CONFIGURACION!I:I,MATCH(I688,CONFIGURACION!J:J,0)),""))
</f>
        <v/>
      </c>
      <c r="C688" s="6"/>
      <c r="D688" s="25"/>
      <c r="E688" s="28"/>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 r="A689" s="6" t="str">
        <f t="array" ref="A689">IF(I689="","",IFERROR(INDEX(CONFIGURACION!H:H,MATCH(I689,CONFIGURACION!J:J,0)),""))
</f>
        <v/>
      </c>
      <c r="B689" s="6" t="str">
        <f t="array" ref="B689">IF(I689="","",IFERROR(INDEX(CONFIGURACION!I:I,MATCH(I689,CONFIGURACION!J:J,0)),""))
</f>
        <v/>
      </c>
      <c r="C689" s="6"/>
      <c r="D689" s="25"/>
      <c r="E689" s="28"/>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 r="A690" s="6" t="str">
        <f t="array" ref="A690">IF(I690="","",IFERROR(INDEX(CONFIGURACION!H:H,MATCH(I690,CONFIGURACION!J:J,0)),""))
</f>
        <v/>
      </c>
      <c r="B690" s="6" t="str">
        <f t="array" ref="B690">IF(I690="","",IFERROR(INDEX(CONFIGURACION!I:I,MATCH(I690,CONFIGURACION!J:J,0)),""))
</f>
        <v/>
      </c>
      <c r="C690" s="6"/>
      <c r="D690" s="25"/>
      <c r="E690" s="28"/>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 r="A691" s="6" t="str">
        <f t="array" ref="A691">IF(I691="","",IFERROR(INDEX(CONFIGURACION!H:H,MATCH(I691,CONFIGURACION!J:J,0)),""))
</f>
        <v/>
      </c>
      <c r="B691" s="6" t="str">
        <f t="array" ref="B691">IF(I691="","",IFERROR(INDEX(CONFIGURACION!I:I,MATCH(I691,CONFIGURACION!J:J,0)),""))
</f>
        <v/>
      </c>
      <c r="C691" s="6"/>
      <c r="D691" s="25"/>
      <c r="E691" s="28"/>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 r="A692" s="6" t="str">
        <f t="array" ref="A692">IF(I692="","",IFERROR(INDEX(CONFIGURACION!H:H,MATCH(I692,CONFIGURACION!J:J,0)),""))
</f>
        <v/>
      </c>
      <c r="B692" s="6" t="str">
        <f t="array" ref="B692">IF(I692="","",IFERROR(INDEX(CONFIGURACION!I:I,MATCH(I692,CONFIGURACION!J:J,0)),""))
</f>
        <v/>
      </c>
      <c r="C692" s="6"/>
      <c r="D692" s="25"/>
      <c r="E692" s="28"/>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 r="A693" s="6" t="str">
        <f t="array" ref="A693">IF(I693="","",IFERROR(INDEX(CONFIGURACION!H:H,MATCH(I693,CONFIGURACION!J:J,0)),""))
</f>
        <v/>
      </c>
      <c r="B693" s="6" t="str">
        <f t="array" ref="B693">IF(I693="","",IFERROR(INDEX(CONFIGURACION!I:I,MATCH(I693,CONFIGURACION!J:J,0)),""))
</f>
        <v/>
      </c>
      <c r="C693" s="6"/>
      <c r="D693" s="25"/>
      <c r="E693" s="28"/>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 r="A694" s="6" t="str">
        <f t="array" ref="A694">IF(I694="","",IFERROR(INDEX(CONFIGURACION!H:H,MATCH(I694,CONFIGURACION!J:J,0)),""))
</f>
        <v/>
      </c>
      <c r="B694" s="6" t="str">
        <f t="array" ref="B694">IF(I694="","",IFERROR(INDEX(CONFIGURACION!I:I,MATCH(I694,CONFIGURACION!J:J,0)),""))
</f>
        <v/>
      </c>
      <c r="C694" s="6"/>
      <c r="D694" s="25"/>
      <c r="E694" s="28"/>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 r="A695" s="6" t="str">
        <f t="array" ref="A695">IF(I695="","",IFERROR(INDEX(CONFIGURACION!H:H,MATCH(I695,CONFIGURACION!J:J,0)),""))
</f>
        <v/>
      </c>
      <c r="B695" s="6" t="str">
        <f t="array" ref="B695">IF(I695="","",IFERROR(INDEX(CONFIGURACION!I:I,MATCH(I695,CONFIGURACION!J:J,0)),""))
</f>
        <v/>
      </c>
      <c r="C695" s="6"/>
      <c r="D695" s="25"/>
      <c r="E695" s="28"/>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 r="A696" s="6" t="str">
        <f t="array" ref="A696">IF(I696="","",IFERROR(INDEX(CONFIGURACION!H:H,MATCH(I696,CONFIGURACION!J:J,0)),""))
</f>
        <v/>
      </c>
      <c r="B696" s="6" t="str">
        <f t="array" ref="B696">IF(I696="","",IFERROR(INDEX(CONFIGURACION!I:I,MATCH(I696,CONFIGURACION!J:J,0)),""))
</f>
        <v/>
      </c>
      <c r="C696" s="6"/>
      <c r="D696" s="25"/>
      <c r="E696" s="28"/>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 r="A697" s="6" t="str">
        <f t="array" ref="A697">IF(I697="","",IFERROR(INDEX(CONFIGURACION!H:H,MATCH(I697,CONFIGURACION!J:J,0)),""))
</f>
        <v/>
      </c>
      <c r="B697" s="6" t="str">
        <f t="array" ref="B697">IF(I697="","",IFERROR(INDEX(CONFIGURACION!I:I,MATCH(I697,CONFIGURACION!J:J,0)),""))
</f>
        <v/>
      </c>
      <c r="C697" s="6"/>
      <c r="D697" s="25"/>
      <c r="E697" s="28"/>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 r="A698" s="6" t="str">
        <f t="array" ref="A698">IF(I698="","",IFERROR(INDEX(CONFIGURACION!H:H,MATCH(I698,CONFIGURACION!J:J,0)),""))
</f>
        <v/>
      </c>
      <c r="B698" s="6" t="str">
        <f t="array" ref="B698">IF(I698="","",IFERROR(INDEX(CONFIGURACION!I:I,MATCH(I698,CONFIGURACION!J:J,0)),""))
</f>
        <v/>
      </c>
      <c r="C698" s="6"/>
      <c r="D698" s="25"/>
      <c r="E698" s="28"/>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 r="A699" s="6" t="str">
        <f t="array" ref="A699">IF(I699="","",IFERROR(INDEX(CONFIGURACION!H:H,MATCH(I699,CONFIGURACION!J:J,0)),""))
</f>
        <v/>
      </c>
      <c r="B699" s="6" t="str">
        <f t="array" ref="B699">IF(I699="","",IFERROR(INDEX(CONFIGURACION!I:I,MATCH(I699,CONFIGURACION!J:J,0)),""))
</f>
        <v/>
      </c>
      <c r="C699" s="6"/>
      <c r="D699" s="25"/>
      <c r="E699" s="28"/>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 r="A700" s="6" t="str">
        <f t="array" ref="A700">IF(I700="","",IFERROR(INDEX(CONFIGURACION!H:H,MATCH(I700,CONFIGURACION!J:J,0)),""))
</f>
        <v/>
      </c>
      <c r="B700" s="6" t="str">
        <f t="array" ref="B700">IF(I700="","",IFERROR(INDEX(CONFIGURACION!I:I,MATCH(I700,CONFIGURACION!J:J,0)),""))
</f>
        <v/>
      </c>
      <c r="C700" s="6"/>
      <c r="D700" s="25"/>
      <c r="E700" s="28"/>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 r="A701" s="6" t="str">
        <f t="array" ref="A701">IF(I701="","",IFERROR(INDEX(CONFIGURACION!H:H,MATCH(I701,CONFIGURACION!J:J,0)),""))
</f>
        <v/>
      </c>
      <c r="B701" s="6" t="str">
        <f t="array" ref="B701">IF(I701="","",IFERROR(INDEX(CONFIGURACION!I:I,MATCH(I701,CONFIGURACION!J:J,0)),""))
</f>
        <v/>
      </c>
      <c r="C701" s="6"/>
      <c r="D701" s="25"/>
      <c r="E701" s="28"/>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 r="A702" s="6" t="str">
        <f t="array" ref="A702">IF(I702="","",IFERROR(INDEX(CONFIGURACION!H:H,MATCH(I702,CONFIGURACION!J:J,0)),""))
</f>
        <v/>
      </c>
      <c r="B702" s="6" t="str">
        <f t="array" ref="B702">IF(I702="","",IFERROR(INDEX(CONFIGURACION!I:I,MATCH(I702,CONFIGURACION!J:J,0)),""))
</f>
        <v/>
      </c>
      <c r="C702" s="6"/>
      <c r="D702" s="25"/>
      <c r="E702" s="28"/>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 r="A703" s="6" t="str">
        <f t="array" ref="A703">IF(I703="","",IFERROR(INDEX(CONFIGURACION!H:H,MATCH(I703,CONFIGURACION!J:J,0)),""))
</f>
        <v/>
      </c>
      <c r="B703" s="6" t="str">
        <f t="array" ref="B703">IF(I703="","",IFERROR(INDEX(CONFIGURACION!I:I,MATCH(I703,CONFIGURACION!J:J,0)),""))
</f>
        <v/>
      </c>
      <c r="C703" s="6"/>
      <c r="D703" s="25"/>
      <c r="E703" s="28"/>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 r="A704" s="6" t="str">
        <f t="array" ref="A704">IF(I704="","",IFERROR(INDEX(CONFIGURACION!H:H,MATCH(I704,CONFIGURACION!J:J,0)),""))
</f>
        <v/>
      </c>
      <c r="B704" s="6" t="str">
        <f t="array" ref="B704">IF(I704="","",IFERROR(INDEX(CONFIGURACION!I:I,MATCH(I704,CONFIGURACION!J:J,0)),""))
</f>
        <v/>
      </c>
      <c r="C704" s="6"/>
      <c r="D704" s="25"/>
      <c r="E704" s="28"/>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 r="A705" s="6" t="str">
        <f t="array" ref="A705">IF(I705="","",IFERROR(INDEX(CONFIGURACION!H:H,MATCH(I705,CONFIGURACION!J:J,0)),""))
</f>
        <v/>
      </c>
      <c r="B705" s="6" t="str">
        <f t="array" ref="B705">IF(I705="","",IFERROR(INDEX(CONFIGURACION!I:I,MATCH(I705,CONFIGURACION!J:J,0)),""))
</f>
        <v/>
      </c>
      <c r="C705" s="6"/>
      <c r="D705" s="25"/>
      <c r="E705" s="28"/>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 r="A706" s="6" t="str">
        <f t="array" ref="A706">IF(I706="","",IFERROR(INDEX(CONFIGURACION!H:H,MATCH(I706,CONFIGURACION!J:J,0)),""))
</f>
        <v/>
      </c>
      <c r="B706" s="6" t="str">
        <f t="array" ref="B706">IF(I706="","",IFERROR(INDEX(CONFIGURACION!I:I,MATCH(I706,CONFIGURACION!J:J,0)),""))
</f>
        <v/>
      </c>
      <c r="C706" s="6"/>
      <c r="D706" s="25"/>
      <c r="E706" s="28"/>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 r="A707" s="6" t="str">
        <f t="array" ref="A707">IF(I707="","",IFERROR(INDEX(CONFIGURACION!H:H,MATCH(I707,CONFIGURACION!J:J,0)),""))
</f>
        <v/>
      </c>
      <c r="B707" s="6" t="str">
        <f t="array" ref="B707">IF(I707="","",IFERROR(INDEX(CONFIGURACION!I:I,MATCH(I707,CONFIGURACION!J:J,0)),""))
</f>
        <v/>
      </c>
      <c r="C707" s="6"/>
      <c r="D707" s="25"/>
      <c r="E707" s="28"/>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 r="A708" s="6" t="str">
        <f t="array" ref="A708">IF(I708="","",IFERROR(INDEX(CONFIGURACION!H:H,MATCH(I708,CONFIGURACION!J:J,0)),""))
</f>
        <v/>
      </c>
      <c r="B708" s="6" t="str">
        <f t="array" ref="B708">IF(I708="","",IFERROR(INDEX(CONFIGURACION!I:I,MATCH(I708,CONFIGURACION!J:J,0)),""))
</f>
        <v/>
      </c>
      <c r="C708" s="6"/>
      <c r="D708" s="25"/>
      <c r="E708" s="28"/>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 r="A709" s="6" t="str">
        <f t="array" ref="A709">IF(I709="","",IFERROR(INDEX(CONFIGURACION!H:H,MATCH(I709,CONFIGURACION!J:J,0)),""))
</f>
        <v/>
      </c>
      <c r="B709" s="6" t="str">
        <f t="array" ref="B709">IF(I709="","",IFERROR(INDEX(CONFIGURACION!I:I,MATCH(I709,CONFIGURACION!J:J,0)),""))
</f>
        <v/>
      </c>
      <c r="C709" s="6"/>
      <c r="D709" s="25"/>
      <c r="E709" s="28"/>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 r="A710" s="6" t="str">
        <f t="array" ref="A710">IF(I710="","",IFERROR(INDEX(CONFIGURACION!H:H,MATCH(I710,CONFIGURACION!J:J,0)),""))
</f>
        <v/>
      </c>
      <c r="B710" s="6" t="str">
        <f t="array" ref="B710">IF(I710="","",IFERROR(INDEX(CONFIGURACION!I:I,MATCH(I710,CONFIGURACION!J:J,0)),""))
</f>
        <v/>
      </c>
      <c r="C710" s="6"/>
      <c r="D710" s="25"/>
      <c r="E710" s="28"/>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 r="A711" s="6" t="str">
        <f t="array" ref="A711">IF(I711="","",IFERROR(INDEX(CONFIGURACION!H:H,MATCH(I711,CONFIGURACION!J:J,0)),""))
</f>
        <v/>
      </c>
      <c r="B711" s="6" t="str">
        <f t="array" ref="B711">IF(I711="","",IFERROR(INDEX(CONFIGURACION!I:I,MATCH(I711,CONFIGURACION!J:J,0)),""))
</f>
        <v/>
      </c>
      <c r="C711" s="6"/>
      <c r="D711" s="25"/>
      <c r="E711" s="28"/>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 r="A712" s="6" t="str">
        <f t="array" ref="A712">IF(I712="","",IFERROR(INDEX(CONFIGURACION!H:H,MATCH(I712,CONFIGURACION!J:J,0)),""))
</f>
        <v/>
      </c>
      <c r="B712" s="6" t="str">
        <f t="array" ref="B712">IF(I712="","",IFERROR(INDEX(CONFIGURACION!I:I,MATCH(I712,CONFIGURACION!J:J,0)),""))
</f>
        <v/>
      </c>
      <c r="C712" s="6"/>
      <c r="D712" s="25"/>
      <c r="E712" s="28"/>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 r="A713" s="6" t="str">
        <f t="array" ref="A713">IF(I713="","",IFERROR(INDEX(CONFIGURACION!H:H,MATCH(I713,CONFIGURACION!J:J,0)),""))
</f>
        <v/>
      </c>
      <c r="B713" s="6" t="str">
        <f t="array" ref="B713">IF(I713="","",IFERROR(INDEX(CONFIGURACION!I:I,MATCH(I713,CONFIGURACION!J:J,0)),""))
</f>
        <v/>
      </c>
      <c r="C713" s="6"/>
      <c r="D713" s="25"/>
      <c r="E713" s="28"/>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 r="A714" s="6" t="str">
        <f t="array" ref="A714">IF(I714="","",IFERROR(INDEX(CONFIGURACION!H:H,MATCH(I714,CONFIGURACION!J:J,0)),""))
</f>
        <v/>
      </c>
      <c r="B714" s="6" t="str">
        <f t="array" ref="B714">IF(I714="","",IFERROR(INDEX(CONFIGURACION!I:I,MATCH(I714,CONFIGURACION!J:J,0)),""))
</f>
        <v/>
      </c>
      <c r="C714" s="6"/>
      <c r="D714" s="25"/>
      <c r="E714" s="28"/>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 r="A715" s="6" t="str">
        <f t="array" ref="A715">IF(I715="","",IFERROR(INDEX(CONFIGURACION!H:H,MATCH(I715,CONFIGURACION!J:J,0)),""))
</f>
        <v/>
      </c>
      <c r="B715" s="6" t="str">
        <f t="array" ref="B715">IF(I715="","",IFERROR(INDEX(CONFIGURACION!I:I,MATCH(I715,CONFIGURACION!J:J,0)),""))
</f>
        <v/>
      </c>
      <c r="C715" s="6"/>
      <c r="D715" s="25"/>
      <c r="E715" s="28"/>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 r="A716" s="6" t="str">
        <f t="array" ref="A716">IF(I716="","",IFERROR(INDEX(CONFIGURACION!H:H,MATCH(I716,CONFIGURACION!J:J,0)),""))
</f>
        <v/>
      </c>
      <c r="B716" s="6" t="str">
        <f t="array" ref="B716">IF(I716="","",IFERROR(INDEX(CONFIGURACION!I:I,MATCH(I716,CONFIGURACION!J:J,0)),""))
</f>
        <v/>
      </c>
      <c r="C716" s="6"/>
      <c r="D716" s="25"/>
      <c r="E716" s="28"/>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 r="A717" s="6" t="str">
        <f t="array" ref="A717">IF(I717="","",IFERROR(INDEX(CONFIGURACION!H:H,MATCH(I717,CONFIGURACION!J:J,0)),""))
</f>
        <v/>
      </c>
      <c r="B717" s="6" t="str">
        <f t="array" ref="B717">IF(I717="","",IFERROR(INDEX(CONFIGURACION!I:I,MATCH(I717,CONFIGURACION!J:J,0)),""))
</f>
        <v/>
      </c>
      <c r="C717" s="6"/>
      <c r="D717" s="25"/>
      <c r="E717" s="28"/>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 r="A718" s="6" t="str">
        <f t="array" ref="A718">IF(I718="","",IFERROR(INDEX(CONFIGURACION!H:H,MATCH(I718,CONFIGURACION!J:J,0)),""))
</f>
        <v/>
      </c>
      <c r="B718" s="6" t="str">
        <f t="array" ref="B718">IF(I718="","",IFERROR(INDEX(CONFIGURACION!I:I,MATCH(I718,CONFIGURACION!J:J,0)),""))
</f>
        <v/>
      </c>
      <c r="C718" s="6"/>
      <c r="D718" s="25"/>
      <c r="E718" s="28"/>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 r="A719" s="6" t="str">
        <f t="array" ref="A719">IF(I719="","",IFERROR(INDEX(CONFIGURACION!H:H,MATCH(I719,CONFIGURACION!J:J,0)),""))
</f>
        <v/>
      </c>
      <c r="B719" s="6" t="str">
        <f t="array" ref="B719">IF(I719="","",IFERROR(INDEX(CONFIGURACION!I:I,MATCH(I719,CONFIGURACION!J:J,0)),""))
</f>
        <v/>
      </c>
      <c r="C719" s="6"/>
      <c r="D719" s="25"/>
      <c r="E719" s="28"/>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 r="A720" s="6" t="str">
        <f t="array" ref="A720">IF(I720="","",IFERROR(INDEX(CONFIGURACION!H:H,MATCH(I720,CONFIGURACION!J:J,0)),""))
</f>
        <v/>
      </c>
      <c r="B720" s="6" t="str">
        <f t="array" ref="B720">IF(I720="","",IFERROR(INDEX(CONFIGURACION!I:I,MATCH(I720,CONFIGURACION!J:J,0)),""))
</f>
        <v/>
      </c>
      <c r="C720" s="6"/>
      <c r="D720" s="25"/>
      <c r="E720" s="28"/>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 r="A721" s="6" t="str">
        <f t="array" ref="A721">IF(I721="","",IFERROR(INDEX(CONFIGURACION!H:H,MATCH(I721,CONFIGURACION!J:J,0)),""))
</f>
        <v/>
      </c>
      <c r="B721" s="6" t="str">
        <f t="array" ref="B721">IF(I721="","",IFERROR(INDEX(CONFIGURACION!I:I,MATCH(I721,CONFIGURACION!J:J,0)),""))
</f>
        <v/>
      </c>
      <c r="C721" s="6"/>
      <c r="D721" s="25"/>
      <c r="E721" s="28"/>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 r="A722" s="6" t="str">
        <f t="array" ref="A722">IF(I722="","",IFERROR(INDEX(CONFIGURACION!H:H,MATCH(I722,CONFIGURACION!J:J,0)),""))
</f>
        <v/>
      </c>
      <c r="B722" s="6" t="str">
        <f t="array" ref="B722">IF(I722="","",IFERROR(INDEX(CONFIGURACION!I:I,MATCH(I722,CONFIGURACION!J:J,0)),""))
</f>
        <v/>
      </c>
      <c r="C722" s="6"/>
      <c r="D722" s="25"/>
      <c r="E722" s="28"/>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 r="A723" s="6" t="str">
        <f t="array" ref="A723">IF(I723="","",IFERROR(INDEX(CONFIGURACION!H:H,MATCH(I723,CONFIGURACION!J:J,0)),""))
</f>
        <v/>
      </c>
      <c r="B723" s="6" t="str">
        <f t="array" ref="B723">IF(I723="","",IFERROR(INDEX(CONFIGURACION!I:I,MATCH(I723,CONFIGURACION!J:J,0)),""))
</f>
        <v/>
      </c>
      <c r="C723" s="6"/>
      <c r="D723" s="25"/>
      <c r="E723" s="28"/>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 r="A724" s="6" t="str">
        <f t="array" ref="A724">IF(I724="","",IFERROR(INDEX(CONFIGURACION!H:H,MATCH(I724,CONFIGURACION!J:J,0)),""))
</f>
        <v/>
      </c>
      <c r="B724" s="6" t="str">
        <f t="array" ref="B724">IF(I724="","",IFERROR(INDEX(CONFIGURACION!I:I,MATCH(I724,CONFIGURACION!J:J,0)),""))
</f>
        <v/>
      </c>
      <c r="C724" s="6"/>
      <c r="D724" s="25"/>
      <c r="E724" s="28"/>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 r="A725" s="6" t="str">
        <f t="array" ref="A725">IF(I725="","",IFERROR(INDEX(CONFIGURACION!H:H,MATCH(I725,CONFIGURACION!J:J,0)),""))
</f>
        <v/>
      </c>
      <c r="B725" s="6" t="str">
        <f t="array" ref="B725">IF(I725="","",IFERROR(INDEX(CONFIGURACION!I:I,MATCH(I725,CONFIGURACION!J:J,0)),""))
</f>
        <v/>
      </c>
      <c r="C725" s="6"/>
      <c r="D725" s="25"/>
      <c r="E725" s="28"/>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 r="A726" s="6" t="str">
        <f t="array" ref="A726">IF(I726="","",IFERROR(INDEX(CONFIGURACION!H:H,MATCH(I726,CONFIGURACION!J:J,0)),""))
</f>
        <v/>
      </c>
      <c r="B726" s="6" t="str">
        <f t="array" ref="B726">IF(I726="","",IFERROR(INDEX(CONFIGURACION!I:I,MATCH(I726,CONFIGURACION!J:J,0)),""))
</f>
        <v/>
      </c>
      <c r="C726" s="6"/>
      <c r="D726" s="25"/>
      <c r="E726" s="28"/>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 r="A727" s="6" t="str">
        <f t="array" ref="A727">IF(I727="","",IFERROR(INDEX(CONFIGURACION!H:H,MATCH(I727,CONFIGURACION!J:J,0)),""))
</f>
        <v/>
      </c>
      <c r="B727" s="6" t="str">
        <f t="array" ref="B727">IF(I727="","",IFERROR(INDEX(CONFIGURACION!I:I,MATCH(I727,CONFIGURACION!J:J,0)),""))
</f>
        <v/>
      </c>
      <c r="C727" s="6"/>
      <c r="D727" s="25"/>
      <c r="E727" s="28"/>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 r="A728" s="6" t="str">
        <f t="array" ref="A728">IF(I728="","",IFERROR(INDEX(CONFIGURACION!H:H,MATCH(I728,CONFIGURACION!J:J,0)),""))
</f>
        <v/>
      </c>
      <c r="B728" s="6" t="str">
        <f t="array" ref="B728">IF(I728="","",IFERROR(INDEX(CONFIGURACION!I:I,MATCH(I728,CONFIGURACION!J:J,0)),""))
</f>
        <v/>
      </c>
      <c r="C728" s="6"/>
      <c r="D728" s="25"/>
      <c r="E728" s="28"/>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 r="A729" s="6" t="str">
        <f t="array" ref="A729">IF(I729="","",IFERROR(INDEX(CONFIGURACION!H:H,MATCH(I729,CONFIGURACION!J:J,0)),""))
</f>
        <v/>
      </c>
      <c r="B729" s="6" t="str">
        <f t="array" ref="B729">IF(I729="","",IFERROR(INDEX(CONFIGURACION!I:I,MATCH(I729,CONFIGURACION!J:J,0)),""))
</f>
        <v/>
      </c>
      <c r="C729" s="6"/>
      <c r="D729" s="25"/>
      <c r="E729" s="28"/>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 r="A730" s="6" t="str">
        <f t="array" ref="A730">IF(I730="","",IFERROR(INDEX(CONFIGURACION!H:H,MATCH(I730,CONFIGURACION!J:J,0)),""))
</f>
        <v/>
      </c>
      <c r="B730" s="6" t="str">
        <f t="array" ref="B730">IF(I730="","",IFERROR(INDEX(CONFIGURACION!I:I,MATCH(I730,CONFIGURACION!J:J,0)),""))
</f>
        <v/>
      </c>
      <c r="C730" s="6"/>
      <c r="D730" s="25"/>
      <c r="E730" s="28"/>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 r="A731" s="6" t="str">
        <f t="array" ref="A731">IF(I731="","",IFERROR(INDEX(CONFIGURACION!H:H,MATCH(I731,CONFIGURACION!J:J,0)),""))
</f>
        <v/>
      </c>
      <c r="B731" s="6" t="str">
        <f t="array" ref="B731">IF(I731="","",IFERROR(INDEX(CONFIGURACION!I:I,MATCH(I731,CONFIGURACION!J:J,0)),""))
</f>
        <v/>
      </c>
      <c r="C731" s="6"/>
      <c r="D731" s="25"/>
      <c r="E731" s="28"/>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 r="A732" s="6" t="str">
        <f t="array" ref="A732">IF(I732="","",IFERROR(INDEX(CONFIGURACION!H:H,MATCH(I732,CONFIGURACION!J:J,0)),""))
</f>
        <v/>
      </c>
      <c r="B732" s="6" t="str">
        <f t="array" ref="B732">IF(I732="","",IFERROR(INDEX(CONFIGURACION!I:I,MATCH(I732,CONFIGURACION!J:J,0)),""))
</f>
        <v/>
      </c>
      <c r="C732" s="6"/>
      <c r="D732" s="25"/>
      <c r="E732" s="28"/>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 r="A733" s="6" t="str">
        <f t="array" ref="A733">IF(I733="","",IFERROR(INDEX(CONFIGURACION!H:H,MATCH(I733,CONFIGURACION!J:J,0)),""))
</f>
        <v/>
      </c>
      <c r="B733" s="6" t="str">
        <f t="array" ref="B733">IF(I733="","",IFERROR(INDEX(CONFIGURACION!I:I,MATCH(I733,CONFIGURACION!J:J,0)),""))
</f>
        <v/>
      </c>
      <c r="C733" s="6"/>
      <c r="D733" s="25"/>
      <c r="E733" s="28"/>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 r="A734" s="6" t="str">
        <f t="array" ref="A734">IF(I734="","",IFERROR(INDEX(CONFIGURACION!H:H,MATCH(I734,CONFIGURACION!J:J,0)),""))
</f>
        <v/>
      </c>
      <c r="B734" s="6" t="str">
        <f t="array" ref="B734">IF(I734="","",IFERROR(INDEX(CONFIGURACION!I:I,MATCH(I734,CONFIGURACION!J:J,0)),""))
</f>
        <v/>
      </c>
      <c r="C734" s="6"/>
      <c r="D734" s="25"/>
      <c r="E734" s="28"/>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 r="A735" s="6" t="str">
        <f t="array" ref="A735">IF(I735="","",IFERROR(INDEX(CONFIGURACION!H:H,MATCH(I735,CONFIGURACION!J:J,0)),""))
</f>
        <v/>
      </c>
      <c r="B735" s="6" t="str">
        <f t="array" ref="B735">IF(I735="","",IFERROR(INDEX(CONFIGURACION!I:I,MATCH(I735,CONFIGURACION!J:J,0)),""))
</f>
        <v/>
      </c>
      <c r="C735" s="6"/>
      <c r="D735" s="25"/>
      <c r="E735" s="28"/>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 r="A736" s="6" t="str">
        <f t="array" ref="A736">IF(I736="","",IFERROR(INDEX(CONFIGURACION!H:H,MATCH(I736,CONFIGURACION!J:J,0)),""))
</f>
        <v/>
      </c>
      <c r="B736" s="6" t="str">
        <f t="array" ref="B736">IF(I736="","",IFERROR(INDEX(CONFIGURACION!I:I,MATCH(I736,CONFIGURACION!J:J,0)),""))
</f>
        <v/>
      </c>
      <c r="C736" s="6"/>
      <c r="D736" s="25"/>
      <c r="E736" s="28"/>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 r="A737" s="6" t="str">
        <f t="array" ref="A737">IF(I737="","",IFERROR(INDEX(CONFIGURACION!H:H,MATCH(I737,CONFIGURACION!J:J,0)),""))
</f>
        <v/>
      </c>
      <c r="B737" s="6" t="str">
        <f t="array" ref="B737">IF(I737="","",IFERROR(INDEX(CONFIGURACION!I:I,MATCH(I737,CONFIGURACION!J:J,0)),""))
</f>
        <v/>
      </c>
      <c r="C737" s="6"/>
      <c r="D737" s="25"/>
      <c r="E737" s="28"/>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 r="A738" s="6" t="str">
        <f t="array" ref="A738">IF(I738="","",IFERROR(INDEX(CONFIGURACION!H:H,MATCH(I738,CONFIGURACION!J:J,0)),""))
</f>
        <v/>
      </c>
      <c r="B738" s="6" t="str">
        <f t="array" ref="B738">IF(I738="","",IFERROR(INDEX(CONFIGURACION!I:I,MATCH(I738,CONFIGURACION!J:J,0)),""))
</f>
        <v/>
      </c>
      <c r="C738" s="6"/>
      <c r="D738" s="25"/>
      <c r="E738" s="28"/>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 r="A739" s="6" t="str">
        <f t="array" ref="A739">IF(I739="","",IFERROR(INDEX(CONFIGURACION!H:H,MATCH(I739,CONFIGURACION!J:J,0)),""))
</f>
        <v/>
      </c>
      <c r="B739" s="6" t="str">
        <f t="array" ref="B739">IF(I739="","",IFERROR(INDEX(CONFIGURACION!I:I,MATCH(I739,CONFIGURACION!J:J,0)),""))
</f>
        <v/>
      </c>
      <c r="C739" s="6"/>
      <c r="D739" s="25"/>
      <c r="E739" s="28"/>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 r="A740" s="6" t="str">
        <f t="array" ref="A740">IF(I740="","",IFERROR(INDEX(CONFIGURACION!H:H,MATCH(I740,CONFIGURACION!J:J,0)),""))
</f>
        <v/>
      </c>
      <c r="B740" s="6" t="str">
        <f t="array" ref="B740">IF(I740="","",IFERROR(INDEX(CONFIGURACION!I:I,MATCH(I740,CONFIGURACION!J:J,0)),""))
</f>
        <v/>
      </c>
      <c r="C740" s="6"/>
      <c r="D740" s="25"/>
      <c r="E740" s="28"/>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 r="A741" s="6" t="str">
        <f t="array" ref="A741">IF(I741="","",IFERROR(INDEX(CONFIGURACION!H:H,MATCH(I741,CONFIGURACION!J:J,0)),""))
</f>
        <v/>
      </c>
      <c r="B741" s="6" t="str">
        <f t="array" ref="B741">IF(I741="","",IFERROR(INDEX(CONFIGURACION!I:I,MATCH(I741,CONFIGURACION!J:J,0)),""))
</f>
        <v/>
      </c>
      <c r="C741" s="6"/>
      <c r="D741" s="25"/>
      <c r="E741" s="28"/>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 r="A742" s="6" t="str">
        <f t="array" ref="A742">IF(I742="","",IFERROR(INDEX(CONFIGURACION!H:H,MATCH(I742,CONFIGURACION!J:J,0)),""))
</f>
        <v/>
      </c>
      <c r="B742" s="6" t="str">
        <f t="array" ref="B742">IF(I742="","",IFERROR(INDEX(CONFIGURACION!I:I,MATCH(I742,CONFIGURACION!J:J,0)),""))
</f>
        <v/>
      </c>
      <c r="C742" s="6"/>
      <c r="D742" s="25"/>
      <c r="E742" s="28"/>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 r="A743" s="6" t="str">
        <f t="array" ref="A743">IF(I743="","",IFERROR(INDEX(CONFIGURACION!H:H,MATCH(I743,CONFIGURACION!J:J,0)),""))
</f>
        <v/>
      </c>
      <c r="B743" s="6" t="str">
        <f t="array" ref="B743">IF(I743="","",IFERROR(INDEX(CONFIGURACION!I:I,MATCH(I743,CONFIGURACION!J:J,0)),""))
</f>
        <v/>
      </c>
      <c r="C743" s="6"/>
      <c r="D743" s="25"/>
      <c r="E743" s="28"/>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 r="A744" s="6" t="str">
        <f t="array" ref="A744">IF(I744="","",IFERROR(INDEX(CONFIGURACION!H:H,MATCH(I744,CONFIGURACION!J:J,0)),""))
</f>
        <v/>
      </c>
      <c r="B744" s="6" t="str">
        <f t="array" ref="B744">IF(I744="","",IFERROR(INDEX(CONFIGURACION!I:I,MATCH(I744,CONFIGURACION!J:J,0)),""))
</f>
        <v/>
      </c>
      <c r="C744" s="6"/>
      <c r="D744" s="25"/>
      <c r="E744" s="28"/>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 r="A745" s="6" t="str">
        <f t="array" ref="A745">IF(I745="","",IFERROR(INDEX(CONFIGURACION!H:H,MATCH(I745,CONFIGURACION!J:J,0)),""))
</f>
        <v/>
      </c>
      <c r="B745" s="6" t="str">
        <f t="array" ref="B745">IF(I745="","",IFERROR(INDEX(CONFIGURACION!I:I,MATCH(I745,CONFIGURACION!J:J,0)),""))
</f>
        <v/>
      </c>
      <c r="C745" s="6"/>
      <c r="D745" s="25"/>
      <c r="E745" s="28"/>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 r="A746" s="6" t="str">
        <f t="array" ref="A746">IF(I746="","",IFERROR(INDEX(CONFIGURACION!H:H,MATCH(I746,CONFIGURACION!J:J,0)),""))
</f>
        <v/>
      </c>
      <c r="B746" s="6" t="str">
        <f t="array" ref="B746">IF(I746="","",IFERROR(INDEX(CONFIGURACION!I:I,MATCH(I746,CONFIGURACION!J:J,0)),""))
</f>
        <v/>
      </c>
      <c r="C746" s="6"/>
      <c r="D746" s="25"/>
      <c r="E746" s="28"/>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 r="A747" s="6" t="str">
        <f t="array" ref="A747">IF(I747="","",IFERROR(INDEX(CONFIGURACION!H:H,MATCH(I747,CONFIGURACION!J:J,0)),""))
</f>
        <v/>
      </c>
      <c r="B747" s="6" t="str">
        <f t="array" ref="B747">IF(I747="","",IFERROR(INDEX(CONFIGURACION!I:I,MATCH(I747,CONFIGURACION!J:J,0)),""))
</f>
        <v/>
      </c>
      <c r="C747" s="6"/>
      <c r="D747" s="25"/>
      <c r="E747" s="28"/>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 r="A748" s="6" t="str">
        <f t="array" ref="A748">IF(I748="","",IFERROR(INDEX(CONFIGURACION!H:H,MATCH(I748,CONFIGURACION!J:J,0)),""))
</f>
        <v/>
      </c>
      <c r="B748" s="6" t="str">
        <f t="array" ref="B748">IF(I748="","",IFERROR(INDEX(CONFIGURACION!I:I,MATCH(I748,CONFIGURACION!J:J,0)),""))
</f>
        <v/>
      </c>
      <c r="C748" s="6"/>
      <c r="D748" s="25"/>
      <c r="E748" s="28"/>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 r="A749" s="6" t="str">
        <f t="array" ref="A749">IF(I749="","",IFERROR(INDEX(CONFIGURACION!H:H,MATCH(I749,CONFIGURACION!J:J,0)),""))
</f>
        <v/>
      </c>
      <c r="B749" s="6" t="str">
        <f t="array" ref="B749">IF(I749="","",IFERROR(INDEX(CONFIGURACION!I:I,MATCH(I749,CONFIGURACION!J:J,0)),""))
</f>
        <v/>
      </c>
      <c r="C749" s="6"/>
      <c r="D749" s="25"/>
      <c r="E749" s="28"/>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 r="A750" s="6" t="str">
        <f t="array" ref="A750">IF(I750="","",IFERROR(INDEX(CONFIGURACION!H:H,MATCH(I750,CONFIGURACION!J:J,0)),""))
</f>
        <v/>
      </c>
      <c r="B750" s="6" t="str">
        <f t="array" ref="B750">IF(I750="","",IFERROR(INDEX(CONFIGURACION!I:I,MATCH(I750,CONFIGURACION!J:J,0)),""))
</f>
        <v/>
      </c>
      <c r="C750" s="6"/>
      <c r="D750" s="25"/>
      <c r="E750" s="28"/>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 r="A751" s="6" t="str">
        <f t="array" ref="A751">IF(I751="","",IFERROR(INDEX(CONFIGURACION!H:H,MATCH(I751,CONFIGURACION!J:J,0)),""))
</f>
        <v/>
      </c>
      <c r="B751" s="6" t="str">
        <f t="array" ref="B751">IF(I751="","",IFERROR(INDEX(CONFIGURACION!I:I,MATCH(I751,CONFIGURACION!J:J,0)),""))
</f>
        <v/>
      </c>
      <c r="C751" s="6"/>
      <c r="D751" s="25"/>
      <c r="E751" s="28"/>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 r="A752" s="6" t="str">
        <f t="array" ref="A752">IF(I752="","",IFERROR(INDEX(CONFIGURACION!H:H,MATCH(I752,CONFIGURACION!J:J,0)),""))
</f>
        <v/>
      </c>
      <c r="B752" s="6" t="str">
        <f t="array" ref="B752">IF(I752="","",IFERROR(INDEX(CONFIGURACION!I:I,MATCH(I752,CONFIGURACION!J:J,0)),""))
</f>
        <v/>
      </c>
      <c r="C752" s="6"/>
      <c r="D752" s="25"/>
      <c r="E752" s="28"/>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 r="A753" s="6" t="str">
        <f t="array" ref="A753">IF(I753="","",IFERROR(INDEX(CONFIGURACION!H:H,MATCH(I753,CONFIGURACION!J:J,0)),""))
</f>
        <v/>
      </c>
      <c r="B753" s="6" t="str">
        <f t="array" ref="B753">IF(I753="","",IFERROR(INDEX(CONFIGURACION!I:I,MATCH(I753,CONFIGURACION!J:J,0)),""))
</f>
        <v/>
      </c>
      <c r="C753" s="6"/>
      <c r="D753" s="25"/>
      <c r="E753" s="28"/>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 r="A754" s="6" t="str">
        <f t="array" ref="A754">IF(I754="","",IFERROR(INDEX(CONFIGURACION!H:H,MATCH(I754,CONFIGURACION!J:J,0)),""))
</f>
        <v/>
      </c>
      <c r="B754" s="6" t="str">
        <f t="array" ref="B754">IF(I754="","",IFERROR(INDEX(CONFIGURACION!I:I,MATCH(I754,CONFIGURACION!J:J,0)),""))
</f>
        <v/>
      </c>
      <c r="C754" s="6"/>
      <c r="D754" s="25"/>
      <c r="E754" s="28"/>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 r="A755" s="6" t="str">
        <f t="array" ref="A755">IF(I755="","",IFERROR(INDEX(CONFIGURACION!H:H,MATCH(I755,CONFIGURACION!J:J,0)),""))
</f>
        <v/>
      </c>
      <c r="B755" s="6" t="str">
        <f t="array" ref="B755">IF(I755="","",IFERROR(INDEX(CONFIGURACION!I:I,MATCH(I755,CONFIGURACION!J:J,0)),""))
</f>
        <v/>
      </c>
      <c r="C755" s="6"/>
      <c r="D755" s="25"/>
      <c r="E755" s="28"/>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 r="A756" s="6" t="str">
        <f t="array" ref="A756">IF(I756="","",IFERROR(INDEX(CONFIGURACION!H:H,MATCH(I756,CONFIGURACION!J:J,0)),""))
</f>
        <v/>
      </c>
      <c r="B756" s="6" t="str">
        <f t="array" ref="B756">IF(I756="","",IFERROR(INDEX(CONFIGURACION!I:I,MATCH(I756,CONFIGURACION!J:J,0)),""))
</f>
        <v/>
      </c>
      <c r="C756" s="6"/>
      <c r="D756" s="25"/>
      <c r="E756" s="28"/>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 r="A757" s="6" t="str">
        <f t="array" ref="A757">IF(I757="","",IFERROR(INDEX(CONFIGURACION!H:H,MATCH(I757,CONFIGURACION!J:J,0)),""))
</f>
        <v/>
      </c>
      <c r="B757" s="6" t="str">
        <f t="array" ref="B757">IF(I757="","",IFERROR(INDEX(CONFIGURACION!I:I,MATCH(I757,CONFIGURACION!J:J,0)),""))
</f>
        <v/>
      </c>
      <c r="C757" s="6"/>
      <c r="D757" s="25"/>
      <c r="E757" s="28"/>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 r="A758" s="6" t="str">
        <f t="array" ref="A758">IF(I758="","",IFERROR(INDEX(CONFIGURACION!H:H,MATCH(I758,CONFIGURACION!J:J,0)),""))
</f>
        <v/>
      </c>
      <c r="B758" s="6" t="str">
        <f t="array" ref="B758">IF(I758="","",IFERROR(INDEX(CONFIGURACION!I:I,MATCH(I758,CONFIGURACION!J:J,0)),""))
</f>
        <v/>
      </c>
      <c r="C758" s="6"/>
      <c r="D758" s="25"/>
      <c r="E758" s="28"/>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 r="A759" s="6" t="str">
        <f t="array" ref="A759">IF(I759="","",IFERROR(INDEX(CONFIGURACION!H:H,MATCH(I759,CONFIGURACION!J:J,0)),""))
</f>
        <v/>
      </c>
      <c r="B759" s="6" t="str">
        <f t="array" ref="B759">IF(I759="","",IFERROR(INDEX(CONFIGURACION!I:I,MATCH(I759,CONFIGURACION!J:J,0)),""))
</f>
        <v/>
      </c>
      <c r="C759" s="6"/>
      <c r="D759" s="25"/>
      <c r="E759" s="28"/>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 r="A760" s="6" t="str">
        <f t="array" ref="A760">IF(I760="","",IFERROR(INDEX(CONFIGURACION!H:H,MATCH(I760,CONFIGURACION!J:J,0)),""))
</f>
        <v/>
      </c>
      <c r="B760" s="6" t="str">
        <f t="array" ref="B760">IF(I760="","",IFERROR(INDEX(CONFIGURACION!I:I,MATCH(I760,CONFIGURACION!J:J,0)),""))
</f>
        <v/>
      </c>
      <c r="C760" s="6"/>
      <c r="D760" s="25"/>
      <c r="E760" s="28"/>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 r="A761" s="6" t="str">
        <f t="array" ref="A761">IF(I761="","",IFERROR(INDEX(CONFIGURACION!H:H,MATCH(I761,CONFIGURACION!J:J,0)),""))
</f>
        <v/>
      </c>
      <c r="B761" s="6" t="str">
        <f t="array" ref="B761">IF(I761="","",IFERROR(INDEX(CONFIGURACION!I:I,MATCH(I761,CONFIGURACION!J:J,0)),""))
</f>
        <v/>
      </c>
      <c r="C761" s="6"/>
      <c r="D761" s="25"/>
      <c r="E761" s="28"/>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 r="A762" s="6" t="str">
        <f t="array" ref="A762">IF(I762="","",IFERROR(INDEX(CONFIGURACION!H:H,MATCH(I762,CONFIGURACION!J:J,0)),""))
</f>
        <v/>
      </c>
      <c r="B762" s="6" t="str">
        <f t="array" ref="B762">IF(I762="","",IFERROR(INDEX(CONFIGURACION!I:I,MATCH(I762,CONFIGURACION!J:J,0)),""))
</f>
        <v/>
      </c>
      <c r="C762" s="6"/>
      <c r="D762" s="25"/>
      <c r="E762" s="28"/>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 r="A763" s="6" t="str">
        <f t="array" ref="A763">IF(I763="","",IFERROR(INDEX(CONFIGURACION!H:H,MATCH(I763,CONFIGURACION!J:J,0)),""))
</f>
        <v/>
      </c>
      <c r="B763" s="6" t="str">
        <f t="array" ref="B763">IF(I763="","",IFERROR(INDEX(CONFIGURACION!I:I,MATCH(I763,CONFIGURACION!J:J,0)),""))
</f>
        <v/>
      </c>
      <c r="C763" s="6"/>
      <c r="D763" s="25"/>
      <c r="E763" s="28"/>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 r="A764" s="6" t="str">
        <f t="array" ref="A764">IF(I764="","",IFERROR(INDEX(CONFIGURACION!H:H,MATCH(I764,CONFIGURACION!J:J,0)),""))
</f>
        <v/>
      </c>
      <c r="B764" s="6" t="str">
        <f t="array" ref="B764">IF(I764="","",IFERROR(INDEX(CONFIGURACION!I:I,MATCH(I764,CONFIGURACION!J:J,0)),""))
</f>
        <v/>
      </c>
      <c r="C764" s="6"/>
      <c r="D764" s="25"/>
      <c r="E764" s="28"/>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 r="A765" s="6" t="str">
        <f t="array" ref="A765">IF(I765="","",IFERROR(INDEX(CONFIGURACION!H:H,MATCH(I765,CONFIGURACION!J:J,0)),""))
</f>
        <v/>
      </c>
      <c r="B765" s="6" t="str">
        <f t="array" ref="B765">IF(I765="","",IFERROR(INDEX(CONFIGURACION!I:I,MATCH(I765,CONFIGURACION!J:J,0)),""))
</f>
        <v/>
      </c>
      <c r="C765" s="6"/>
      <c r="D765" s="25"/>
      <c r="E765" s="28"/>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 r="A766" s="6" t="str">
        <f t="array" ref="A766">IF(I766="","",IFERROR(INDEX(CONFIGURACION!H:H,MATCH(I766,CONFIGURACION!J:J,0)),""))
</f>
        <v/>
      </c>
      <c r="B766" s="6" t="str">
        <f t="array" ref="B766">IF(I766="","",IFERROR(INDEX(CONFIGURACION!I:I,MATCH(I766,CONFIGURACION!J:J,0)),""))
</f>
        <v/>
      </c>
      <c r="C766" s="6"/>
      <c r="D766" s="25"/>
      <c r="E766" s="28"/>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 r="A767" s="6" t="str">
        <f t="array" ref="A767">IF(I767="","",IFERROR(INDEX(CONFIGURACION!H:H,MATCH(I767,CONFIGURACION!J:J,0)),""))
</f>
        <v/>
      </c>
      <c r="B767" s="6" t="str">
        <f t="array" ref="B767">IF(I767="","",IFERROR(INDEX(CONFIGURACION!I:I,MATCH(I767,CONFIGURACION!J:J,0)),""))
</f>
        <v/>
      </c>
      <c r="C767" s="6"/>
      <c r="D767" s="25"/>
      <c r="E767" s="28"/>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 r="A768" s="6" t="str">
        <f t="array" ref="A768">IF(I768="","",IFERROR(INDEX(CONFIGURACION!H:H,MATCH(I768,CONFIGURACION!J:J,0)),""))
</f>
        <v/>
      </c>
      <c r="B768" s="6" t="str">
        <f t="array" ref="B768">IF(I768="","",IFERROR(INDEX(CONFIGURACION!I:I,MATCH(I768,CONFIGURACION!J:J,0)),""))
</f>
        <v/>
      </c>
      <c r="C768" s="6"/>
      <c r="D768" s="25"/>
      <c r="E768" s="28"/>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 r="A769" s="6" t="str">
        <f t="array" ref="A769">IF(I769="","",IFERROR(INDEX(CONFIGURACION!H:H,MATCH(I769,CONFIGURACION!J:J,0)),""))
</f>
        <v/>
      </c>
      <c r="B769" s="6" t="str">
        <f t="array" ref="B769">IF(I769="","",IFERROR(INDEX(CONFIGURACION!I:I,MATCH(I769,CONFIGURACION!J:J,0)),""))
</f>
        <v/>
      </c>
      <c r="C769" s="6"/>
      <c r="D769" s="25"/>
      <c r="E769" s="28"/>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 r="A770" s="6" t="str">
        <f t="array" ref="A770">IF(I770="","",IFERROR(INDEX(CONFIGURACION!H:H,MATCH(I770,CONFIGURACION!J:J,0)),""))
</f>
        <v/>
      </c>
      <c r="B770" s="6" t="str">
        <f t="array" ref="B770">IF(I770="","",IFERROR(INDEX(CONFIGURACION!I:I,MATCH(I770,CONFIGURACION!J:J,0)),""))
</f>
        <v/>
      </c>
      <c r="C770" s="6"/>
      <c r="D770" s="25"/>
      <c r="E770" s="28"/>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 r="A771" s="6" t="str">
        <f t="array" ref="A771">IF(I771="","",IFERROR(INDEX(CONFIGURACION!H:H,MATCH(I771,CONFIGURACION!J:J,0)),""))
</f>
        <v/>
      </c>
      <c r="B771" s="6" t="str">
        <f t="array" ref="B771">IF(I771="","",IFERROR(INDEX(CONFIGURACION!I:I,MATCH(I771,CONFIGURACION!J:J,0)),""))
</f>
        <v/>
      </c>
      <c r="C771" s="6"/>
      <c r="D771" s="25"/>
      <c r="E771" s="28"/>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 r="A772" s="6" t="str">
        <f t="array" ref="A772">IF(I772="","",IFERROR(INDEX(CONFIGURACION!H:H,MATCH(I772,CONFIGURACION!J:J,0)),""))
</f>
        <v/>
      </c>
      <c r="B772" s="6" t="str">
        <f t="array" ref="B772">IF(I772="","",IFERROR(INDEX(CONFIGURACION!I:I,MATCH(I772,CONFIGURACION!J:J,0)),""))
</f>
        <v/>
      </c>
      <c r="C772" s="6"/>
      <c r="D772" s="25"/>
      <c r="E772" s="28"/>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 r="A773" s="6" t="str">
        <f t="array" ref="A773">IF(I773="","",IFERROR(INDEX(CONFIGURACION!H:H,MATCH(I773,CONFIGURACION!J:J,0)),""))
</f>
        <v/>
      </c>
      <c r="B773" s="6" t="str">
        <f t="array" ref="B773">IF(I773="","",IFERROR(INDEX(CONFIGURACION!I:I,MATCH(I773,CONFIGURACION!J:J,0)),""))
</f>
        <v/>
      </c>
      <c r="C773" s="6"/>
      <c r="D773" s="25"/>
      <c r="E773" s="28"/>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 r="A774" s="6" t="str">
        <f t="array" ref="A774">IF(I774="","",IFERROR(INDEX(CONFIGURACION!H:H,MATCH(I774,CONFIGURACION!J:J,0)),""))
</f>
        <v/>
      </c>
      <c r="B774" s="6" t="str">
        <f t="array" ref="B774">IF(I774="","",IFERROR(INDEX(CONFIGURACION!I:I,MATCH(I774,CONFIGURACION!J:J,0)),""))
</f>
        <v/>
      </c>
      <c r="C774" s="6"/>
      <c r="D774" s="25"/>
      <c r="E774" s="28"/>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 r="A775" s="6" t="str">
        <f t="array" ref="A775">IF(I775="","",IFERROR(INDEX(CONFIGURACION!H:H,MATCH(I775,CONFIGURACION!J:J,0)),""))
</f>
        <v/>
      </c>
      <c r="B775" s="6" t="str">
        <f t="array" ref="B775">IF(I775="","",IFERROR(INDEX(CONFIGURACION!I:I,MATCH(I775,CONFIGURACION!J:J,0)),""))
</f>
        <v/>
      </c>
      <c r="C775" s="6"/>
      <c r="D775" s="25"/>
      <c r="E775" s="28"/>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 r="A776" s="6" t="str">
        <f t="array" ref="A776">IF(I776="","",IFERROR(INDEX(CONFIGURACION!H:H,MATCH(I776,CONFIGURACION!J:J,0)),""))
</f>
        <v/>
      </c>
      <c r="B776" s="6" t="str">
        <f t="array" ref="B776">IF(I776="","",IFERROR(INDEX(CONFIGURACION!I:I,MATCH(I776,CONFIGURACION!J:J,0)),""))
</f>
        <v/>
      </c>
      <c r="C776" s="6"/>
      <c r="D776" s="25"/>
      <c r="E776" s="28"/>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 r="A777" s="6" t="str">
        <f t="array" ref="A777">IF(I777="","",IFERROR(INDEX(CONFIGURACION!H:H,MATCH(I777,CONFIGURACION!J:J,0)),""))
</f>
        <v/>
      </c>
      <c r="B777" s="6" t="str">
        <f t="array" ref="B777">IF(I777="","",IFERROR(INDEX(CONFIGURACION!I:I,MATCH(I777,CONFIGURACION!J:J,0)),""))
</f>
        <v/>
      </c>
      <c r="C777" s="6"/>
      <c r="D777" s="25"/>
      <c r="E777" s="28"/>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 r="A778" s="6" t="str">
        <f t="array" ref="A778">IF(I778="","",IFERROR(INDEX(CONFIGURACION!H:H,MATCH(I778,CONFIGURACION!J:J,0)),""))
</f>
        <v/>
      </c>
      <c r="B778" s="6" t="str">
        <f t="array" ref="B778">IF(I778="","",IFERROR(INDEX(CONFIGURACION!I:I,MATCH(I778,CONFIGURACION!J:J,0)),""))
</f>
        <v/>
      </c>
      <c r="C778" s="6"/>
      <c r="D778" s="25"/>
      <c r="E778" s="28"/>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 r="A779" s="6" t="str">
        <f t="array" ref="A779">IF(I779="","",IFERROR(INDEX(CONFIGURACION!H:H,MATCH(I779,CONFIGURACION!J:J,0)),""))
</f>
        <v/>
      </c>
      <c r="B779" s="6" t="str">
        <f t="array" ref="B779">IF(I779="","",IFERROR(INDEX(CONFIGURACION!I:I,MATCH(I779,CONFIGURACION!J:J,0)),""))
</f>
        <v/>
      </c>
      <c r="C779" s="6"/>
      <c r="D779" s="25"/>
      <c r="E779" s="28"/>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 r="A780" s="6" t="str">
        <f t="array" ref="A780">IF(I780="","",IFERROR(INDEX(CONFIGURACION!H:H,MATCH(I780,CONFIGURACION!J:J,0)),""))
</f>
        <v/>
      </c>
      <c r="B780" s="6" t="str">
        <f t="array" ref="B780">IF(I780="","",IFERROR(INDEX(CONFIGURACION!I:I,MATCH(I780,CONFIGURACION!J:J,0)),""))
</f>
        <v/>
      </c>
      <c r="C780" s="6"/>
      <c r="D780" s="25"/>
      <c r="E780" s="28"/>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 r="A781" s="6" t="str">
        <f t="array" ref="A781">IF(I781="","",IFERROR(INDEX(CONFIGURACION!H:H,MATCH(I781,CONFIGURACION!J:J,0)),""))
</f>
        <v/>
      </c>
      <c r="B781" s="6" t="str">
        <f t="array" ref="B781">IF(I781="","",IFERROR(INDEX(CONFIGURACION!I:I,MATCH(I781,CONFIGURACION!J:J,0)),""))
</f>
        <v/>
      </c>
      <c r="C781" s="6"/>
      <c r="D781" s="25"/>
      <c r="E781" s="28"/>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 r="A782" s="6" t="str">
        <f t="array" ref="A782">IF(I782="","",IFERROR(INDEX(CONFIGURACION!H:H,MATCH(I782,CONFIGURACION!J:J,0)),""))
</f>
        <v/>
      </c>
      <c r="B782" s="6" t="str">
        <f t="array" ref="B782">IF(I782="","",IFERROR(INDEX(CONFIGURACION!I:I,MATCH(I782,CONFIGURACION!J:J,0)),""))
</f>
        <v/>
      </c>
      <c r="C782" s="6"/>
      <c r="D782" s="25"/>
      <c r="E782" s="28"/>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 r="A783" s="6" t="str">
        <f t="array" ref="A783">IF(I783="","",IFERROR(INDEX(CONFIGURACION!H:H,MATCH(I783,CONFIGURACION!J:J,0)),""))
</f>
        <v/>
      </c>
      <c r="B783" s="6" t="str">
        <f t="array" ref="B783">IF(I783="","",IFERROR(INDEX(CONFIGURACION!I:I,MATCH(I783,CONFIGURACION!J:J,0)),""))
</f>
        <v/>
      </c>
      <c r="C783" s="6"/>
      <c r="D783" s="25"/>
      <c r="E783" s="28"/>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 r="A784" s="6" t="str">
        <f t="array" ref="A784">IF(I784="","",IFERROR(INDEX(CONFIGURACION!H:H,MATCH(I784,CONFIGURACION!J:J,0)),""))
</f>
        <v/>
      </c>
      <c r="B784" s="6" t="str">
        <f t="array" ref="B784">IF(I784="","",IFERROR(INDEX(CONFIGURACION!I:I,MATCH(I784,CONFIGURACION!J:J,0)),""))
</f>
        <v/>
      </c>
      <c r="C784" s="6"/>
      <c r="D784" s="25"/>
      <c r="E784" s="28"/>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 r="A785" s="6" t="str">
        <f t="array" ref="A785">IF(I785="","",IFERROR(INDEX(CONFIGURACION!H:H,MATCH(I785,CONFIGURACION!J:J,0)),""))
</f>
        <v/>
      </c>
      <c r="B785" s="6" t="str">
        <f t="array" ref="B785">IF(I785="","",IFERROR(INDEX(CONFIGURACION!I:I,MATCH(I785,CONFIGURACION!J:J,0)),""))
</f>
        <v/>
      </c>
      <c r="C785" s="6"/>
      <c r="D785" s="25"/>
      <c r="E785" s="28"/>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 r="A786" s="6" t="str">
        <f t="array" ref="A786">IF(I786="","",IFERROR(INDEX(CONFIGURACION!H:H,MATCH(I786,CONFIGURACION!J:J,0)),""))
</f>
        <v/>
      </c>
      <c r="B786" s="6" t="str">
        <f t="array" ref="B786">IF(I786="","",IFERROR(INDEX(CONFIGURACION!I:I,MATCH(I786,CONFIGURACION!J:J,0)),""))
</f>
        <v/>
      </c>
      <c r="C786" s="6"/>
      <c r="D786" s="25"/>
      <c r="E786" s="28"/>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 r="A787" s="6" t="str">
        <f t="array" ref="A787">IF(I787="","",IFERROR(INDEX(CONFIGURACION!H:H,MATCH(I787,CONFIGURACION!J:J,0)),""))
</f>
        <v/>
      </c>
      <c r="B787" s="6" t="str">
        <f t="array" ref="B787">IF(I787="","",IFERROR(INDEX(CONFIGURACION!I:I,MATCH(I787,CONFIGURACION!J:J,0)),""))
</f>
        <v/>
      </c>
      <c r="C787" s="6"/>
      <c r="D787" s="25"/>
      <c r="E787" s="28"/>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 r="A788" s="6" t="str">
        <f t="array" ref="A788">IF(I788="","",IFERROR(INDEX(CONFIGURACION!H:H,MATCH(I788,CONFIGURACION!J:J,0)),""))
</f>
        <v/>
      </c>
      <c r="B788" s="6" t="str">
        <f t="array" ref="B788">IF(I788="","",IFERROR(INDEX(CONFIGURACION!I:I,MATCH(I788,CONFIGURACION!J:J,0)),""))
</f>
        <v/>
      </c>
      <c r="C788" s="6"/>
      <c r="D788" s="25"/>
      <c r="E788" s="28"/>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 r="A789" s="6" t="str">
        <f t="array" ref="A789">IF(I789="","",IFERROR(INDEX(CONFIGURACION!H:H,MATCH(I789,CONFIGURACION!J:J,0)),""))
</f>
        <v/>
      </c>
      <c r="B789" s="6" t="str">
        <f t="array" ref="B789">IF(I789="","",IFERROR(INDEX(CONFIGURACION!I:I,MATCH(I789,CONFIGURACION!J:J,0)),""))
</f>
        <v/>
      </c>
      <c r="C789" s="6"/>
      <c r="D789" s="25"/>
      <c r="E789" s="28"/>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 r="A790" s="6" t="str">
        <f t="array" ref="A790">IF(I790="","",IFERROR(INDEX(CONFIGURACION!H:H,MATCH(I790,CONFIGURACION!J:J,0)),""))
</f>
        <v/>
      </c>
      <c r="B790" s="6" t="str">
        <f t="array" ref="B790">IF(I790="","",IFERROR(INDEX(CONFIGURACION!I:I,MATCH(I790,CONFIGURACION!J:J,0)),""))
</f>
        <v/>
      </c>
      <c r="C790" s="6"/>
      <c r="D790" s="25"/>
      <c r="E790" s="28"/>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 r="A791" s="6" t="str">
        <f t="array" ref="A791">IF(I791="","",IFERROR(INDEX(CONFIGURACION!H:H,MATCH(I791,CONFIGURACION!J:J,0)),""))
</f>
        <v/>
      </c>
      <c r="B791" s="6" t="str">
        <f t="array" ref="B791">IF(I791="","",IFERROR(INDEX(CONFIGURACION!I:I,MATCH(I791,CONFIGURACION!J:J,0)),""))
</f>
        <v/>
      </c>
      <c r="C791" s="6"/>
      <c r="D791" s="25"/>
      <c r="E791" s="28"/>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 r="A792" s="6" t="str">
        <f t="array" ref="A792">IF(I792="","",IFERROR(INDEX(CONFIGURACION!H:H,MATCH(I792,CONFIGURACION!J:J,0)),""))
</f>
        <v/>
      </c>
      <c r="B792" s="6" t="str">
        <f t="array" ref="B792">IF(I792="","",IFERROR(INDEX(CONFIGURACION!I:I,MATCH(I792,CONFIGURACION!J:J,0)),""))
</f>
        <v/>
      </c>
      <c r="C792" s="6"/>
      <c r="D792" s="25"/>
      <c r="E792" s="28"/>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 r="A793" s="6" t="str">
        <f t="array" ref="A793">IF(I793="","",IFERROR(INDEX(CONFIGURACION!H:H,MATCH(I793,CONFIGURACION!J:J,0)),""))
</f>
        <v/>
      </c>
      <c r="B793" s="6" t="str">
        <f t="array" ref="B793">IF(I793="","",IFERROR(INDEX(CONFIGURACION!I:I,MATCH(I793,CONFIGURACION!J:J,0)),""))
</f>
        <v/>
      </c>
      <c r="C793" s="6"/>
      <c r="D793" s="25"/>
      <c r="E793" s="28"/>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 r="A794" s="6" t="str">
        <f t="array" ref="A794">IF(I794="","",IFERROR(INDEX(CONFIGURACION!H:H,MATCH(I794,CONFIGURACION!J:J,0)),""))
</f>
        <v/>
      </c>
      <c r="B794" s="6" t="str">
        <f t="array" ref="B794">IF(I794="","",IFERROR(INDEX(CONFIGURACION!I:I,MATCH(I794,CONFIGURACION!J:J,0)),""))
</f>
        <v/>
      </c>
      <c r="C794" s="6"/>
      <c r="D794" s="25"/>
      <c r="E794" s="28"/>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 r="A795" s="6" t="str">
        <f t="array" ref="A795">IF(I795="","",IFERROR(INDEX(CONFIGURACION!H:H,MATCH(I795,CONFIGURACION!J:J,0)),""))
</f>
        <v/>
      </c>
      <c r="B795" s="6" t="str">
        <f t="array" ref="B795">IF(I795="","",IFERROR(INDEX(CONFIGURACION!I:I,MATCH(I795,CONFIGURACION!J:J,0)),""))
</f>
        <v/>
      </c>
      <c r="C795" s="6"/>
      <c r="D795" s="25"/>
      <c r="E795" s="28"/>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 r="A796" s="6" t="str">
        <f t="array" ref="A796">IF(I796="","",IFERROR(INDEX(CONFIGURACION!H:H,MATCH(I796,CONFIGURACION!J:J,0)),""))
</f>
        <v/>
      </c>
      <c r="B796" s="6" t="str">
        <f t="array" ref="B796">IF(I796="","",IFERROR(INDEX(CONFIGURACION!I:I,MATCH(I796,CONFIGURACION!J:J,0)),""))
</f>
        <v/>
      </c>
      <c r="C796" s="6"/>
      <c r="D796" s="25"/>
      <c r="E796" s="28"/>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 r="A797" s="6" t="str">
        <f t="array" ref="A797">IF(I797="","",IFERROR(INDEX(CONFIGURACION!H:H,MATCH(I797,CONFIGURACION!J:J,0)),""))
</f>
        <v/>
      </c>
      <c r="B797" s="6" t="str">
        <f t="array" ref="B797">IF(I797="","",IFERROR(INDEX(CONFIGURACION!I:I,MATCH(I797,CONFIGURACION!J:J,0)),""))
</f>
        <v/>
      </c>
      <c r="C797" s="6"/>
      <c r="D797" s="25"/>
      <c r="E797" s="28"/>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 r="A798" s="6" t="str">
        <f t="array" ref="A798">IF(I798="","",IFERROR(INDEX(CONFIGURACION!H:H,MATCH(I798,CONFIGURACION!J:J,0)),""))
</f>
        <v/>
      </c>
      <c r="B798" s="6" t="str">
        <f t="array" ref="B798">IF(I798="","",IFERROR(INDEX(CONFIGURACION!I:I,MATCH(I798,CONFIGURACION!J:J,0)),""))
</f>
        <v/>
      </c>
      <c r="C798" s="6"/>
      <c r="D798" s="25"/>
      <c r="E798" s="28"/>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 r="A799" s="6" t="str">
        <f t="array" ref="A799">IF(I799="","",IFERROR(INDEX(CONFIGURACION!H:H,MATCH(I799,CONFIGURACION!J:J,0)),""))
</f>
        <v/>
      </c>
      <c r="B799" s="6" t="str">
        <f t="array" ref="B799">IF(I799="","",IFERROR(INDEX(CONFIGURACION!I:I,MATCH(I799,CONFIGURACION!J:J,0)),""))
</f>
        <v/>
      </c>
      <c r="C799" s="6"/>
      <c r="D799" s="25"/>
      <c r="E799" s="28"/>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 r="A800" s="6" t="str">
        <f t="array" ref="A800">IF(I800="","",IFERROR(INDEX(CONFIGURACION!H:H,MATCH(I800,CONFIGURACION!J:J,0)),""))
</f>
        <v/>
      </c>
      <c r="B800" s="6" t="str">
        <f t="array" ref="B800">IF(I800="","",IFERROR(INDEX(CONFIGURACION!I:I,MATCH(I800,CONFIGURACION!J:J,0)),""))
</f>
        <v/>
      </c>
      <c r="C800" s="6"/>
      <c r="D800" s="25"/>
      <c r="E800" s="28"/>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 r="A801" s="6" t="str">
        <f t="array" ref="A801">IF(I801="","",IFERROR(INDEX(CONFIGURACION!H:H,MATCH(I801,CONFIGURACION!J:J,0)),""))
</f>
        <v/>
      </c>
      <c r="B801" s="6" t="str">
        <f t="array" ref="B801">IF(I801="","",IFERROR(INDEX(CONFIGURACION!I:I,MATCH(I801,CONFIGURACION!J:J,0)),""))
</f>
        <v/>
      </c>
      <c r="C801" s="6"/>
      <c r="D801" s="25"/>
      <c r="E801" s="28"/>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 r="A802" s="6" t="str">
        <f t="array" ref="A802">IF(I802="","",IFERROR(INDEX(CONFIGURACION!H:H,MATCH(I802,CONFIGURACION!J:J,0)),""))
</f>
        <v/>
      </c>
      <c r="B802" s="6" t="str">
        <f t="array" ref="B802">IF(I802="","",IFERROR(INDEX(CONFIGURACION!I:I,MATCH(I802,CONFIGURACION!J:J,0)),""))
</f>
        <v/>
      </c>
      <c r="C802" s="6"/>
      <c r="D802" s="25"/>
      <c r="E802" s="28"/>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 r="A803" s="6" t="str">
        <f t="array" ref="A803">IF(I803="","",IFERROR(INDEX(CONFIGURACION!H:H,MATCH(I803,CONFIGURACION!J:J,0)),""))
</f>
        <v/>
      </c>
      <c r="B803" s="6" t="str">
        <f t="array" ref="B803">IF(I803="","",IFERROR(INDEX(CONFIGURACION!I:I,MATCH(I803,CONFIGURACION!J:J,0)),""))
</f>
        <v/>
      </c>
      <c r="C803" s="6"/>
      <c r="D803" s="25"/>
      <c r="E803" s="28"/>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 r="A804" s="6" t="str">
        <f t="array" ref="A804">IF(I804="","",IFERROR(INDEX(CONFIGURACION!H:H,MATCH(I804,CONFIGURACION!J:J,0)),""))
</f>
        <v/>
      </c>
      <c r="B804" s="6" t="str">
        <f t="array" ref="B804">IF(I804="","",IFERROR(INDEX(CONFIGURACION!I:I,MATCH(I804,CONFIGURACION!J:J,0)),""))
</f>
        <v/>
      </c>
      <c r="C804" s="6"/>
      <c r="D804" s="25"/>
      <c r="E804" s="28"/>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 r="A805" s="6" t="str">
        <f t="array" ref="A805">IF(I805="","",IFERROR(INDEX(CONFIGURACION!H:H,MATCH(I805,CONFIGURACION!J:J,0)),""))
</f>
        <v/>
      </c>
      <c r="B805" s="6" t="str">
        <f t="array" ref="B805">IF(I805="","",IFERROR(INDEX(CONFIGURACION!I:I,MATCH(I805,CONFIGURACION!J:J,0)),""))
</f>
        <v/>
      </c>
      <c r="C805" s="6"/>
      <c r="D805" s="25"/>
      <c r="E805" s="28"/>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 r="A806" s="6" t="str">
        <f t="array" ref="A806">IF(I806="","",IFERROR(INDEX(CONFIGURACION!H:H,MATCH(I806,CONFIGURACION!J:J,0)),""))
</f>
        <v/>
      </c>
      <c r="B806" s="6" t="str">
        <f t="array" ref="B806">IF(I806="","",IFERROR(INDEX(CONFIGURACION!I:I,MATCH(I806,CONFIGURACION!J:J,0)),""))
</f>
        <v/>
      </c>
      <c r="C806" s="6"/>
      <c r="D806" s="25"/>
      <c r="E806" s="28"/>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 r="A807" s="6" t="str">
        <f t="array" ref="A807">IF(I807="","",IFERROR(INDEX(CONFIGURACION!H:H,MATCH(I807,CONFIGURACION!J:J,0)),""))
</f>
        <v/>
      </c>
      <c r="B807" s="6" t="str">
        <f t="array" ref="B807">IF(I807="","",IFERROR(INDEX(CONFIGURACION!I:I,MATCH(I807,CONFIGURACION!J:J,0)),""))
</f>
        <v/>
      </c>
      <c r="C807" s="6"/>
      <c r="D807" s="25"/>
      <c r="E807" s="28"/>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 r="A808" s="6" t="str">
        <f t="array" ref="A808">IF(I808="","",IFERROR(INDEX(CONFIGURACION!H:H,MATCH(I808,CONFIGURACION!J:J,0)),""))
</f>
        <v/>
      </c>
      <c r="B808" s="6" t="str">
        <f t="array" ref="B808">IF(I808="","",IFERROR(INDEX(CONFIGURACION!I:I,MATCH(I808,CONFIGURACION!J:J,0)),""))
</f>
        <v/>
      </c>
      <c r="C808" s="6"/>
      <c r="D808" s="25"/>
      <c r="E808" s="28"/>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 r="A809" s="6" t="str">
        <f t="array" ref="A809">IF(I809="","",IFERROR(INDEX(CONFIGURACION!H:H,MATCH(I809,CONFIGURACION!J:J,0)),""))
</f>
        <v/>
      </c>
      <c r="B809" s="6" t="str">
        <f t="array" ref="B809">IF(I809="","",IFERROR(INDEX(CONFIGURACION!I:I,MATCH(I809,CONFIGURACION!J:J,0)),""))
</f>
        <v/>
      </c>
      <c r="C809" s="6"/>
      <c r="D809" s="25"/>
      <c r="E809" s="28"/>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 r="A810" s="6" t="str">
        <f t="array" ref="A810">IF(I810="","",IFERROR(INDEX(CONFIGURACION!H:H,MATCH(I810,CONFIGURACION!J:J,0)),""))
</f>
        <v/>
      </c>
      <c r="B810" s="6" t="str">
        <f t="array" ref="B810">IF(I810="","",IFERROR(INDEX(CONFIGURACION!I:I,MATCH(I810,CONFIGURACION!J:J,0)),""))
</f>
        <v/>
      </c>
      <c r="C810" s="6"/>
      <c r="D810" s="25"/>
      <c r="E810" s="28"/>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 r="A811" s="6" t="str">
        <f t="array" ref="A811">IF(I811="","",IFERROR(INDEX(CONFIGURACION!H:H,MATCH(I811,CONFIGURACION!J:J,0)),""))
</f>
        <v/>
      </c>
      <c r="B811" s="6" t="str">
        <f t="array" ref="B811">IF(I811="","",IFERROR(INDEX(CONFIGURACION!I:I,MATCH(I811,CONFIGURACION!J:J,0)),""))
</f>
        <v/>
      </c>
      <c r="C811" s="6"/>
      <c r="D811" s="25"/>
      <c r="E811" s="28"/>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 r="A812" s="6" t="str">
        <f t="array" ref="A812">IF(I812="","",IFERROR(INDEX(CONFIGURACION!H:H,MATCH(I812,CONFIGURACION!J:J,0)),""))
</f>
        <v/>
      </c>
      <c r="B812" s="6" t="str">
        <f t="array" ref="B812">IF(I812="","",IFERROR(INDEX(CONFIGURACION!I:I,MATCH(I812,CONFIGURACION!J:J,0)),""))
</f>
        <v/>
      </c>
      <c r="C812" s="6"/>
      <c r="D812" s="25"/>
      <c r="E812" s="28"/>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 r="A813" s="6" t="str">
        <f t="array" ref="A813">IF(I813="","",IFERROR(INDEX(CONFIGURACION!H:H,MATCH(I813,CONFIGURACION!J:J,0)),""))
</f>
        <v/>
      </c>
      <c r="B813" s="6" t="str">
        <f t="array" ref="B813">IF(I813="","",IFERROR(INDEX(CONFIGURACION!I:I,MATCH(I813,CONFIGURACION!J:J,0)),""))
</f>
        <v/>
      </c>
      <c r="C813" s="6"/>
      <c r="D813" s="25"/>
      <c r="E813" s="28"/>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 r="A814" s="6" t="str">
        <f t="array" ref="A814">IF(I814="","",IFERROR(INDEX(CONFIGURACION!H:H,MATCH(I814,CONFIGURACION!J:J,0)),""))
</f>
        <v/>
      </c>
      <c r="B814" s="6" t="str">
        <f t="array" ref="B814">IF(I814="","",IFERROR(INDEX(CONFIGURACION!I:I,MATCH(I814,CONFIGURACION!J:J,0)),""))
</f>
        <v/>
      </c>
      <c r="C814" s="6"/>
      <c r="D814" s="25"/>
      <c r="E814" s="28"/>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 r="A815" s="6" t="str">
        <f t="array" ref="A815">IF(I815="","",IFERROR(INDEX(CONFIGURACION!H:H,MATCH(I815,CONFIGURACION!J:J,0)),""))
</f>
        <v/>
      </c>
      <c r="B815" s="6" t="str">
        <f t="array" ref="B815">IF(I815="","",IFERROR(INDEX(CONFIGURACION!I:I,MATCH(I815,CONFIGURACION!J:J,0)),""))
</f>
        <v/>
      </c>
      <c r="C815" s="6"/>
      <c r="D815" s="25"/>
      <c r="E815" s="28"/>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 r="A816" s="6" t="str">
        <f t="array" ref="A816">IF(I816="","",IFERROR(INDEX(CONFIGURACION!H:H,MATCH(I816,CONFIGURACION!J:J,0)),""))
</f>
        <v/>
      </c>
      <c r="B816" s="6" t="str">
        <f t="array" ref="B816">IF(I816="","",IFERROR(INDEX(CONFIGURACION!I:I,MATCH(I816,CONFIGURACION!J:J,0)),""))
</f>
        <v/>
      </c>
      <c r="C816" s="6"/>
      <c r="D816" s="25"/>
      <c r="E816" s="28"/>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 r="A817" s="6" t="str">
        <f t="array" ref="A817">IF(I817="","",IFERROR(INDEX(CONFIGURACION!H:H,MATCH(I817,CONFIGURACION!J:J,0)),""))
</f>
        <v/>
      </c>
      <c r="B817" s="6" t="str">
        <f t="array" ref="B817">IF(I817="","",IFERROR(INDEX(CONFIGURACION!I:I,MATCH(I817,CONFIGURACION!J:J,0)),""))
</f>
        <v/>
      </c>
      <c r="C817" s="6"/>
      <c r="D817" s="25"/>
      <c r="E817" s="28"/>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 r="A818" s="6" t="str">
        <f t="array" ref="A818">IF(I818="","",IFERROR(INDEX(CONFIGURACION!H:H,MATCH(I818,CONFIGURACION!J:J,0)),""))
</f>
        <v/>
      </c>
      <c r="B818" s="6" t="str">
        <f t="array" ref="B818">IF(I818="","",IFERROR(INDEX(CONFIGURACION!I:I,MATCH(I818,CONFIGURACION!J:J,0)),""))
</f>
        <v/>
      </c>
      <c r="C818" s="6"/>
      <c r="D818" s="25"/>
      <c r="E818" s="28"/>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 r="A819" s="6" t="str">
        <f t="array" ref="A819">IF(I819="","",IFERROR(INDEX(CONFIGURACION!H:H,MATCH(I819,CONFIGURACION!J:J,0)),""))
</f>
        <v/>
      </c>
      <c r="B819" s="6" t="str">
        <f t="array" ref="B819">IF(I819="","",IFERROR(INDEX(CONFIGURACION!I:I,MATCH(I819,CONFIGURACION!J:J,0)),""))
</f>
        <v/>
      </c>
      <c r="C819" s="6"/>
      <c r="D819" s="25"/>
      <c r="E819" s="28"/>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 r="A820" s="6" t="str">
        <f t="array" ref="A820">IF(I820="","",IFERROR(INDEX(CONFIGURACION!H:H,MATCH(I820,CONFIGURACION!J:J,0)),""))
</f>
        <v/>
      </c>
      <c r="B820" s="6" t="str">
        <f t="array" ref="B820">IF(I820="","",IFERROR(INDEX(CONFIGURACION!I:I,MATCH(I820,CONFIGURACION!J:J,0)),""))
</f>
        <v/>
      </c>
      <c r="C820" s="6"/>
      <c r="D820" s="25"/>
      <c r="E820" s="28"/>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 r="A821" s="6" t="str">
        <f t="array" ref="A821">IF(I821="","",IFERROR(INDEX(CONFIGURACION!H:H,MATCH(I821,CONFIGURACION!J:J,0)),""))
</f>
        <v/>
      </c>
      <c r="B821" s="6" t="str">
        <f t="array" ref="B821">IF(I821="","",IFERROR(INDEX(CONFIGURACION!I:I,MATCH(I821,CONFIGURACION!J:J,0)),""))
</f>
        <v/>
      </c>
      <c r="C821" s="6"/>
      <c r="D821" s="25"/>
      <c r="E821" s="28"/>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 r="A822" s="6" t="str">
        <f t="array" ref="A822">IF(I822="","",IFERROR(INDEX(CONFIGURACION!H:H,MATCH(I822,CONFIGURACION!J:J,0)),""))
</f>
        <v/>
      </c>
      <c r="B822" s="6" t="str">
        <f t="array" ref="B822">IF(I822="","",IFERROR(INDEX(CONFIGURACION!I:I,MATCH(I822,CONFIGURACION!J:J,0)),""))
</f>
        <v/>
      </c>
      <c r="C822" s="6"/>
      <c r="D822" s="25"/>
      <c r="E822" s="28"/>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 r="A823" s="6" t="str">
        <f t="array" ref="A823">IF(I823="","",IFERROR(INDEX(CONFIGURACION!H:H,MATCH(I823,CONFIGURACION!J:J,0)),""))
</f>
        <v/>
      </c>
      <c r="B823" s="6" t="str">
        <f t="array" ref="B823">IF(I823="","",IFERROR(INDEX(CONFIGURACION!I:I,MATCH(I823,CONFIGURACION!J:J,0)),""))
</f>
        <v/>
      </c>
      <c r="C823" s="6"/>
      <c r="D823" s="25"/>
      <c r="E823" s="28"/>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 r="A824" s="6" t="str">
        <f t="array" ref="A824">IF(I824="","",IFERROR(INDEX(CONFIGURACION!H:H,MATCH(I824,CONFIGURACION!J:J,0)),""))
</f>
        <v/>
      </c>
      <c r="B824" s="6" t="str">
        <f t="array" ref="B824">IF(I824="","",IFERROR(INDEX(CONFIGURACION!I:I,MATCH(I824,CONFIGURACION!J:J,0)),""))
</f>
        <v/>
      </c>
      <c r="C824" s="6"/>
      <c r="D824" s="25"/>
      <c r="E824" s="28"/>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 r="A825" s="6" t="str">
        <f t="array" ref="A825">IF(I825="","",IFERROR(INDEX(CONFIGURACION!H:H,MATCH(I825,CONFIGURACION!J:J,0)),""))
</f>
        <v/>
      </c>
      <c r="B825" s="6" t="str">
        <f t="array" ref="B825">IF(I825="","",IFERROR(INDEX(CONFIGURACION!I:I,MATCH(I825,CONFIGURACION!J:J,0)),""))
</f>
        <v/>
      </c>
      <c r="C825" s="6"/>
      <c r="D825" s="25"/>
      <c r="E825" s="28"/>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 r="A826" s="6" t="str">
        <f t="array" ref="A826">IF(I826="","",IFERROR(INDEX(CONFIGURACION!H:H,MATCH(I826,CONFIGURACION!J:J,0)),""))
</f>
        <v/>
      </c>
      <c r="B826" s="6" t="str">
        <f t="array" ref="B826">IF(I826="","",IFERROR(INDEX(CONFIGURACION!I:I,MATCH(I826,CONFIGURACION!J:J,0)),""))
</f>
        <v/>
      </c>
      <c r="C826" s="6"/>
      <c r="D826" s="25"/>
      <c r="E826" s="28"/>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 r="A827" s="6" t="str">
        <f t="array" ref="A827">IF(I827="","",IFERROR(INDEX(CONFIGURACION!H:H,MATCH(I827,CONFIGURACION!J:J,0)),""))
</f>
        <v/>
      </c>
      <c r="B827" s="6" t="str">
        <f t="array" ref="B827">IF(I827="","",IFERROR(INDEX(CONFIGURACION!I:I,MATCH(I827,CONFIGURACION!J:J,0)),""))
</f>
        <v/>
      </c>
      <c r="C827" s="6"/>
      <c r="D827" s="25"/>
      <c r="E827" s="28"/>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 r="A828" s="6" t="str">
        <f t="array" ref="A828">IF(I828="","",IFERROR(INDEX(CONFIGURACION!H:H,MATCH(I828,CONFIGURACION!J:J,0)),""))
</f>
        <v/>
      </c>
      <c r="B828" s="6" t="str">
        <f t="array" ref="B828">IF(I828="","",IFERROR(INDEX(CONFIGURACION!I:I,MATCH(I828,CONFIGURACION!J:J,0)),""))
</f>
        <v/>
      </c>
      <c r="C828" s="6"/>
      <c r="D828" s="25"/>
      <c r="E828" s="28"/>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 r="A829" s="6" t="str">
        <f t="array" ref="A829">IF(I829="","",IFERROR(INDEX(CONFIGURACION!H:H,MATCH(I829,CONFIGURACION!J:J,0)),""))
</f>
        <v/>
      </c>
      <c r="B829" s="6" t="str">
        <f t="array" ref="B829">IF(I829="","",IFERROR(INDEX(CONFIGURACION!I:I,MATCH(I829,CONFIGURACION!J:J,0)),""))
</f>
        <v/>
      </c>
      <c r="C829" s="6"/>
      <c r="D829" s="25"/>
      <c r="E829" s="28"/>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 r="A830" s="6" t="str">
        <f t="array" ref="A830">IF(I830="","",IFERROR(INDEX(CONFIGURACION!H:H,MATCH(I830,CONFIGURACION!J:J,0)),""))
</f>
        <v/>
      </c>
      <c r="B830" s="6" t="str">
        <f t="array" ref="B830">IF(I830="","",IFERROR(INDEX(CONFIGURACION!I:I,MATCH(I830,CONFIGURACION!J:J,0)),""))
</f>
        <v/>
      </c>
      <c r="C830" s="6"/>
      <c r="D830" s="25"/>
      <c r="E830" s="28"/>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 r="A831" s="6" t="str">
        <f t="array" ref="A831">IF(I831="","",IFERROR(INDEX(CONFIGURACION!H:H,MATCH(I831,CONFIGURACION!J:J,0)),""))
</f>
        <v/>
      </c>
      <c r="B831" s="6" t="str">
        <f t="array" ref="B831">IF(I831="","",IFERROR(INDEX(CONFIGURACION!I:I,MATCH(I831,CONFIGURACION!J:J,0)),""))
</f>
        <v/>
      </c>
      <c r="C831" s="6"/>
      <c r="D831" s="25"/>
      <c r="E831" s="28"/>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 r="A832" s="6" t="str">
        <f t="array" ref="A832">IF(I832="","",IFERROR(INDEX(CONFIGURACION!H:H,MATCH(I832,CONFIGURACION!J:J,0)),""))
</f>
        <v/>
      </c>
      <c r="B832" s="6" t="str">
        <f t="array" ref="B832">IF(I832="","",IFERROR(INDEX(CONFIGURACION!I:I,MATCH(I832,CONFIGURACION!J:J,0)),""))
</f>
        <v/>
      </c>
      <c r="C832" s="6"/>
      <c r="D832" s="25"/>
      <c r="E832" s="28"/>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 r="A833" s="6" t="str">
        <f t="array" ref="A833">IF(I833="","",IFERROR(INDEX(CONFIGURACION!H:H,MATCH(I833,CONFIGURACION!J:J,0)),""))
</f>
        <v/>
      </c>
      <c r="B833" s="6" t="str">
        <f t="array" ref="B833">IF(I833="","",IFERROR(INDEX(CONFIGURACION!I:I,MATCH(I833,CONFIGURACION!J:J,0)),""))
</f>
        <v/>
      </c>
      <c r="C833" s="6"/>
      <c r="D833" s="25"/>
      <c r="E833" s="28"/>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 r="A834" s="6" t="str">
        <f t="array" ref="A834">IF(I834="","",IFERROR(INDEX(CONFIGURACION!H:H,MATCH(I834,CONFIGURACION!J:J,0)),""))
</f>
        <v/>
      </c>
      <c r="B834" s="6" t="str">
        <f t="array" ref="B834">IF(I834="","",IFERROR(INDEX(CONFIGURACION!I:I,MATCH(I834,CONFIGURACION!J:J,0)),""))
</f>
        <v/>
      </c>
      <c r="C834" s="6"/>
      <c r="D834" s="25"/>
      <c r="E834" s="28"/>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 r="A835" s="6" t="str">
        <f t="array" ref="A835">IF(I835="","",IFERROR(INDEX(CONFIGURACION!H:H,MATCH(I835,CONFIGURACION!J:J,0)),""))
</f>
        <v/>
      </c>
      <c r="B835" s="6" t="str">
        <f t="array" ref="B835">IF(I835="","",IFERROR(INDEX(CONFIGURACION!I:I,MATCH(I835,CONFIGURACION!J:J,0)),""))
</f>
        <v/>
      </c>
      <c r="C835" s="6"/>
      <c r="D835" s="25"/>
      <c r="E835" s="28"/>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 r="A836" s="6" t="str">
        <f t="array" ref="A836">IF(I836="","",IFERROR(INDEX(CONFIGURACION!H:H,MATCH(I836,CONFIGURACION!J:J,0)),""))
</f>
        <v/>
      </c>
      <c r="B836" s="6" t="str">
        <f t="array" ref="B836">IF(I836="","",IFERROR(INDEX(CONFIGURACION!I:I,MATCH(I836,CONFIGURACION!J:J,0)),""))
</f>
        <v/>
      </c>
      <c r="C836" s="6"/>
      <c r="D836" s="25"/>
      <c r="E836" s="28"/>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 r="A837" s="6" t="str">
        <f t="array" ref="A837">IF(I837="","",IFERROR(INDEX(CONFIGURACION!H:H,MATCH(I837,CONFIGURACION!J:J,0)),""))
</f>
        <v/>
      </c>
      <c r="B837" s="6" t="str">
        <f t="array" ref="B837">IF(I837="","",IFERROR(INDEX(CONFIGURACION!I:I,MATCH(I837,CONFIGURACION!J:J,0)),""))
</f>
        <v/>
      </c>
      <c r="C837" s="6"/>
      <c r="D837" s="25"/>
      <c r="E837" s="28"/>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 r="A838" s="6" t="str">
        <f t="array" ref="A838">IF(I838="","",IFERROR(INDEX(CONFIGURACION!H:H,MATCH(I838,CONFIGURACION!J:J,0)),""))
</f>
        <v/>
      </c>
      <c r="B838" s="6" t="str">
        <f t="array" ref="B838">IF(I838="","",IFERROR(INDEX(CONFIGURACION!I:I,MATCH(I838,CONFIGURACION!J:J,0)),""))
</f>
        <v/>
      </c>
      <c r="C838" s="6"/>
      <c r="D838" s="25"/>
      <c r="E838" s="28"/>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 r="A839" s="6" t="str">
        <f t="array" ref="A839">IF(I839="","",IFERROR(INDEX(CONFIGURACION!H:H,MATCH(I839,CONFIGURACION!J:J,0)),""))
</f>
        <v/>
      </c>
      <c r="B839" s="6" t="str">
        <f t="array" ref="B839">IF(I839="","",IFERROR(INDEX(CONFIGURACION!I:I,MATCH(I839,CONFIGURACION!J:J,0)),""))
</f>
        <v/>
      </c>
      <c r="C839" s="6"/>
      <c r="D839" s="25"/>
      <c r="E839" s="28"/>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 r="A840" s="6" t="str">
        <f t="array" ref="A840">IF(I840="","",IFERROR(INDEX(CONFIGURACION!H:H,MATCH(I840,CONFIGURACION!J:J,0)),""))
</f>
        <v/>
      </c>
      <c r="B840" s="6" t="str">
        <f t="array" ref="B840">IF(I840="","",IFERROR(INDEX(CONFIGURACION!I:I,MATCH(I840,CONFIGURACION!J:J,0)),""))
</f>
        <v/>
      </c>
      <c r="C840" s="6"/>
      <c r="D840" s="25"/>
      <c r="E840" s="28"/>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 r="A841" s="6" t="str">
        <f t="array" ref="A841">IF(I841="","",IFERROR(INDEX(CONFIGURACION!H:H,MATCH(I841,CONFIGURACION!J:J,0)),""))
</f>
        <v/>
      </c>
      <c r="B841" s="6" t="str">
        <f t="array" ref="B841">IF(I841="","",IFERROR(INDEX(CONFIGURACION!I:I,MATCH(I841,CONFIGURACION!J:J,0)),""))
</f>
        <v/>
      </c>
      <c r="C841" s="6"/>
      <c r="D841" s="25"/>
      <c r="E841" s="28"/>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 r="A842" s="6" t="str">
        <f t="array" ref="A842">IF(I842="","",IFERROR(INDEX(CONFIGURACION!H:H,MATCH(I842,CONFIGURACION!J:J,0)),""))
</f>
        <v/>
      </c>
      <c r="B842" s="6" t="str">
        <f t="array" ref="B842">IF(I842="","",IFERROR(INDEX(CONFIGURACION!I:I,MATCH(I842,CONFIGURACION!J:J,0)),""))
</f>
        <v/>
      </c>
      <c r="C842" s="6"/>
      <c r="D842" s="25"/>
      <c r="E842" s="28"/>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 r="A843" s="6" t="str">
        <f t="array" ref="A843">IF(I843="","",IFERROR(INDEX(CONFIGURACION!H:H,MATCH(I843,CONFIGURACION!J:J,0)),""))
</f>
        <v/>
      </c>
      <c r="B843" s="6" t="str">
        <f t="array" ref="B843">IF(I843="","",IFERROR(INDEX(CONFIGURACION!I:I,MATCH(I843,CONFIGURACION!J:J,0)),""))
</f>
        <v/>
      </c>
      <c r="C843" s="6"/>
      <c r="D843" s="25"/>
      <c r="E843" s="28"/>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 r="A844" s="6" t="str">
        <f t="array" ref="A844">IF(I844="","",IFERROR(INDEX(CONFIGURACION!H:H,MATCH(I844,CONFIGURACION!J:J,0)),""))
</f>
        <v/>
      </c>
      <c r="B844" s="6" t="str">
        <f t="array" ref="B844">IF(I844="","",IFERROR(INDEX(CONFIGURACION!I:I,MATCH(I844,CONFIGURACION!J:J,0)),""))
</f>
        <v/>
      </c>
      <c r="C844" s="6"/>
      <c r="D844" s="25"/>
      <c r="E844" s="28"/>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 r="A845" s="6" t="str">
        <f t="array" ref="A845">IF(I845="","",IFERROR(INDEX(CONFIGURACION!H:H,MATCH(I845,CONFIGURACION!J:J,0)),""))
</f>
        <v/>
      </c>
      <c r="B845" s="6" t="str">
        <f t="array" ref="B845">IF(I845="","",IFERROR(INDEX(CONFIGURACION!I:I,MATCH(I845,CONFIGURACION!J:J,0)),""))
</f>
        <v/>
      </c>
      <c r="C845" s="6"/>
      <c r="D845" s="25"/>
      <c r="E845" s="28"/>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 r="A846" s="6" t="str">
        <f t="array" ref="A846">IF(I846="","",IFERROR(INDEX(CONFIGURACION!H:H,MATCH(I846,CONFIGURACION!J:J,0)),""))
</f>
        <v/>
      </c>
      <c r="B846" s="6" t="str">
        <f t="array" ref="B846">IF(I846="","",IFERROR(INDEX(CONFIGURACION!I:I,MATCH(I846,CONFIGURACION!J:J,0)),""))
</f>
        <v/>
      </c>
      <c r="C846" s="6"/>
      <c r="D846" s="25"/>
      <c r="E846" s="28"/>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 r="A847" s="6" t="str">
        <f t="array" ref="A847">IF(I847="","",IFERROR(INDEX(CONFIGURACION!H:H,MATCH(I847,CONFIGURACION!J:J,0)),""))
</f>
        <v/>
      </c>
      <c r="B847" s="6" t="str">
        <f t="array" ref="B847">IF(I847="","",IFERROR(INDEX(CONFIGURACION!I:I,MATCH(I847,CONFIGURACION!J:J,0)),""))
</f>
        <v/>
      </c>
      <c r="C847" s="6"/>
      <c r="D847" s="25"/>
      <c r="E847" s="28"/>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 r="A848" s="6" t="str">
        <f t="array" ref="A848">IF(I848="","",IFERROR(INDEX(CONFIGURACION!H:H,MATCH(I848,CONFIGURACION!J:J,0)),""))
</f>
        <v/>
      </c>
      <c r="B848" s="6" t="str">
        <f t="array" ref="B848">IF(I848="","",IFERROR(INDEX(CONFIGURACION!I:I,MATCH(I848,CONFIGURACION!J:J,0)),""))
</f>
        <v/>
      </c>
      <c r="C848" s="6"/>
      <c r="D848" s="25"/>
      <c r="E848" s="28"/>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 r="A849" s="6" t="str">
        <f t="array" ref="A849">IF(I849="","",IFERROR(INDEX(CONFIGURACION!H:H,MATCH(I849,CONFIGURACION!J:J,0)),""))
</f>
        <v/>
      </c>
      <c r="B849" s="6" t="str">
        <f t="array" ref="B849">IF(I849="","",IFERROR(INDEX(CONFIGURACION!I:I,MATCH(I849,CONFIGURACION!J:J,0)),""))
</f>
        <v/>
      </c>
      <c r="C849" s="6"/>
      <c r="D849" s="25"/>
      <c r="E849" s="28"/>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 r="A850" s="6" t="str">
        <f t="array" ref="A850">IF(I850="","",IFERROR(INDEX(CONFIGURACION!H:H,MATCH(I850,CONFIGURACION!J:J,0)),""))
</f>
        <v/>
      </c>
      <c r="B850" s="6" t="str">
        <f t="array" ref="B850">IF(I850="","",IFERROR(INDEX(CONFIGURACION!I:I,MATCH(I850,CONFIGURACION!J:J,0)),""))
</f>
        <v/>
      </c>
      <c r="C850" s="6"/>
      <c r="D850" s="25"/>
      <c r="E850" s="28"/>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 r="A851" s="6" t="str">
        <f t="array" ref="A851">IF(I851="","",IFERROR(INDEX(CONFIGURACION!H:H,MATCH(I851,CONFIGURACION!J:J,0)),""))
</f>
        <v/>
      </c>
      <c r="B851" s="6" t="str">
        <f t="array" ref="B851">IF(I851="","",IFERROR(INDEX(CONFIGURACION!I:I,MATCH(I851,CONFIGURACION!J:J,0)),""))
</f>
        <v/>
      </c>
      <c r="C851" s="6"/>
      <c r="D851" s="25"/>
      <c r="E851" s="28"/>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 r="A852" s="6" t="str">
        <f t="array" ref="A852">IF(I852="","",IFERROR(INDEX(CONFIGURACION!H:H,MATCH(I852,CONFIGURACION!J:J,0)),""))
</f>
        <v/>
      </c>
      <c r="B852" s="6" t="str">
        <f t="array" ref="B852">IF(I852="","",IFERROR(INDEX(CONFIGURACION!I:I,MATCH(I852,CONFIGURACION!J:J,0)),""))
</f>
        <v/>
      </c>
      <c r="C852" s="6"/>
      <c r="D852" s="25"/>
      <c r="E852" s="28"/>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 r="A853" s="6" t="str">
        <f t="array" ref="A853">IF(I853="","",IFERROR(INDEX(CONFIGURACION!H:H,MATCH(I853,CONFIGURACION!J:J,0)),""))
</f>
        <v/>
      </c>
      <c r="B853" s="6" t="str">
        <f t="array" ref="B853">IF(I853="","",IFERROR(INDEX(CONFIGURACION!I:I,MATCH(I853,CONFIGURACION!J:J,0)),""))
</f>
        <v/>
      </c>
      <c r="C853" s="6"/>
      <c r="D853" s="25"/>
      <c r="E853" s="28"/>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 r="A854" s="6" t="str">
        <f t="array" ref="A854">IF(I854="","",IFERROR(INDEX(CONFIGURACION!H:H,MATCH(I854,CONFIGURACION!J:J,0)),""))
</f>
        <v/>
      </c>
      <c r="B854" s="6" t="str">
        <f t="array" ref="B854">IF(I854="","",IFERROR(INDEX(CONFIGURACION!I:I,MATCH(I854,CONFIGURACION!J:J,0)),""))
</f>
        <v/>
      </c>
      <c r="C854" s="6"/>
      <c r="D854" s="25"/>
      <c r="E854" s="28"/>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 r="A855" s="6" t="str">
        <f t="array" ref="A855">IF(I855="","",IFERROR(INDEX(CONFIGURACION!H:H,MATCH(I855,CONFIGURACION!J:J,0)),""))
</f>
        <v/>
      </c>
      <c r="B855" s="6" t="str">
        <f t="array" ref="B855">IF(I855="","",IFERROR(INDEX(CONFIGURACION!I:I,MATCH(I855,CONFIGURACION!J:J,0)),""))
</f>
        <v/>
      </c>
      <c r="C855" s="6"/>
      <c r="D855" s="25"/>
      <c r="E855" s="28"/>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 r="A856" s="6" t="str">
        <f t="array" ref="A856">IF(I856="","",IFERROR(INDEX(CONFIGURACION!H:H,MATCH(I856,CONFIGURACION!J:J,0)),""))
</f>
        <v/>
      </c>
      <c r="B856" s="6" t="str">
        <f t="array" ref="B856">IF(I856="","",IFERROR(INDEX(CONFIGURACION!I:I,MATCH(I856,CONFIGURACION!J:J,0)),""))
</f>
        <v/>
      </c>
      <c r="C856" s="6"/>
      <c r="D856" s="25"/>
      <c r="E856" s="28"/>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 r="A857" s="6" t="str">
        <f t="array" ref="A857">IF(I857="","",IFERROR(INDEX(CONFIGURACION!H:H,MATCH(I857,CONFIGURACION!J:J,0)),""))
</f>
        <v/>
      </c>
      <c r="B857" s="6" t="str">
        <f t="array" ref="B857">IF(I857="","",IFERROR(INDEX(CONFIGURACION!I:I,MATCH(I857,CONFIGURACION!J:J,0)),""))
</f>
        <v/>
      </c>
      <c r="C857" s="6"/>
      <c r="D857" s="25"/>
      <c r="E857" s="28"/>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 r="A858" s="6" t="str">
        <f t="array" ref="A858">IF(I858="","",IFERROR(INDEX(CONFIGURACION!H:H,MATCH(I858,CONFIGURACION!J:J,0)),""))
</f>
        <v/>
      </c>
      <c r="B858" s="6" t="str">
        <f t="array" ref="B858">IF(I858="","",IFERROR(INDEX(CONFIGURACION!I:I,MATCH(I858,CONFIGURACION!J:J,0)),""))
</f>
        <v/>
      </c>
      <c r="C858" s="6"/>
      <c r="D858" s="25"/>
      <c r="E858" s="28"/>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 r="A859" s="6" t="str">
        <f t="array" ref="A859">IF(I859="","",IFERROR(INDEX(CONFIGURACION!H:H,MATCH(I859,CONFIGURACION!J:J,0)),""))
</f>
        <v/>
      </c>
      <c r="B859" s="6" t="str">
        <f t="array" ref="B859">IF(I859="","",IFERROR(INDEX(CONFIGURACION!I:I,MATCH(I859,CONFIGURACION!J:J,0)),""))
</f>
        <v/>
      </c>
      <c r="C859" s="6"/>
      <c r="D859" s="25"/>
      <c r="E859" s="28"/>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 r="A860" s="6" t="str">
        <f t="array" ref="A860">IF(I860="","",IFERROR(INDEX(CONFIGURACION!H:H,MATCH(I860,CONFIGURACION!J:J,0)),""))
</f>
        <v/>
      </c>
      <c r="B860" s="6" t="str">
        <f t="array" ref="B860">IF(I860="","",IFERROR(INDEX(CONFIGURACION!I:I,MATCH(I860,CONFIGURACION!J:J,0)),""))
</f>
        <v/>
      </c>
      <c r="C860" s="6"/>
      <c r="D860" s="25"/>
      <c r="E860" s="28"/>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 r="A861" s="6" t="str">
        <f t="array" ref="A861">IF(I861="","",IFERROR(INDEX(CONFIGURACION!H:H,MATCH(I861,CONFIGURACION!J:J,0)),""))
</f>
        <v/>
      </c>
      <c r="B861" s="6" t="str">
        <f t="array" ref="B861">IF(I861="","",IFERROR(INDEX(CONFIGURACION!I:I,MATCH(I861,CONFIGURACION!J:J,0)),""))
</f>
        <v/>
      </c>
      <c r="C861" s="6"/>
      <c r="D861" s="25"/>
      <c r="E861" s="28"/>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 r="A862" s="6" t="str">
        <f t="array" ref="A862">IF(I862="","",IFERROR(INDEX(CONFIGURACION!H:H,MATCH(I862,CONFIGURACION!J:J,0)),""))
</f>
        <v/>
      </c>
      <c r="B862" s="6" t="str">
        <f t="array" ref="B862">IF(I862="","",IFERROR(INDEX(CONFIGURACION!I:I,MATCH(I862,CONFIGURACION!J:J,0)),""))
</f>
        <v/>
      </c>
      <c r="C862" s="6"/>
      <c r="D862" s="25"/>
      <c r="E862" s="28"/>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 r="A863" s="6" t="str">
        <f t="array" ref="A863">IF(I863="","",IFERROR(INDEX(CONFIGURACION!H:H,MATCH(I863,CONFIGURACION!J:J,0)),""))
</f>
        <v/>
      </c>
      <c r="B863" s="6" t="str">
        <f t="array" ref="B863">IF(I863="","",IFERROR(INDEX(CONFIGURACION!I:I,MATCH(I863,CONFIGURACION!J:J,0)),""))
</f>
        <v/>
      </c>
      <c r="C863" s="6"/>
      <c r="D863" s="25"/>
      <c r="E863" s="28"/>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 r="A864" s="6" t="str">
        <f t="array" ref="A864">IF(I864="","",IFERROR(INDEX(CONFIGURACION!H:H,MATCH(I864,CONFIGURACION!J:J,0)),""))
</f>
        <v/>
      </c>
      <c r="B864" s="6" t="str">
        <f t="array" ref="B864">IF(I864="","",IFERROR(INDEX(CONFIGURACION!I:I,MATCH(I864,CONFIGURACION!J:J,0)),""))
</f>
        <v/>
      </c>
      <c r="C864" s="6"/>
      <c r="D864" s="25"/>
      <c r="E864" s="28"/>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 r="A865" s="6" t="str">
        <f t="array" ref="A865">IF(I865="","",IFERROR(INDEX(CONFIGURACION!H:H,MATCH(I865,CONFIGURACION!J:J,0)),""))
</f>
        <v/>
      </c>
      <c r="B865" s="6" t="str">
        <f t="array" ref="B865">IF(I865="","",IFERROR(INDEX(CONFIGURACION!I:I,MATCH(I865,CONFIGURACION!J:J,0)),""))
</f>
        <v/>
      </c>
      <c r="C865" s="6"/>
      <c r="D865" s="25"/>
      <c r="E865" s="28"/>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 r="A866" s="6" t="str">
        <f t="array" ref="A866">IF(I866="","",IFERROR(INDEX(CONFIGURACION!H:H,MATCH(I866,CONFIGURACION!J:J,0)),""))
</f>
        <v/>
      </c>
      <c r="B866" s="6" t="str">
        <f t="array" ref="B866">IF(I866="","",IFERROR(INDEX(CONFIGURACION!I:I,MATCH(I866,CONFIGURACION!J:J,0)),""))
</f>
        <v/>
      </c>
      <c r="C866" s="6"/>
      <c r="D866" s="25"/>
      <c r="E866" s="28"/>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 r="A867" s="6" t="str">
        <f t="array" ref="A867">IF(I867="","",IFERROR(INDEX(CONFIGURACION!H:H,MATCH(I867,CONFIGURACION!J:J,0)),""))
</f>
        <v/>
      </c>
      <c r="B867" s="6" t="str">
        <f t="array" ref="B867">IF(I867="","",IFERROR(INDEX(CONFIGURACION!I:I,MATCH(I867,CONFIGURACION!J:J,0)),""))
</f>
        <v/>
      </c>
      <c r="C867" s="6"/>
      <c r="D867" s="25"/>
      <c r="E867" s="28"/>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 r="A868" s="6" t="str">
        <f t="array" ref="A868">IF(I868="","",IFERROR(INDEX(CONFIGURACION!H:H,MATCH(I868,CONFIGURACION!J:J,0)),""))
</f>
        <v/>
      </c>
      <c r="B868" s="6" t="str">
        <f t="array" ref="B868">IF(I868="","",IFERROR(INDEX(CONFIGURACION!I:I,MATCH(I868,CONFIGURACION!J:J,0)),""))
</f>
        <v/>
      </c>
      <c r="C868" s="6"/>
      <c r="D868" s="25"/>
      <c r="E868" s="28"/>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 r="A869" s="6" t="str">
        <f t="array" ref="A869">IF(I869="","",IFERROR(INDEX(CONFIGURACION!H:H,MATCH(I869,CONFIGURACION!J:J,0)),""))
</f>
        <v/>
      </c>
      <c r="B869" s="6" t="str">
        <f t="array" ref="B869">IF(I869="","",IFERROR(INDEX(CONFIGURACION!I:I,MATCH(I869,CONFIGURACION!J:J,0)),""))
</f>
        <v/>
      </c>
      <c r="C869" s="6"/>
      <c r="D869" s="25"/>
      <c r="E869" s="28"/>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 r="A870" s="6" t="str">
        <f t="array" ref="A870">IF(I870="","",IFERROR(INDEX(CONFIGURACION!H:H,MATCH(I870,CONFIGURACION!J:J,0)),""))
</f>
        <v/>
      </c>
      <c r="B870" s="6" t="str">
        <f t="array" ref="B870">IF(I870="","",IFERROR(INDEX(CONFIGURACION!I:I,MATCH(I870,CONFIGURACION!J:J,0)),""))
</f>
        <v/>
      </c>
      <c r="C870" s="6"/>
      <c r="D870" s="25"/>
      <c r="E870" s="28"/>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 r="A871" s="6" t="str">
        <f t="array" ref="A871">IF(I871="","",IFERROR(INDEX(CONFIGURACION!H:H,MATCH(I871,CONFIGURACION!J:J,0)),""))
</f>
        <v/>
      </c>
      <c r="B871" s="6" t="str">
        <f t="array" ref="B871">IF(I871="","",IFERROR(INDEX(CONFIGURACION!I:I,MATCH(I871,CONFIGURACION!J:J,0)),""))
</f>
        <v/>
      </c>
      <c r="C871" s="6"/>
      <c r="D871" s="25"/>
      <c r="E871" s="28"/>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 r="A872" s="6" t="str">
        <f t="array" ref="A872">IF(I872="","",IFERROR(INDEX(CONFIGURACION!H:H,MATCH(I872,CONFIGURACION!J:J,0)),""))
</f>
        <v/>
      </c>
      <c r="B872" s="6" t="str">
        <f t="array" ref="B872">IF(I872="","",IFERROR(INDEX(CONFIGURACION!I:I,MATCH(I872,CONFIGURACION!J:J,0)),""))
</f>
        <v/>
      </c>
      <c r="C872" s="6"/>
      <c r="D872" s="25"/>
      <c r="E872" s="28"/>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 r="A873" s="6" t="str">
        <f t="array" ref="A873">IF(I873="","",IFERROR(INDEX(CONFIGURACION!H:H,MATCH(I873,CONFIGURACION!J:J,0)),""))
</f>
        <v/>
      </c>
      <c r="B873" s="6" t="str">
        <f t="array" ref="B873">IF(I873="","",IFERROR(INDEX(CONFIGURACION!I:I,MATCH(I873,CONFIGURACION!J:J,0)),""))
</f>
        <v/>
      </c>
      <c r="C873" s="6"/>
      <c r="D873" s="25"/>
      <c r="E873" s="28"/>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 r="A874" s="6" t="str">
        <f t="array" ref="A874">IF(I874="","",IFERROR(INDEX(CONFIGURACION!H:H,MATCH(I874,CONFIGURACION!J:J,0)),""))
</f>
        <v/>
      </c>
      <c r="B874" s="6" t="str">
        <f t="array" ref="B874">IF(I874="","",IFERROR(INDEX(CONFIGURACION!I:I,MATCH(I874,CONFIGURACION!J:J,0)),""))
</f>
        <v/>
      </c>
      <c r="C874" s="6"/>
      <c r="D874" s="25"/>
      <c r="E874" s="28"/>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 r="A875" s="6" t="str">
        <f t="array" ref="A875">IF(I875="","",IFERROR(INDEX(CONFIGURACION!H:H,MATCH(I875,CONFIGURACION!J:J,0)),""))
</f>
        <v/>
      </c>
      <c r="B875" s="6" t="str">
        <f t="array" ref="B875">IF(I875="","",IFERROR(INDEX(CONFIGURACION!I:I,MATCH(I875,CONFIGURACION!J:J,0)),""))
</f>
        <v/>
      </c>
      <c r="C875" s="6"/>
      <c r="D875" s="25"/>
      <c r="E875" s="28"/>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 r="A876" s="6" t="str">
        <f t="array" ref="A876">IF(I876="","",IFERROR(INDEX(CONFIGURACION!H:H,MATCH(I876,CONFIGURACION!J:J,0)),""))
</f>
        <v/>
      </c>
      <c r="B876" s="6" t="str">
        <f t="array" ref="B876">IF(I876="","",IFERROR(INDEX(CONFIGURACION!I:I,MATCH(I876,CONFIGURACION!J:J,0)),""))
</f>
        <v/>
      </c>
      <c r="C876" s="6"/>
      <c r="D876" s="25"/>
      <c r="E876" s="28"/>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 r="A877" s="6" t="str">
        <f t="array" ref="A877">IF(I877="","",IFERROR(INDEX(CONFIGURACION!H:H,MATCH(I877,CONFIGURACION!J:J,0)),""))
</f>
        <v/>
      </c>
      <c r="B877" s="6" t="str">
        <f t="array" ref="B877">IF(I877="","",IFERROR(INDEX(CONFIGURACION!I:I,MATCH(I877,CONFIGURACION!J:J,0)),""))
</f>
        <v/>
      </c>
      <c r="C877" s="6"/>
      <c r="D877" s="25"/>
      <c r="E877" s="28"/>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 r="A878" s="6" t="str">
        <f t="array" ref="A878">IF(I878="","",IFERROR(INDEX(CONFIGURACION!H:H,MATCH(I878,CONFIGURACION!J:J,0)),""))
</f>
        <v/>
      </c>
      <c r="B878" s="6" t="str">
        <f t="array" ref="B878">IF(I878="","",IFERROR(INDEX(CONFIGURACION!I:I,MATCH(I878,CONFIGURACION!J:J,0)),""))
</f>
        <v/>
      </c>
      <c r="C878" s="6"/>
      <c r="D878" s="25"/>
      <c r="E878" s="28"/>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 r="A879" s="6" t="str">
        <f t="array" ref="A879">IF(I879="","",IFERROR(INDEX(CONFIGURACION!H:H,MATCH(I879,CONFIGURACION!J:J,0)),""))
</f>
        <v/>
      </c>
      <c r="B879" s="6" t="str">
        <f t="array" ref="B879">IF(I879="","",IFERROR(INDEX(CONFIGURACION!I:I,MATCH(I879,CONFIGURACION!J:J,0)),""))
</f>
        <v/>
      </c>
      <c r="C879" s="6"/>
      <c r="D879" s="25"/>
      <c r="E879" s="28"/>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 r="A880" s="6" t="str">
        <f t="array" ref="A880">IF(I880="","",IFERROR(INDEX(CONFIGURACION!H:H,MATCH(I880,CONFIGURACION!J:J,0)),""))
</f>
        <v/>
      </c>
      <c r="B880" s="6" t="str">
        <f t="array" ref="B880">IF(I880="","",IFERROR(INDEX(CONFIGURACION!I:I,MATCH(I880,CONFIGURACION!J:J,0)),""))
</f>
        <v/>
      </c>
      <c r="C880" s="6"/>
      <c r="D880" s="25"/>
      <c r="E880" s="28"/>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 r="A881" s="6" t="str">
        <f t="array" ref="A881">IF(I881="","",IFERROR(INDEX(CONFIGURACION!H:H,MATCH(I881,CONFIGURACION!J:J,0)),""))
</f>
        <v/>
      </c>
      <c r="B881" s="6" t="str">
        <f t="array" ref="B881">IF(I881="","",IFERROR(INDEX(CONFIGURACION!I:I,MATCH(I881,CONFIGURACION!J:J,0)),""))
</f>
        <v/>
      </c>
      <c r="C881" s="6"/>
      <c r="D881" s="25"/>
      <c r="E881" s="28"/>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 r="A882" s="6" t="str">
        <f t="array" ref="A882">IF(I882="","",IFERROR(INDEX(CONFIGURACION!H:H,MATCH(I882,CONFIGURACION!J:J,0)),""))
</f>
        <v/>
      </c>
      <c r="B882" s="6" t="str">
        <f t="array" ref="B882">IF(I882="","",IFERROR(INDEX(CONFIGURACION!I:I,MATCH(I882,CONFIGURACION!J:J,0)),""))
</f>
        <v/>
      </c>
      <c r="C882" s="6"/>
      <c r="D882" s="25"/>
      <c r="E882" s="28"/>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 r="A883" s="6" t="str">
        <f t="array" ref="A883">IF(I883="","",IFERROR(INDEX(CONFIGURACION!H:H,MATCH(I883,CONFIGURACION!J:J,0)),""))
</f>
        <v/>
      </c>
      <c r="B883" s="6" t="str">
        <f t="array" ref="B883">IF(I883="","",IFERROR(INDEX(CONFIGURACION!I:I,MATCH(I883,CONFIGURACION!J:J,0)),""))
</f>
        <v/>
      </c>
      <c r="C883" s="6"/>
      <c r="D883" s="25"/>
      <c r="E883" s="28"/>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 r="A884" s="6" t="str">
        <f t="array" ref="A884">IF(I884="","",IFERROR(INDEX(CONFIGURACION!H:H,MATCH(I884,CONFIGURACION!J:J,0)),""))
</f>
        <v/>
      </c>
      <c r="B884" s="6" t="str">
        <f t="array" ref="B884">IF(I884="","",IFERROR(INDEX(CONFIGURACION!I:I,MATCH(I884,CONFIGURACION!J:J,0)),""))
</f>
        <v/>
      </c>
      <c r="C884" s="6"/>
      <c r="D884" s="25"/>
      <c r="E884" s="28"/>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 r="A885" s="6" t="str">
        <f t="array" ref="A885">IF(I885="","",IFERROR(INDEX(CONFIGURACION!H:H,MATCH(I885,CONFIGURACION!J:J,0)),""))
</f>
        <v/>
      </c>
      <c r="B885" s="6" t="str">
        <f t="array" ref="B885">IF(I885="","",IFERROR(INDEX(CONFIGURACION!I:I,MATCH(I885,CONFIGURACION!J:J,0)),""))
</f>
        <v/>
      </c>
      <c r="C885" s="6"/>
      <c r="D885" s="25"/>
      <c r="E885" s="28"/>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 r="A886" s="6" t="str">
        <f t="array" ref="A886">IF(I886="","",IFERROR(INDEX(CONFIGURACION!H:H,MATCH(I886,CONFIGURACION!J:J,0)),""))
</f>
        <v/>
      </c>
      <c r="B886" s="6" t="str">
        <f t="array" ref="B886">IF(I886="","",IFERROR(INDEX(CONFIGURACION!I:I,MATCH(I886,CONFIGURACION!J:J,0)),""))
</f>
        <v/>
      </c>
      <c r="C886" s="6"/>
      <c r="D886" s="25"/>
      <c r="E886" s="28"/>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 r="A887" s="6" t="str">
        <f t="array" ref="A887">IF(I887="","",IFERROR(INDEX(CONFIGURACION!H:H,MATCH(I887,CONFIGURACION!J:J,0)),""))
</f>
        <v/>
      </c>
      <c r="B887" s="6" t="str">
        <f t="array" ref="B887">IF(I887="","",IFERROR(INDEX(CONFIGURACION!I:I,MATCH(I887,CONFIGURACION!J:J,0)),""))
</f>
        <v/>
      </c>
      <c r="C887" s="6"/>
      <c r="D887" s="25"/>
      <c r="E887" s="28"/>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 r="A888" s="6" t="str">
        <f t="array" ref="A888">IF(I888="","",IFERROR(INDEX(CONFIGURACION!H:H,MATCH(I888,CONFIGURACION!J:J,0)),""))
</f>
        <v/>
      </c>
      <c r="B888" s="6" t="str">
        <f t="array" ref="B888">IF(I888="","",IFERROR(INDEX(CONFIGURACION!I:I,MATCH(I888,CONFIGURACION!J:J,0)),""))
</f>
        <v/>
      </c>
      <c r="C888" s="6"/>
      <c r="D888" s="25"/>
      <c r="E888" s="28"/>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 r="A889" s="6" t="str">
        <f t="array" ref="A889">IF(I889="","",IFERROR(INDEX(CONFIGURACION!H:H,MATCH(I889,CONFIGURACION!J:J,0)),""))
</f>
        <v/>
      </c>
      <c r="B889" s="6" t="str">
        <f t="array" ref="B889">IF(I889="","",IFERROR(INDEX(CONFIGURACION!I:I,MATCH(I889,CONFIGURACION!J:J,0)),""))
</f>
        <v/>
      </c>
      <c r="C889" s="6"/>
      <c r="D889" s="25"/>
      <c r="E889" s="28"/>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 r="A890" s="6" t="str">
        <f t="array" ref="A890">IF(I890="","",IFERROR(INDEX(CONFIGURACION!H:H,MATCH(I890,CONFIGURACION!J:J,0)),""))
</f>
        <v/>
      </c>
      <c r="B890" s="6" t="str">
        <f t="array" ref="B890">IF(I890="","",IFERROR(INDEX(CONFIGURACION!I:I,MATCH(I890,CONFIGURACION!J:J,0)),""))
</f>
        <v/>
      </c>
      <c r="C890" s="6"/>
      <c r="D890" s="25"/>
      <c r="E890" s="28"/>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 r="A891" s="6" t="str">
        <f t="array" ref="A891">IF(I891="","",IFERROR(INDEX(CONFIGURACION!H:H,MATCH(I891,CONFIGURACION!J:J,0)),""))
</f>
        <v/>
      </c>
      <c r="B891" s="6" t="str">
        <f t="array" ref="B891">IF(I891="","",IFERROR(INDEX(CONFIGURACION!I:I,MATCH(I891,CONFIGURACION!J:J,0)),""))
</f>
        <v/>
      </c>
      <c r="C891" s="6"/>
      <c r="D891" s="25"/>
      <c r="E891" s="28"/>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 r="A892" s="6" t="str">
        <f t="array" ref="A892">IF(I892="","",IFERROR(INDEX(CONFIGURACION!H:H,MATCH(I892,CONFIGURACION!J:J,0)),""))
</f>
        <v/>
      </c>
      <c r="B892" s="6" t="str">
        <f t="array" ref="B892">IF(I892="","",IFERROR(INDEX(CONFIGURACION!I:I,MATCH(I892,CONFIGURACION!J:J,0)),""))
</f>
        <v/>
      </c>
      <c r="C892" s="6"/>
      <c r="D892" s="25"/>
      <c r="E892" s="28"/>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 r="A893" s="6" t="str">
        <f t="array" ref="A893">IF(I893="","",IFERROR(INDEX(CONFIGURACION!H:H,MATCH(I893,CONFIGURACION!J:J,0)),""))
</f>
        <v/>
      </c>
      <c r="B893" s="6" t="str">
        <f t="array" ref="B893">IF(I893="","",IFERROR(INDEX(CONFIGURACION!I:I,MATCH(I893,CONFIGURACION!J:J,0)),""))
</f>
        <v/>
      </c>
      <c r="C893" s="6"/>
      <c r="D893" s="25"/>
      <c r="E893" s="28"/>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 r="A894" s="6" t="str">
        <f t="array" ref="A894">IF(I894="","",IFERROR(INDEX(CONFIGURACION!H:H,MATCH(I894,CONFIGURACION!J:J,0)),""))
</f>
        <v/>
      </c>
      <c r="B894" s="6" t="str">
        <f t="array" ref="B894">IF(I894="","",IFERROR(INDEX(CONFIGURACION!I:I,MATCH(I894,CONFIGURACION!J:J,0)),""))
</f>
        <v/>
      </c>
      <c r="C894" s="6"/>
      <c r="D894" s="25"/>
      <c r="E894" s="28"/>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 r="A895" s="6" t="str">
        <f t="array" ref="A895">IF(I895="","",IFERROR(INDEX(CONFIGURACION!H:H,MATCH(I895,CONFIGURACION!J:J,0)),""))
</f>
        <v/>
      </c>
      <c r="B895" s="6" t="str">
        <f t="array" ref="B895">IF(I895="","",IFERROR(INDEX(CONFIGURACION!I:I,MATCH(I895,CONFIGURACION!J:J,0)),""))
</f>
        <v/>
      </c>
      <c r="C895" s="6"/>
      <c r="D895" s="25"/>
      <c r="E895" s="28"/>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 r="A896" s="6" t="str">
        <f t="array" ref="A896">IF(I896="","",IFERROR(INDEX(CONFIGURACION!H:H,MATCH(I896,CONFIGURACION!J:J,0)),""))
</f>
        <v/>
      </c>
      <c r="B896" s="6" t="str">
        <f t="array" ref="B896">IF(I896="","",IFERROR(INDEX(CONFIGURACION!I:I,MATCH(I896,CONFIGURACION!J:J,0)),""))
</f>
        <v/>
      </c>
      <c r="C896" s="6"/>
      <c r="D896" s="25"/>
      <c r="E896" s="28"/>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 r="A897" s="6" t="str">
        <f t="array" ref="A897">IF(I897="","",IFERROR(INDEX(CONFIGURACION!H:H,MATCH(I897,CONFIGURACION!J:J,0)),""))
</f>
        <v/>
      </c>
      <c r="B897" s="6" t="str">
        <f t="array" ref="B897">IF(I897="","",IFERROR(INDEX(CONFIGURACION!I:I,MATCH(I897,CONFIGURACION!J:J,0)),""))
</f>
        <v/>
      </c>
      <c r="C897" s="6"/>
      <c r="D897" s="25"/>
      <c r="E897" s="28"/>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 r="A898" s="6" t="str">
        <f t="array" ref="A898">IF(I898="","",IFERROR(INDEX(CONFIGURACION!H:H,MATCH(I898,CONFIGURACION!J:J,0)),""))
</f>
        <v/>
      </c>
      <c r="B898" s="6" t="str">
        <f t="array" ref="B898">IF(I898="","",IFERROR(INDEX(CONFIGURACION!I:I,MATCH(I898,CONFIGURACION!J:J,0)),""))
</f>
        <v/>
      </c>
      <c r="C898" s="6"/>
      <c r="D898" s="25"/>
      <c r="E898" s="28"/>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 r="A899" s="6" t="str">
        <f t="array" ref="A899">IF(I899="","",IFERROR(INDEX(CONFIGURACION!H:H,MATCH(I899,CONFIGURACION!J:J,0)),""))
</f>
        <v/>
      </c>
      <c r="B899" s="6" t="str">
        <f t="array" ref="B899">IF(I899="","",IFERROR(INDEX(CONFIGURACION!I:I,MATCH(I899,CONFIGURACION!J:J,0)),""))
</f>
        <v/>
      </c>
      <c r="C899" s="6"/>
      <c r="D899" s="25"/>
      <c r="E899" s="28"/>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 r="A900" s="6" t="str">
        <f t="array" ref="A900">IF(I900="","",IFERROR(INDEX(CONFIGURACION!H:H,MATCH(I900,CONFIGURACION!J:J,0)),""))
</f>
        <v/>
      </c>
      <c r="B900" s="6" t="str">
        <f t="array" ref="B900">IF(I900="","",IFERROR(INDEX(CONFIGURACION!I:I,MATCH(I900,CONFIGURACION!J:J,0)),""))
</f>
        <v/>
      </c>
      <c r="C900" s="6"/>
      <c r="D900" s="25"/>
      <c r="E900" s="28"/>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 r="A901" s="6" t="str">
        <f t="array" ref="A901">IF(I901="","",IFERROR(INDEX(CONFIGURACION!H:H,MATCH(I901,CONFIGURACION!J:J,0)),""))
</f>
        <v/>
      </c>
      <c r="B901" s="6" t="str">
        <f t="array" ref="B901">IF(I901="","",IFERROR(INDEX(CONFIGURACION!I:I,MATCH(I901,CONFIGURACION!J:J,0)),""))
</f>
        <v/>
      </c>
      <c r="C901" s="6"/>
      <c r="D901" s="25"/>
      <c r="E901" s="28"/>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 r="A902" s="6" t="str">
        <f t="array" ref="A902">IF(I902="","",IFERROR(INDEX(CONFIGURACION!H:H,MATCH(I902,CONFIGURACION!J:J,0)),""))
</f>
        <v/>
      </c>
      <c r="B902" s="6" t="str">
        <f t="array" ref="B902">IF(I902="","",IFERROR(INDEX(CONFIGURACION!I:I,MATCH(I902,CONFIGURACION!J:J,0)),""))
</f>
        <v/>
      </c>
      <c r="C902" s="6"/>
      <c r="D902" s="25"/>
      <c r="E902" s="28"/>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 r="A903" s="6" t="str">
        <f t="array" ref="A903">IF(I903="","",IFERROR(INDEX(CONFIGURACION!H:H,MATCH(I903,CONFIGURACION!J:J,0)),""))
</f>
        <v/>
      </c>
      <c r="B903" s="6" t="str">
        <f t="array" ref="B903">IF(I903="","",IFERROR(INDEX(CONFIGURACION!I:I,MATCH(I903,CONFIGURACION!J:J,0)),""))
</f>
        <v/>
      </c>
      <c r="C903" s="6"/>
      <c r="D903" s="25"/>
      <c r="E903" s="28"/>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 r="A904" s="6" t="str">
        <f t="array" ref="A904">IF(I904="","",IFERROR(INDEX(CONFIGURACION!H:H,MATCH(I904,CONFIGURACION!J:J,0)),""))
</f>
        <v/>
      </c>
      <c r="B904" s="6" t="str">
        <f t="array" ref="B904">IF(I904="","",IFERROR(INDEX(CONFIGURACION!I:I,MATCH(I904,CONFIGURACION!J:J,0)),""))
</f>
        <v/>
      </c>
      <c r="C904" s="6"/>
      <c r="D904" s="25"/>
      <c r="E904" s="28"/>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 r="A905" s="6" t="str">
        <f t="array" ref="A905">IF(I905="","",IFERROR(INDEX(CONFIGURACION!H:H,MATCH(I905,CONFIGURACION!J:J,0)),""))
</f>
        <v/>
      </c>
      <c r="B905" s="6" t="str">
        <f t="array" ref="B905">IF(I905="","",IFERROR(INDEX(CONFIGURACION!I:I,MATCH(I905,CONFIGURACION!J:J,0)),""))
</f>
        <v/>
      </c>
      <c r="C905" s="6"/>
      <c r="D905" s="25"/>
      <c r="E905" s="28"/>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 r="A906" s="6" t="str">
        <f t="array" ref="A906">IF(I906="","",IFERROR(INDEX(CONFIGURACION!H:H,MATCH(I906,CONFIGURACION!J:J,0)),""))
</f>
        <v/>
      </c>
      <c r="B906" s="6" t="str">
        <f t="array" ref="B906">IF(I906="","",IFERROR(INDEX(CONFIGURACION!I:I,MATCH(I906,CONFIGURACION!J:J,0)),""))
</f>
        <v/>
      </c>
      <c r="C906" s="6"/>
      <c r="D906" s="25"/>
      <c r="E906" s="28"/>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 r="A907" s="6" t="str">
        <f t="array" ref="A907">IF(I907="","",IFERROR(INDEX(CONFIGURACION!H:H,MATCH(I907,CONFIGURACION!J:J,0)),""))
</f>
        <v/>
      </c>
      <c r="B907" s="6" t="str">
        <f t="array" ref="B907">IF(I907="","",IFERROR(INDEX(CONFIGURACION!I:I,MATCH(I907,CONFIGURACION!J:J,0)),""))
</f>
        <v/>
      </c>
      <c r="C907" s="6"/>
      <c r="D907" s="25"/>
      <c r="E907" s="28"/>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 r="A908" s="6" t="str">
        <f t="array" ref="A908">IF(I908="","",IFERROR(INDEX(CONFIGURACION!H:H,MATCH(I908,CONFIGURACION!J:J,0)),""))
</f>
        <v/>
      </c>
      <c r="B908" s="6" t="str">
        <f t="array" ref="B908">IF(I908="","",IFERROR(INDEX(CONFIGURACION!I:I,MATCH(I908,CONFIGURACION!J:J,0)),""))
</f>
        <v/>
      </c>
      <c r="C908" s="6"/>
      <c r="D908" s="25"/>
      <c r="E908" s="28"/>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 r="A909" s="6" t="str">
        <f t="array" ref="A909">IF(I909="","",IFERROR(INDEX(CONFIGURACION!H:H,MATCH(I909,CONFIGURACION!J:J,0)),""))
</f>
        <v/>
      </c>
      <c r="B909" s="6" t="str">
        <f t="array" ref="B909">IF(I909="","",IFERROR(INDEX(CONFIGURACION!I:I,MATCH(I909,CONFIGURACION!J:J,0)),""))
</f>
        <v/>
      </c>
      <c r="C909" s="6"/>
      <c r="D909" s="25"/>
      <c r="E909" s="28"/>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 r="A910" s="6" t="str">
        <f t="array" ref="A910">IF(I910="","",IFERROR(INDEX(CONFIGURACION!H:H,MATCH(I910,CONFIGURACION!J:J,0)),""))
</f>
        <v/>
      </c>
      <c r="B910" s="6" t="str">
        <f t="array" ref="B910">IF(I910="","",IFERROR(INDEX(CONFIGURACION!I:I,MATCH(I910,CONFIGURACION!J:J,0)),""))
</f>
        <v/>
      </c>
      <c r="C910" s="6"/>
      <c r="D910" s="25"/>
      <c r="E910" s="28"/>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 r="A911" s="6" t="str">
        <f t="array" ref="A911">IF(I911="","",IFERROR(INDEX(CONFIGURACION!H:H,MATCH(I911,CONFIGURACION!J:J,0)),""))
</f>
        <v/>
      </c>
      <c r="B911" s="6" t="str">
        <f t="array" ref="B911">IF(I911="","",IFERROR(INDEX(CONFIGURACION!I:I,MATCH(I911,CONFIGURACION!J:J,0)),""))
</f>
        <v/>
      </c>
      <c r="C911" s="6"/>
      <c r="D911" s="25"/>
      <c r="E911" s="28"/>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 r="A912" s="6" t="str">
        <f t="array" ref="A912">IF(I912="","",IFERROR(INDEX(CONFIGURACION!H:H,MATCH(I912,CONFIGURACION!J:J,0)),""))
</f>
        <v/>
      </c>
      <c r="B912" s="6" t="str">
        <f t="array" ref="B912">IF(I912="","",IFERROR(INDEX(CONFIGURACION!I:I,MATCH(I912,CONFIGURACION!J:J,0)),""))
</f>
        <v/>
      </c>
      <c r="C912" s="6"/>
      <c r="D912" s="25"/>
      <c r="E912" s="28"/>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 r="A913" s="6" t="str">
        <f t="array" ref="A913">IF(I913="","",IFERROR(INDEX(CONFIGURACION!H:H,MATCH(I913,CONFIGURACION!J:J,0)),""))
</f>
        <v/>
      </c>
      <c r="B913" s="6" t="str">
        <f t="array" ref="B913">IF(I913="","",IFERROR(INDEX(CONFIGURACION!I:I,MATCH(I913,CONFIGURACION!J:J,0)),""))
</f>
        <v/>
      </c>
      <c r="C913" s="6"/>
      <c r="D913" s="25"/>
      <c r="E913" s="28"/>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 r="A914" s="6" t="str">
        <f t="array" ref="A914">IF(I914="","",IFERROR(INDEX(CONFIGURACION!H:H,MATCH(I914,CONFIGURACION!J:J,0)),""))
</f>
        <v/>
      </c>
      <c r="B914" s="6" t="str">
        <f t="array" ref="B914">IF(I914="","",IFERROR(INDEX(CONFIGURACION!I:I,MATCH(I914,CONFIGURACION!J:J,0)),""))
</f>
        <v/>
      </c>
      <c r="C914" s="6"/>
      <c r="D914" s="25"/>
      <c r="E914" s="28"/>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 r="A915" s="6" t="str">
        <f t="array" ref="A915">IF(I915="","",IFERROR(INDEX(CONFIGURACION!H:H,MATCH(I915,CONFIGURACION!J:J,0)),""))
</f>
        <v/>
      </c>
      <c r="B915" s="6" t="str">
        <f t="array" ref="B915">IF(I915="","",IFERROR(INDEX(CONFIGURACION!I:I,MATCH(I915,CONFIGURACION!J:J,0)),""))
</f>
        <v/>
      </c>
      <c r="C915" s="6"/>
      <c r="D915" s="25"/>
      <c r="E915" s="28"/>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 r="A916" s="6" t="str">
        <f t="array" ref="A916">IF(I916="","",IFERROR(INDEX(CONFIGURACION!H:H,MATCH(I916,CONFIGURACION!J:J,0)),""))
</f>
        <v/>
      </c>
      <c r="B916" s="6" t="str">
        <f t="array" ref="B916">IF(I916="","",IFERROR(INDEX(CONFIGURACION!I:I,MATCH(I916,CONFIGURACION!J:J,0)),""))
</f>
        <v/>
      </c>
      <c r="C916" s="6"/>
      <c r="D916" s="25"/>
      <c r="E916" s="28"/>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 r="A917" s="6" t="str">
        <f t="array" ref="A917">IF(I917="","",IFERROR(INDEX(CONFIGURACION!H:H,MATCH(I917,CONFIGURACION!J:J,0)),""))
</f>
        <v/>
      </c>
      <c r="B917" s="6" t="str">
        <f t="array" ref="B917">IF(I917="","",IFERROR(INDEX(CONFIGURACION!I:I,MATCH(I917,CONFIGURACION!J:J,0)),""))
</f>
        <v/>
      </c>
      <c r="C917" s="6"/>
      <c r="D917" s="25"/>
      <c r="E917" s="28"/>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 r="A918" s="6" t="str">
        <f t="array" ref="A918">IF(I918="","",IFERROR(INDEX(CONFIGURACION!H:H,MATCH(I918,CONFIGURACION!J:J,0)),""))
</f>
        <v/>
      </c>
      <c r="B918" s="6" t="str">
        <f t="array" ref="B918">IF(I918="","",IFERROR(INDEX(CONFIGURACION!I:I,MATCH(I918,CONFIGURACION!J:J,0)),""))
</f>
        <v/>
      </c>
      <c r="C918" s="6"/>
      <c r="D918" s="25"/>
      <c r="E918" s="28"/>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 r="A919" s="6" t="str">
        <f t="array" ref="A919">IF(I919="","",IFERROR(INDEX(CONFIGURACION!H:H,MATCH(I919,CONFIGURACION!J:J,0)),""))
</f>
        <v/>
      </c>
      <c r="B919" s="6" t="str">
        <f t="array" ref="B919">IF(I919="","",IFERROR(INDEX(CONFIGURACION!I:I,MATCH(I919,CONFIGURACION!J:J,0)),""))
</f>
        <v/>
      </c>
      <c r="C919" s="6"/>
      <c r="D919" s="25"/>
      <c r="E919" s="28"/>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 r="A920" s="6" t="str">
        <f t="array" ref="A920">IF(I920="","",IFERROR(INDEX(CONFIGURACION!H:H,MATCH(I920,CONFIGURACION!J:J,0)),""))
</f>
        <v/>
      </c>
      <c r="B920" s="6" t="str">
        <f t="array" ref="B920">IF(I920="","",IFERROR(INDEX(CONFIGURACION!I:I,MATCH(I920,CONFIGURACION!J:J,0)),""))
</f>
        <v/>
      </c>
      <c r="C920" s="6"/>
      <c r="D920" s="25"/>
      <c r="E920" s="28"/>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 r="A921" s="6" t="str">
        <f t="array" ref="A921">IF(I921="","",IFERROR(INDEX(CONFIGURACION!H:H,MATCH(I921,CONFIGURACION!J:J,0)),""))
</f>
        <v/>
      </c>
      <c r="B921" s="6" t="str">
        <f t="array" ref="B921">IF(I921="","",IFERROR(INDEX(CONFIGURACION!I:I,MATCH(I921,CONFIGURACION!J:J,0)),""))
</f>
        <v/>
      </c>
      <c r="C921" s="6"/>
      <c r="D921" s="25"/>
      <c r="E921" s="28"/>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 r="A922" s="6" t="str">
        <f t="array" ref="A922">IF(I922="","",IFERROR(INDEX(CONFIGURACION!H:H,MATCH(I922,CONFIGURACION!J:J,0)),""))
</f>
        <v/>
      </c>
      <c r="B922" s="6" t="str">
        <f t="array" ref="B922">IF(I922="","",IFERROR(INDEX(CONFIGURACION!I:I,MATCH(I922,CONFIGURACION!J:J,0)),""))
</f>
        <v/>
      </c>
      <c r="C922" s="6"/>
      <c r="D922" s="25"/>
      <c r="E922" s="28"/>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 r="A923" s="6" t="str">
        <f t="array" ref="A923">IF(I923="","",IFERROR(INDEX(CONFIGURACION!H:H,MATCH(I923,CONFIGURACION!J:J,0)),""))
</f>
        <v/>
      </c>
      <c r="B923" s="6" t="str">
        <f t="array" ref="B923">IF(I923="","",IFERROR(INDEX(CONFIGURACION!I:I,MATCH(I923,CONFIGURACION!J:J,0)),""))
</f>
        <v/>
      </c>
      <c r="C923" s="6"/>
      <c r="D923" s="25"/>
      <c r="E923" s="28"/>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 r="A924" s="6" t="str">
        <f t="array" ref="A924">IF(I924="","",IFERROR(INDEX(CONFIGURACION!H:H,MATCH(I924,CONFIGURACION!J:J,0)),""))
</f>
        <v/>
      </c>
      <c r="B924" s="6" t="str">
        <f t="array" ref="B924">IF(I924="","",IFERROR(INDEX(CONFIGURACION!I:I,MATCH(I924,CONFIGURACION!J:J,0)),""))
</f>
        <v/>
      </c>
      <c r="C924" s="6"/>
      <c r="D924" s="25"/>
      <c r="E924" s="28"/>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 r="A925" s="6" t="str">
        <f t="array" ref="A925">IF(I925="","",IFERROR(INDEX(CONFIGURACION!H:H,MATCH(I925,CONFIGURACION!J:J,0)),""))
</f>
        <v/>
      </c>
      <c r="B925" s="6" t="str">
        <f t="array" ref="B925">IF(I925="","",IFERROR(INDEX(CONFIGURACION!I:I,MATCH(I925,CONFIGURACION!J:J,0)),""))
</f>
        <v/>
      </c>
      <c r="C925" s="6"/>
      <c r="D925" s="25"/>
      <c r="E925" s="28"/>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 r="A926" s="6" t="str">
        <f t="array" ref="A926">IF(I926="","",IFERROR(INDEX(CONFIGURACION!H:H,MATCH(I926,CONFIGURACION!J:J,0)),""))
</f>
        <v/>
      </c>
      <c r="B926" s="6" t="str">
        <f t="array" ref="B926">IF(I926="","",IFERROR(INDEX(CONFIGURACION!I:I,MATCH(I926,CONFIGURACION!J:J,0)),""))
</f>
        <v/>
      </c>
      <c r="C926" s="6"/>
      <c r="D926" s="25"/>
      <c r="E926" s="28"/>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 r="A927" s="6" t="str">
        <f t="array" ref="A927">IF(I927="","",IFERROR(INDEX(CONFIGURACION!H:H,MATCH(I927,CONFIGURACION!J:J,0)),""))
</f>
        <v/>
      </c>
      <c r="B927" s="6" t="str">
        <f t="array" ref="B927">IF(I927="","",IFERROR(INDEX(CONFIGURACION!I:I,MATCH(I927,CONFIGURACION!J:J,0)),""))
</f>
        <v/>
      </c>
      <c r="C927" s="6"/>
      <c r="D927" s="25"/>
      <c r="E927" s="28"/>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 r="A928" s="6" t="str">
        <f t="array" ref="A928">IF(I928="","",IFERROR(INDEX(CONFIGURACION!H:H,MATCH(I928,CONFIGURACION!J:J,0)),""))
</f>
        <v/>
      </c>
      <c r="B928" s="6" t="str">
        <f t="array" ref="B928">IF(I928="","",IFERROR(INDEX(CONFIGURACION!I:I,MATCH(I928,CONFIGURACION!J:J,0)),""))
</f>
        <v/>
      </c>
      <c r="C928" s="6"/>
      <c r="D928" s="25"/>
      <c r="E928" s="28"/>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 r="A929" s="6" t="str">
        <f t="array" ref="A929">IF(I929="","",IFERROR(INDEX(CONFIGURACION!H:H,MATCH(I929,CONFIGURACION!J:J,0)),""))
</f>
        <v/>
      </c>
      <c r="B929" s="6" t="str">
        <f t="array" ref="B929">IF(I929="","",IFERROR(INDEX(CONFIGURACION!I:I,MATCH(I929,CONFIGURACION!J:J,0)),""))
</f>
        <v/>
      </c>
      <c r="C929" s="6"/>
      <c r="D929" s="25"/>
      <c r="E929" s="28"/>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 r="A930" s="6" t="str">
        <f t="array" ref="A930">IF(I930="","",IFERROR(INDEX(CONFIGURACION!H:H,MATCH(I930,CONFIGURACION!J:J,0)),""))
</f>
        <v/>
      </c>
      <c r="B930" s="6" t="str">
        <f t="array" ref="B930">IF(I930="","",IFERROR(INDEX(CONFIGURACION!I:I,MATCH(I930,CONFIGURACION!J:J,0)),""))
</f>
        <v/>
      </c>
      <c r="C930" s="6"/>
      <c r="D930" s="25"/>
      <c r="E930" s="28"/>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 r="A931" s="6" t="str">
        <f t="array" ref="A931">IF(I931="","",IFERROR(INDEX(CONFIGURACION!H:H,MATCH(I931,CONFIGURACION!J:J,0)),""))
</f>
        <v/>
      </c>
      <c r="B931" s="6" t="str">
        <f t="array" ref="B931">IF(I931="","",IFERROR(INDEX(CONFIGURACION!I:I,MATCH(I931,CONFIGURACION!J:J,0)),""))
</f>
        <v/>
      </c>
      <c r="C931" s="6"/>
      <c r="D931" s="25"/>
      <c r="E931" s="28"/>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 r="A932" s="6" t="str">
        <f t="array" ref="A932">IF(I932="","",IFERROR(INDEX(CONFIGURACION!H:H,MATCH(I932,CONFIGURACION!J:J,0)),""))
</f>
        <v/>
      </c>
      <c r="B932" s="6" t="str">
        <f t="array" ref="B932">IF(I932="","",IFERROR(INDEX(CONFIGURACION!I:I,MATCH(I932,CONFIGURACION!J:J,0)),""))
</f>
        <v/>
      </c>
      <c r="C932" s="6"/>
      <c r="D932" s="25"/>
      <c r="E932" s="28"/>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 r="A933" s="6" t="str">
        <f t="array" ref="A933">IF(I933="","",IFERROR(INDEX(CONFIGURACION!H:H,MATCH(I933,CONFIGURACION!J:J,0)),""))
</f>
        <v/>
      </c>
      <c r="B933" s="6" t="str">
        <f t="array" ref="B933">IF(I933="","",IFERROR(INDEX(CONFIGURACION!I:I,MATCH(I933,CONFIGURACION!J:J,0)),""))
</f>
        <v/>
      </c>
      <c r="C933" s="6"/>
      <c r="D933" s="25"/>
      <c r="E933" s="28"/>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 r="A934" s="6" t="str">
        <f t="array" ref="A934">IF(I934="","",IFERROR(INDEX(CONFIGURACION!H:H,MATCH(I934,CONFIGURACION!J:J,0)),""))
</f>
        <v/>
      </c>
      <c r="B934" s="6" t="str">
        <f t="array" ref="B934">IF(I934="","",IFERROR(INDEX(CONFIGURACION!I:I,MATCH(I934,CONFIGURACION!J:J,0)),""))
</f>
        <v/>
      </c>
      <c r="C934" s="6"/>
      <c r="D934" s="25"/>
      <c r="E934" s="28"/>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 r="A935" s="6" t="str">
        <f t="array" ref="A935">IF(I935="","",IFERROR(INDEX(CONFIGURACION!H:H,MATCH(I935,CONFIGURACION!J:J,0)),""))
</f>
        <v/>
      </c>
      <c r="B935" s="6" t="str">
        <f t="array" ref="B935">IF(I935="","",IFERROR(INDEX(CONFIGURACION!I:I,MATCH(I935,CONFIGURACION!J:J,0)),""))
</f>
        <v/>
      </c>
      <c r="C935" s="6"/>
      <c r="D935" s="25"/>
      <c r="E935" s="28"/>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 r="A936" s="6" t="str">
        <f t="array" ref="A936">IF(I936="","",IFERROR(INDEX(CONFIGURACION!H:H,MATCH(I936,CONFIGURACION!J:J,0)),""))
</f>
        <v/>
      </c>
      <c r="B936" s="6" t="str">
        <f t="array" ref="B936">IF(I936="","",IFERROR(INDEX(CONFIGURACION!I:I,MATCH(I936,CONFIGURACION!J:J,0)),""))
</f>
        <v/>
      </c>
      <c r="C936" s="6"/>
      <c r="D936" s="25"/>
      <c r="E936" s="28"/>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 r="A937" s="6" t="str">
        <f t="array" ref="A937">IF(I937="","",IFERROR(INDEX(CONFIGURACION!H:H,MATCH(I937,CONFIGURACION!J:J,0)),""))
</f>
        <v/>
      </c>
      <c r="B937" s="6" t="str">
        <f t="array" ref="B937">IF(I937="","",IFERROR(INDEX(CONFIGURACION!I:I,MATCH(I937,CONFIGURACION!J:J,0)),""))
</f>
        <v/>
      </c>
      <c r="C937" s="6"/>
      <c r="D937" s="25"/>
      <c r="E937" s="28"/>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 r="A938" s="6" t="str">
        <f t="array" ref="A938">IF(I938="","",IFERROR(INDEX(CONFIGURACION!H:H,MATCH(I938,CONFIGURACION!J:J,0)),""))
</f>
        <v/>
      </c>
      <c r="B938" s="6" t="str">
        <f t="array" ref="B938">IF(I938="","",IFERROR(INDEX(CONFIGURACION!I:I,MATCH(I938,CONFIGURACION!J:J,0)),""))
</f>
        <v/>
      </c>
      <c r="C938" s="6"/>
      <c r="D938" s="25"/>
      <c r="E938" s="28"/>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 r="A939" s="6" t="str">
        <f t="array" ref="A939">IF(I939="","",IFERROR(INDEX(CONFIGURACION!H:H,MATCH(I939,CONFIGURACION!J:J,0)),""))
</f>
        <v/>
      </c>
      <c r="B939" s="6" t="str">
        <f t="array" ref="B939">IF(I939="","",IFERROR(INDEX(CONFIGURACION!I:I,MATCH(I939,CONFIGURACION!J:J,0)),""))
</f>
        <v/>
      </c>
      <c r="C939" s="6"/>
      <c r="D939" s="25"/>
      <c r="E939" s="28"/>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 r="A940" s="6" t="str">
        <f t="array" ref="A940">IF(I940="","",IFERROR(INDEX(CONFIGURACION!H:H,MATCH(I940,CONFIGURACION!J:J,0)),""))
</f>
        <v/>
      </c>
      <c r="B940" s="6" t="str">
        <f t="array" ref="B940">IF(I940="","",IFERROR(INDEX(CONFIGURACION!I:I,MATCH(I940,CONFIGURACION!J:J,0)),""))
</f>
        <v/>
      </c>
      <c r="C940" s="6"/>
      <c r="D940" s="25"/>
      <c r="E940" s="28"/>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 r="A941" s="6" t="str">
        <f t="array" ref="A941">IF(I941="","",IFERROR(INDEX(CONFIGURACION!H:H,MATCH(I941,CONFIGURACION!J:J,0)),""))
</f>
        <v/>
      </c>
      <c r="B941" s="6" t="str">
        <f t="array" ref="B941">IF(I941="","",IFERROR(INDEX(CONFIGURACION!I:I,MATCH(I941,CONFIGURACION!J:J,0)),""))
</f>
        <v/>
      </c>
      <c r="C941" s="6"/>
      <c r="D941" s="25"/>
      <c r="E941" s="28"/>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 r="A942" s="6" t="str">
        <f t="array" ref="A942">IF(I942="","",IFERROR(INDEX(CONFIGURACION!H:H,MATCH(I942,CONFIGURACION!J:J,0)),""))
</f>
        <v/>
      </c>
      <c r="B942" s="6" t="str">
        <f t="array" ref="B942">IF(I942="","",IFERROR(INDEX(CONFIGURACION!I:I,MATCH(I942,CONFIGURACION!J:J,0)),""))
</f>
        <v/>
      </c>
      <c r="C942" s="6"/>
      <c r="D942" s="25"/>
      <c r="E942" s="28"/>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 r="A943" s="6" t="str">
        <f t="array" ref="A943">IF(I943="","",IFERROR(INDEX(CONFIGURACION!H:H,MATCH(I943,CONFIGURACION!J:J,0)),""))
</f>
        <v/>
      </c>
      <c r="B943" s="6" t="str">
        <f t="array" ref="B943">IF(I943="","",IFERROR(INDEX(CONFIGURACION!I:I,MATCH(I943,CONFIGURACION!J:J,0)),""))
</f>
        <v/>
      </c>
      <c r="C943" s="6"/>
      <c r="D943" s="25"/>
      <c r="E943" s="28"/>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 r="A944" s="6" t="str">
        <f t="array" ref="A944">IF(I944="","",IFERROR(INDEX(CONFIGURACION!H:H,MATCH(I944,CONFIGURACION!J:J,0)),""))
</f>
        <v/>
      </c>
      <c r="B944" s="6" t="str">
        <f t="array" ref="B944">IF(I944="","",IFERROR(INDEX(CONFIGURACION!I:I,MATCH(I944,CONFIGURACION!J:J,0)),""))
</f>
        <v/>
      </c>
      <c r="C944" s="6"/>
      <c r="D944" s="25"/>
      <c r="E944" s="28"/>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 r="A945" s="6" t="str">
        <f t="array" ref="A945">IF(I945="","",IFERROR(INDEX(CONFIGURACION!H:H,MATCH(I945,CONFIGURACION!J:J,0)),""))
</f>
        <v/>
      </c>
      <c r="B945" s="6" t="str">
        <f t="array" ref="B945">IF(I945="","",IFERROR(INDEX(CONFIGURACION!I:I,MATCH(I945,CONFIGURACION!J:J,0)),""))
</f>
        <v/>
      </c>
      <c r="C945" s="6"/>
      <c r="D945" s="25"/>
      <c r="E945" s="28"/>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 r="A946" s="6" t="str">
        <f t="array" ref="A946">IF(I946="","",IFERROR(INDEX(CONFIGURACION!H:H,MATCH(I946,CONFIGURACION!J:J,0)),""))
</f>
        <v/>
      </c>
      <c r="B946" s="6" t="str">
        <f t="array" ref="B946">IF(I946="","",IFERROR(INDEX(CONFIGURACION!I:I,MATCH(I946,CONFIGURACION!J:J,0)),""))
</f>
        <v/>
      </c>
      <c r="C946" s="6"/>
      <c r="D946" s="25"/>
      <c r="E946" s="28"/>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 r="A947" s="6" t="str">
        <f t="array" ref="A947">IF(I947="","",IFERROR(INDEX(CONFIGURACION!H:H,MATCH(I947,CONFIGURACION!J:J,0)),""))
</f>
        <v/>
      </c>
      <c r="B947" s="6" t="str">
        <f t="array" ref="B947">IF(I947="","",IFERROR(INDEX(CONFIGURACION!I:I,MATCH(I947,CONFIGURACION!J:J,0)),""))
</f>
        <v/>
      </c>
      <c r="C947" s="6"/>
      <c r="D947" s="25"/>
      <c r="E947" s="28"/>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 r="A948" s="6" t="str">
        <f t="array" ref="A948">IF(I948="","",IFERROR(INDEX(CONFIGURACION!H:H,MATCH(I948,CONFIGURACION!J:J,0)),""))
</f>
        <v/>
      </c>
      <c r="B948" s="6" t="str">
        <f t="array" ref="B948">IF(I948="","",IFERROR(INDEX(CONFIGURACION!I:I,MATCH(I948,CONFIGURACION!J:J,0)),""))
</f>
        <v/>
      </c>
      <c r="C948" s="6"/>
      <c r="D948" s="25"/>
      <c r="E948" s="28"/>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 r="A949" s="6" t="str">
        <f t="array" ref="A949">IF(I949="","",IFERROR(INDEX(CONFIGURACION!H:H,MATCH(I949,CONFIGURACION!J:J,0)),""))
</f>
        <v/>
      </c>
      <c r="B949" s="6" t="str">
        <f t="array" ref="B949">IF(I949="","",IFERROR(INDEX(CONFIGURACION!I:I,MATCH(I949,CONFIGURACION!J:J,0)),""))
</f>
        <v/>
      </c>
      <c r="C949" s="6"/>
      <c r="D949" s="25"/>
      <c r="E949" s="28"/>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 r="A950" s="6" t="str">
        <f t="array" ref="A950">IF(I950="","",IFERROR(INDEX(CONFIGURACION!H:H,MATCH(I950,CONFIGURACION!J:J,0)),""))
</f>
        <v/>
      </c>
      <c r="B950" s="6" t="str">
        <f t="array" ref="B950">IF(I950="","",IFERROR(INDEX(CONFIGURACION!I:I,MATCH(I950,CONFIGURACION!J:J,0)),""))
</f>
        <v/>
      </c>
      <c r="C950" s="6"/>
      <c r="D950" s="25"/>
      <c r="E950" s="28"/>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 r="A951" s="6" t="str">
        <f t="array" ref="A951">IF(I951="","",IFERROR(INDEX(CONFIGURACION!H:H,MATCH(I951,CONFIGURACION!J:J,0)),""))
</f>
        <v/>
      </c>
      <c r="B951" s="6" t="str">
        <f t="array" ref="B951">IF(I951="","",IFERROR(INDEX(CONFIGURACION!I:I,MATCH(I951,CONFIGURACION!J:J,0)),""))
</f>
        <v/>
      </c>
      <c r="C951" s="6"/>
      <c r="D951" s="25"/>
      <c r="E951" s="28"/>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 r="A952" s="6" t="str">
        <f t="array" ref="A952">IF(I952="","",IFERROR(INDEX(CONFIGURACION!H:H,MATCH(I952,CONFIGURACION!J:J,0)),""))
</f>
        <v/>
      </c>
      <c r="B952" s="6" t="str">
        <f t="array" ref="B952">IF(I952="","",IFERROR(INDEX(CONFIGURACION!I:I,MATCH(I952,CONFIGURACION!J:J,0)),""))
</f>
        <v/>
      </c>
      <c r="C952" s="6"/>
      <c r="D952" s="25"/>
      <c r="E952" s="28"/>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 r="A953" s="6" t="str">
        <f t="array" ref="A953">IF(I953="","",IFERROR(INDEX(CONFIGURACION!H:H,MATCH(I953,CONFIGURACION!J:J,0)),""))
</f>
        <v/>
      </c>
      <c r="B953" s="6" t="str">
        <f t="array" ref="B953">IF(I953="","",IFERROR(INDEX(CONFIGURACION!I:I,MATCH(I953,CONFIGURACION!J:J,0)),""))
</f>
        <v/>
      </c>
      <c r="C953" s="6"/>
      <c r="D953" s="25"/>
      <c r="E953" s="28"/>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 r="A954" s="6" t="str">
        <f t="array" ref="A954">IF(I954="","",IFERROR(INDEX(CONFIGURACION!H:H,MATCH(I954,CONFIGURACION!J:J,0)),""))
</f>
        <v/>
      </c>
      <c r="B954" s="6" t="str">
        <f t="array" ref="B954">IF(I954="","",IFERROR(INDEX(CONFIGURACION!I:I,MATCH(I954,CONFIGURACION!J:J,0)),""))
</f>
        <v/>
      </c>
      <c r="C954" s="6"/>
      <c r="D954" s="25"/>
      <c r="E954" s="28"/>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 r="A955" s="6" t="str">
        <f t="array" ref="A955">IF(I955="","",IFERROR(INDEX(CONFIGURACION!H:H,MATCH(I955,CONFIGURACION!J:J,0)),""))
</f>
        <v/>
      </c>
      <c r="B955" s="6" t="str">
        <f t="array" ref="B955">IF(I955="","",IFERROR(INDEX(CONFIGURACION!I:I,MATCH(I955,CONFIGURACION!J:J,0)),""))
</f>
        <v/>
      </c>
      <c r="C955" s="6"/>
      <c r="D955" s="25"/>
      <c r="E955" s="28"/>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 r="A956" s="6" t="str">
        <f t="array" ref="A956">IF(I956="","",IFERROR(INDEX(CONFIGURACION!H:H,MATCH(I956,CONFIGURACION!J:J,0)),""))
</f>
        <v/>
      </c>
      <c r="B956" s="6" t="str">
        <f t="array" ref="B956">IF(I956="","",IFERROR(INDEX(CONFIGURACION!I:I,MATCH(I956,CONFIGURACION!J:J,0)),""))
</f>
        <v/>
      </c>
      <c r="C956" s="6"/>
      <c r="D956" s="25"/>
      <c r="E956" s="28"/>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 r="A957" s="6" t="str">
        <f t="array" ref="A957">IF(I957="","",IFERROR(INDEX(CONFIGURACION!H:H,MATCH(I957,CONFIGURACION!J:J,0)),""))
</f>
        <v/>
      </c>
      <c r="B957" s="6" t="str">
        <f t="array" ref="B957">IF(I957="","",IFERROR(INDEX(CONFIGURACION!I:I,MATCH(I957,CONFIGURACION!J:J,0)),""))
</f>
        <v/>
      </c>
      <c r="C957" s="6"/>
      <c r="D957" s="25"/>
      <c r="E957" s="28"/>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 r="A958" s="6" t="str">
        <f t="array" ref="A958">IF(I958="","",IFERROR(INDEX(CONFIGURACION!H:H,MATCH(I958,CONFIGURACION!J:J,0)),""))
</f>
        <v/>
      </c>
      <c r="B958" s="6" t="str">
        <f t="array" ref="B958">IF(I958="","",IFERROR(INDEX(CONFIGURACION!I:I,MATCH(I958,CONFIGURACION!J:J,0)),""))
</f>
        <v/>
      </c>
      <c r="C958" s="6"/>
      <c r="D958" s="25"/>
      <c r="E958" s="28"/>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 r="A959" s="6" t="str">
        <f t="array" ref="A959">IF(I959="","",IFERROR(INDEX(CONFIGURACION!H:H,MATCH(I959,CONFIGURACION!J:J,0)),""))
</f>
        <v/>
      </c>
      <c r="B959" s="6" t="str">
        <f t="array" ref="B959">IF(I959="","",IFERROR(INDEX(CONFIGURACION!I:I,MATCH(I959,CONFIGURACION!J:J,0)),""))
</f>
        <v/>
      </c>
      <c r="C959" s="6"/>
      <c r="D959" s="25"/>
      <c r="E959" s="28"/>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 r="A960" s="6" t="str">
        <f t="array" ref="A960">IF(I960="","",IFERROR(INDEX(CONFIGURACION!H:H,MATCH(I960,CONFIGURACION!J:J,0)),""))
</f>
        <v/>
      </c>
      <c r="B960" s="6" t="str">
        <f t="array" ref="B960">IF(I960="","",IFERROR(INDEX(CONFIGURACION!I:I,MATCH(I960,CONFIGURACION!J:J,0)),""))
</f>
        <v/>
      </c>
      <c r="C960" s="6"/>
      <c r="D960" s="25"/>
      <c r="E960" s="28"/>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 r="A961" s="6" t="str">
        <f t="array" ref="A961">IF(I961="","",IFERROR(INDEX(CONFIGURACION!H:H,MATCH(I961,CONFIGURACION!J:J,0)),""))
</f>
        <v/>
      </c>
      <c r="B961" s="6" t="str">
        <f t="array" ref="B961">IF(I961="","",IFERROR(INDEX(CONFIGURACION!I:I,MATCH(I961,CONFIGURACION!J:J,0)),""))
</f>
        <v/>
      </c>
      <c r="C961" s="6"/>
      <c r="D961" s="25"/>
      <c r="E961" s="28"/>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 r="A962" s="6" t="str">
        <f t="array" ref="A962">IF(I962="","",IFERROR(INDEX(CONFIGURACION!H:H,MATCH(I962,CONFIGURACION!J:J,0)),""))
</f>
        <v/>
      </c>
      <c r="B962" s="6" t="str">
        <f t="array" ref="B962">IF(I962="","",IFERROR(INDEX(CONFIGURACION!I:I,MATCH(I962,CONFIGURACION!J:J,0)),""))
</f>
        <v/>
      </c>
      <c r="C962" s="6"/>
      <c r="D962" s="25"/>
      <c r="E962" s="28"/>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 r="A963" s="6" t="str">
        <f t="array" ref="A963">IF(I963="","",IFERROR(INDEX(CONFIGURACION!H:H,MATCH(I963,CONFIGURACION!J:J,0)),""))
</f>
        <v/>
      </c>
      <c r="B963" s="6" t="str">
        <f t="array" ref="B963">IF(I963="","",IFERROR(INDEX(CONFIGURACION!I:I,MATCH(I963,CONFIGURACION!J:J,0)),""))
</f>
        <v/>
      </c>
      <c r="C963" s="6"/>
      <c r="D963" s="25"/>
      <c r="E963" s="28"/>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 r="A964" s="6" t="str">
        <f t="array" ref="A964">IF(I964="","",IFERROR(INDEX(CONFIGURACION!H:H,MATCH(I964,CONFIGURACION!J:J,0)),""))
</f>
        <v/>
      </c>
      <c r="B964" s="6" t="str">
        <f t="array" ref="B964">IF(I964="","",IFERROR(INDEX(CONFIGURACION!I:I,MATCH(I964,CONFIGURACION!J:J,0)),""))
</f>
        <v/>
      </c>
      <c r="C964" s="6"/>
      <c r="D964" s="25"/>
      <c r="E964" s="28"/>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 r="A965" s="6" t="str">
        <f t="array" ref="A965">IF(I965="","",IFERROR(INDEX(CONFIGURACION!H:H,MATCH(I965,CONFIGURACION!J:J,0)),""))
</f>
        <v/>
      </c>
      <c r="B965" s="6" t="str">
        <f t="array" ref="B965">IF(I965="","",IFERROR(INDEX(CONFIGURACION!I:I,MATCH(I965,CONFIGURACION!J:J,0)),""))
</f>
        <v/>
      </c>
      <c r="C965" s="6"/>
      <c r="D965" s="25"/>
      <c r="E965" s="28"/>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 r="A966" s="6" t="str">
        <f t="array" ref="A966">IF(I966="","",IFERROR(INDEX(CONFIGURACION!H:H,MATCH(I966,CONFIGURACION!J:J,0)),""))
</f>
        <v/>
      </c>
      <c r="B966" s="6" t="str">
        <f t="array" ref="B966">IF(I966="","",IFERROR(INDEX(CONFIGURACION!I:I,MATCH(I966,CONFIGURACION!J:J,0)),""))
</f>
        <v/>
      </c>
      <c r="C966" s="6"/>
      <c r="D966" s="25"/>
      <c r="E966" s="28"/>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 r="A967" s="6" t="str">
        <f t="array" ref="A967">IF(I967="","",IFERROR(INDEX(CONFIGURACION!H:H,MATCH(I967,CONFIGURACION!J:J,0)),""))
</f>
        <v/>
      </c>
      <c r="B967" s="6" t="str">
        <f t="array" ref="B967">IF(I967="","",IFERROR(INDEX(CONFIGURACION!I:I,MATCH(I967,CONFIGURACION!J:J,0)),""))
</f>
        <v/>
      </c>
      <c r="C967" s="6"/>
      <c r="D967" s="25"/>
      <c r="E967" s="28"/>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 r="A968" s="6" t="str">
        <f t="array" ref="A968">IF(I968="","",IFERROR(INDEX(CONFIGURACION!H:H,MATCH(I968,CONFIGURACION!J:J,0)),""))
</f>
        <v/>
      </c>
      <c r="B968" s="6" t="str">
        <f t="array" ref="B968">IF(I968="","",IFERROR(INDEX(CONFIGURACION!I:I,MATCH(I968,CONFIGURACION!J:J,0)),""))
</f>
        <v/>
      </c>
      <c r="C968" s="6"/>
      <c r="D968" s="25"/>
      <c r="E968" s="28"/>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 r="A969" s="6" t="str">
        <f t="array" ref="A969">IF(I969="","",IFERROR(INDEX(CONFIGURACION!H:H,MATCH(I969,CONFIGURACION!J:J,0)),""))
</f>
        <v/>
      </c>
      <c r="B969" s="6" t="str">
        <f t="array" ref="B969">IF(I969="","",IFERROR(INDEX(CONFIGURACION!I:I,MATCH(I969,CONFIGURACION!J:J,0)),""))
</f>
        <v/>
      </c>
      <c r="C969" s="6"/>
      <c r="D969" s="25"/>
      <c r="E969" s="28"/>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 r="A970" s="6" t="str">
        <f t="array" ref="A970">IF(I970="","",IFERROR(INDEX(CONFIGURACION!H:H,MATCH(I970,CONFIGURACION!J:J,0)),""))
</f>
        <v/>
      </c>
      <c r="B970" s="6" t="str">
        <f t="array" ref="B970">IF(I970="","",IFERROR(INDEX(CONFIGURACION!I:I,MATCH(I970,CONFIGURACION!J:J,0)),""))
</f>
        <v/>
      </c>
      <c r="C970" s="6"/>
      <c r="D970" s="25"/>
      <c r="E970" s="28"/>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 r="A971" s="6" t="str">
        <f t="array" ref="A971">IF(I971="","",IFERROR(INDEX(CONFIGURACION!H:H,MATCH(I971,CONFIGURACION!J:J,0)),""))
</f>
        <v/>
      </c>
      <c r="B971" s="6" t="str">
        <f t="array" ref="B971">IF(I971="","",IFERROR(INDEX(CONFIGURACION!I:I,MATCH(I971,CONFIGURACION!J:J,0)),""))
</f>
        <v/>
      </c>
      <c r="C971" s="6"/>
      <c r="D971" s="25"/>
      <c r="E971" s="28"/>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 r="A972" s="6" t="str">
        <f t="array" ref="A972">IF(I972="","",IFERROR(INDEX(CONFIGURACION!H:H,MATCH(I972,CONFIGURACION!J:J,0)),""))
</f>
        <v/>
      </c>
      <c r="B972" s="6" t="str">
        <f t="array" ref="B972">IF(I972="","",IFERROR(INDEX(CONFIGURACION!I:I,MATCH(I972,CONFIGURACION!J:J,0)),""))
</f>
        <v/>
      </c>
      <c r="C972" s="6"/>
      <c r="D972" s="25"/>
      <c r="E972" s="28"/>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 r="A973" s="6" t="str">
        <f t="array" ref="A973">IF(I973="","",IFERROR(INDEX(CONFIGURACION!H:H,MATCH(I973,CONFIGURACION!J:J,0)),""))
</f>
        <v/>
      </c>
      <c r="B973" s="6" t="str">
        <f t="array" ref="B973">IF(I973="","",IFERROR(INDEX(CONFIGURACION!I:I,MATCH(I973,CONFIGURACION!J:J,0)),""))
</f>
        <v/>
      </c>
      <c r="C973" s="6"/>
      <c r="D973" s="25"/>
      <c r="E973" s="28"/>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 r="A974" s="6" t="str">
        <f t="array" ref="A974">IF(I974="","",IFERROR(INDEX(CONFIGURACION!H:H,MATCH(I974,CONFIGURACION!J:J,0)),""))
</f>
        <v/>
      </c>
      <c r="B974" s="6" t="str">
        <f t="array" ref="B974">IF(I974="","",IFERROR(INDEX(CONFIGURACION!I:I,MATCH(I974,CONFIGURACION!J:J,0)),""))
</f>
        <v/>
      </c>
      <c r="C974" s="6"/>
      <c r="D974" s="25"/>
      <c r="E974" s="28"/>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 r="A975" s="6" t="str">
        <f t="array" ref="A975">IF(I975="","",IFERROR(INDEX(CONFIGURACION!H:H,MATCH(I975,CONFIGURACION!J:J,0)),""))
</f>
        <v/>
      </c>
      <c r="B975" s="6" t="str">
        <f t="array" ref="B975">IF(I975="","",IFERROR(INDEX(CONFIGURACION!I:I,MATCH(I975,CONFIGURACION!J:J,0)),""))
</f>
        <v/>
      </c>
      <c r="C975" s="6"/>
      <c r="D975" s="25"/>
      <c r="E975" s="28"/>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 r="A976" s="6" t="str">
        <f t="array" ref="A976">IF(I976="","",IFERROR(INDEX(CONFIGURACION!H:H,MATCH(I976,CONFIGURACION!J:J,0)),""))
</f>
        <v/>
      </c>
      <c r="B976" s="6" t="str">
        <f t="array" ref="B976">IF(I976="","",IFERROR(INDEX(CONFIGURACION!I:I,MATCH(I976,CONFIGURACION!J:J,0)),""))
</f>
        <v/>
      </c>
      <c r="C976" s="6"/>
      <c r="D976" s="25"/>
      <c r="E976" s="28"/>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 r="A977" s="6" t="str">
        <f t="array" ref="A977">IF(I977="","",IFERROR(INDEX(CONFIGURACION!H:H,MATCH(I977,CONFIGURACION!J:J,0)),""))
</f>
        <v/>
      </c>
      <c r="B977" s="6" t="str">
        <f t="array" ref="B977">IF(I977="","",IFERROR(INDEX(CONFIGURACION!I:I,MATCH(I977,CONFIGURACION!J:J,0)),""))
</f>
        <v/>
      </c>
      <c r="C977" s="6"/>
      <c r="D977" s="25"/>
      <c r="E977" s="28"/>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 r="A978" s="6" t="str">
        <f t="array" ref="A978">IF(I978="","",IFERROR(INDEX(CONFIGURACION!H:H,MATCH(I978,CONFIGURACION!J:J,0)),""))
</f>
        <v/>
      </c>
      <c r="B978" s="6" t="str">
        <f t="array" ref="B978">IF(I978="","",IFERROR(INDEX(CONFIGURACION!I:I,MATCH(I978,CONFIGURACION!J:J,0)),""))
</f>
        <v/>
      </c>
      <c r="C978" s="6"/>
      <c r="D978" s="25"/>
      <c r="E978" s="28"/>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 r="A979" s="6" t="str">
        <f t="array" ref="A979">IF(I979="","",IFERROR(INDEX(CONFIGURACION!H:H,MATCH(I979,CONFIGURACION!J:J,0)),""))
</f>
        <v/>
      </c>
      <c r="B979" s="6" t="str">
        <f t="array" ref="B979">IF(I979="","",IFERROR(INDEX(CONFIGURACION!I:I,MATCH(I979,CONFIGURACION!J:J,0)),""))
</f>
        <v/>
      </c>
      <c r="C979" s="6"/>
      <c r="D979" s="25"/>
      <c r="E979" s="28"/>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 r="A980" s="6" t="str">
        <f t="array" ref="A980">IF(I980="","",IFERROR(INDEX(CONFIGURACION!H:H,MATCH(I980,CONFIGURACION!J:J,0)),""))
</f>
        <v/>
      </c>
      <c r="B980" s="6" t="str">
        <f t="array" ref="B980">IF(I980="","",IFERROR(INDEX(CONFIGURACION!I:I,MATCH(I980,CONFIGURACION!J:J,0)),""))
</f>
        <v/>
      </c>
      <c r="C980" s="6"/>
      <c r="D980" s="25"/>
      <c r="E980" s="28"/>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 r="A981" s="6" t="str">
        <f t="array" ref="A981">IF(I981="","",IFERROR(INDEX(CONFIGURACION!H:H,MATCH(I981,CONFIGURACION!J:J,0)),""))
</f>
        <v/>
      </c>
      <c r="B981" s="6" t="str">
        <f t="array" ref="B981">IF(I981="","",IFERROR(INDEX(CONFIGURACION!I:I,MATCH(I981,CONFIGURACION!J:J,0)),""))
</f>
        <v/>
      </c>
      <c r="C981" s="6"/>
      <c r="D981" s="25"/>
      <c r="E981" s="28"/>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 r="A982" s="6" t="str">
        <f t="array" ref="A982">IF(I982="","",IFERROR(INDEX(CONFIGURACION!H:H,MATCH(I982,CONFIGURACION!J:J,0)),""))
</f>
        <v/>
      </c>
      <c r="B982" s="6" t="str">
        <f t="array" ref="B982">IF(I982="","",IFERROR(INDEX(CONFIGURACION!I:I,MATCH(I982,CONFIGURACION!J:J,0)),""))
</f>
        <v/>
      </c>
      <c r="C982" s="6"/>
      <c r="D982" s="25"/>
      <c r="E982" s="28"/>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 r="A983" s="6" t="str">
        <f t="array" ref="A983">IF(I983="","",IFERROR(INDEX(CONFIGURACION!H:H,MATCH(I983,CONFIGURACION!J:J,0)),""))
</f>
        <v/>
      </c>
      <c r="B983" s="6" t="str">
        <f t="array" ref="B983">IF(I983="","",IFERROR(INDEX(CONFIGURACION!I:I,MATCH(I983,CONFIGURACION!J:J,0)),""))
</f>
        <v/>
      </c>
      <c r="C983" s="6"/>
      <c r="D983" s="25"/>
      <c r="E983" s="28"/>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 r="A984" s="6" t="str">
        <f t="array" ref="A984">IF(I984="","",IFERROR(INDEX(CONFIGURACION!H:H,MATCH(I984,CONFIGURACION!J:J,0)),""))
</f>
        <v/>
      </c>
      <c r="B984" s="6" t="str">
        <f t="array" ref="B984">IF(I984="","",IFERROR(INDEX(CONFIGURACION!I:I,MATCH(I984,CONFIGURACION!J:J,0)),""))
</f>
        <v/>
      </c>
      <c r="C984" s="6"/>
      <c r="D984" s="25"/>
      <c r="E984" s="28"/>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 r="A985" s="6" t="str">
        <f t="array" ref="A985">IF(I985="","",IFERROR(INDEX(CONFIGURACION!H:H,MATCH(I985,CONFIGURACION!J:J,0)),""))
</f>
        <v/>
      </c>
      <c r="B985" s="6" t="str">
        <f t="array" ref="B985">IF(I985="","",IFERROR(INDEX(CONFIGURACION!I:I,MATCH(I985,CONFIGURACION!J:J,0)),""))
</f>
        <v/>
      </c>
      <c r="C985" s="6"/>
      <c r="D985" s="25"/>
      <c r="E985" s="28"/>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 r="A986" s="6" t="str">
        <f t="array" ref="A986">IF(I986="","",IFERROR(INDEX(CONFIGURACION!H:H,MATCH(I986,CONFIGURACION!J:J,0)),""))
</f>
        <v/>
      </c>
      <c r="B986" s="6" t="str">
        <f t="array" ref="B986">IF(I986="","",IFERROR(INDEX(CONFIGURACION!I:I,MATCH(I986,CONFIGURACION!J:J,0)),""))
</f>
        <v/>
      </c>
      <c r="C986" s="6"/>
      <c r="D986" s="25"/>
      <c r="E986" s="28"/>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 r="A987" s="6" t="str">
        <f t="array" ref="A987">IF(I987="","",IFERROR(INDEX(CONFIGURACION!H:H,MATCH(I987,CONFIGURACION!J:J,0)),""))
</f>
        <v/>
      </c>
      <c r="B987" s="6" t="str">
        <f t="array" ref="B987">IF(I987="","",IFERROR(INDEX(CONFIGURACION!I:I,MATCH(I987,CONFIGURACION!J:J,0)),""))
</f>
        <v/>
      </c>
      <c r="C987" s="6"/>
      <c r="D987" s="25"/>
      <c r="E987" s="28"/>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 r="A988" s="6" t="str">
        <f t="array" ref="A988">IF(I988="","",IFERROR(INDEX(CONFIGURACION!H:H,MATCH(I988,CONFIGURACION!J:J,0)),""))
</f>
        <v/>
      </c>
      <c r="B988" s="6" t="str">
        <f t="array" ref="B988">IF(I988="","",IFERROR(INDEX(CONFIGURACION!I:I,MATCH(I988,CONFIGURACION!J:J,0)),""))
</f>
        <v/>
      </c>
      <c r="C988" s="6"/>
      <c r="D988" s="25"/>
      <c r="E988" s="28"/>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 r="A989" s="6" t="str">
        <f t="array" ref="A989">IF(I989="","",IFERROR(INDEX(CONFIGURACION!H:H,MATCH(I989,CONFIGURACION!J:J,0)),""))
</f>
        <v/>
      </c>
      <c r="B989" s="6" t="str">
        <f t="array" ref="B989">IF(I989="","",IFERROR(INDEX(CONFIGURACION!I:I,MATCH(I989,CONFIGURACION!J:J,0)),""))
</f>
        <v/>
      </c>
      <c r="C989" s="6"/>
      <c r="D989" s="25"/>
      <c r="E989" s="28"/>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 r="A990" s="6" t="str">
        <f t="array" ref="A990">IF(I990="","",IFERROR(INDEX(CONFIGURACION!H:H,MATCH(I990,CONFIGURACION!J:J,0)),""))
</f>
        <v/>
      </c>
      <c r="B990" s="6" t="str">
        <f t="array" ref="B990">IF(I990="","",IFERROR(INDEX(CONFIGURACION!I:I,MATCH(I990,CONFIGURACION!J:J,0)),""))
</f>
        <v/>
      </c>
      <c r="C990" s="6"/>
      <c r="D990" s="25"/>
      <c r="E990" s="28"/>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 r="A991" s="6" t="str">
        <f t="array" ref="A991">IF(I991="","",IFERROR(INDEX(CONFIGURACION!H:H,MATCH(I991,CONFIGURACION!J:J,0)),""))
</f>
        <v/>
      </c>
      <c r="B991" s="6" t="str">
        <f t="array" ref="B991">IF(I991="","",IFERROR(INDEX(CONFIGURACION!I:I,MATCH(I991,CONFIGURACION!J:J,0)),""))
</f>
        <v/>
      </c>
      <c r="C991" s="6"/>
      <c r="D991" s="25"/>
      <c r="E991" s="28"/>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 r="A992" s="6" t="str">
        <f t="array" ref="A992">IF(I992="","",IFERROR(INDEX(CONFIGURACION!H:H,MATCH(I992,CONFIGURACION!J:J,0)),""))
</f>
        <v/>
      </c>
      <c r="B992" s="6" t="str">
        <f t="array" ref="B992">IF(I992="","",IFERROR(INDEX(CONFIGURACION!I:I,MATCH(I992,CONFIGURACION!J:J,0)),""))
</f>
        <v/>
      </c>
      <c r="C992" s="6"/>
      <c r="D992" s="25"/>
      <c r="E992" s="28"/>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 r="A993" s="6" t="str">
        <f t="array" ref="A993">IF(I993="","",IFERROR(INDEX(CONFIGURACION!H:H,MATCH(I993,CONFIGURACION!J:J,0)),""))
</f>
        <v/>
      </c>
      <c r="B993" s="6" t="str">
        <f t="array" ref="B993">IF(I993="","",IFERROR(INDEX(CONFIGURACION!I:I,MATCH(I993,CONFIGURACION!J:J,0)),""))
</f>
        <v/>
      </c>
      <c r="C993" s="6"/>
      <c r="D993" s="25"/>
      <c r="E993" s="28"/>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 r="A994" s="6" t="str">
        <f t="array" ref="A994">IF(I994="","",IFERROR(INDEX(CONFIGURACION!H:H,MATCH(I994,CONFIGURACION!J:J,0)),""))
</f>
        <v/>
      </c>
      <c r="B994" s="6" t="str">
        <f t="array" ref="B994">IF(I994="","",IFERROR(INDEX(CONFIGURACION!I:I,MATCH(I994,CONFIGURACION!J:J,0)),""))
</f>
        <v/>
      </c>
      <c r="C994" s="6"/>
      <c r="D994" s="25"/>
      <c r="E994" s="28"/>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 r="A995" s="6" t="str">
        <f t="array" ref="A995">IF(I995="","",IFERROR(INDEX(CONFIGURACION!H:H,MATCH(I995,CONFIGURACION!J:J,0)),""))
</f>
        <v/>
      </c>
      <c r="B995" s="6" t="str">
        <f t="array" ref="B995">IF(I995="","",IFERROR(INDEX(CONFIGURACION!I:I,MATCH(I995,CONFIGURACION!J:J,0)),""))
</f>
        <v/>
      </c>
      <c r="C995" s="6"/>
      <c r="D995" s="25"/>
      <c r="E995" s="28"/>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 r="A996" s="6" t="str">
        <f t="array" ref="A996">IF(I996="","",IFERROR(INDEX(CONFIGURACION!H:H,MATCH(I996,CONFIGURACION!J:J,0)),""))
</f>
        <v/>
      </c>
      <c r="B996" s="6" t="str">
        <f t="array" ref="B996">IF(I996="","",IFERROR(INDEX(CONFIGURACION!I:I,MATCH(I996,CONFIGURACION!J:J,0)),""))
</f>
        <v/>
      </c>
      <c r="C996" s="6"/>
      <c r="D996" s="25"/>
      <c r="E996" s="28"/>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 r="A997" s="6" t="str">
        <f t="array" ref="A997">IF(I997="","",IFERROR(INDEX(CONFIGURACION!H:H,MATCH(I997,CONFIGURACION!J:J,0)),""))
</f>
        <v/>
      </c>
      <c r="B997" s="6" t="str">
        <f t="array" ref="B997">IF(I997="","",IFERROR(INDEX(CONFIGURACION!I:I,MATCH(I997,CONFIGURACION!J:J,0)),""))
</f>
        <v/>
      </c>
      <c r="C997" s="6"/>
      <c r="D997" s="25"/>
      <c r="E997" s="28"/>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 r="A998" s="6" t="str">
        <f t="array" ref="A998">IF(I998="","",IFERROR(INDEX(CONFIGURACION!H:H,MATCH(I998,CONFIGURACION!J:J,0)),""))
</f>
        <v/>
      </c>
      <c r="B998" s="6" t="str">
        <f t="array" ref="B998">IF(I998="","",IFERROR(INDEX(CONFIGURACION!I:I,MATCH(I998,CONFIGURACION!J:J,0)),""))
</f>
        <v/>
      </c>
      <c r="C998" s="6"/>
      <c r="D998" s="25"/>
      <c r="E998" s="28"/>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 r="A999" s="21"/>
      <c r="B999" s="21"/>
      <c r="C999" s="21"/>
      <c r="D999" s="29"/>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 r="A1000" s="21"/>
      <c r="B1000" s="21"/>
      <c r="C1000" s="21"/>
      <c r="D1000" s="29"/>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dataValidations>
    <dataValidation type="list" allowBlank="1" showInputMessage="1" showErrorMessage="1" prompt="Haz clic e introduce un valor del intervalo" sqref="E2:E499">
      <formula1>CONFIGURACION!$G$2:$G$3</formula1>
    </dataValidation>
    <dataValidation type="list" allowBlank="1" showErrorMessage="1" sqref="C2:C499 C501:C998">
      <formula1>CONFIGURACION!$E$2:$E$17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38"/>
    <col customWidth="1" min="3" max="3" width="13.5"/>
    <col customWidth="1" min="4" max="4" width="23.75"/>
    <col customWidth="1" min="5" max="5" width="8.0"/>
    <col customWidth="1" min="6" max="6" width="28.0"/>
    <col customWidth="1" min="7" max="7" width="15.63"/>
    <col customWidth="1" min="8" max="8" width="14.25"/>
    <col customWidth="1" min="9" max="9" width="17.88"/>
    <col customWidth="1" min="10" max="10" width="0.63"/>
    <col customWidth="1" min="11" max="11" width="14.25"/>
    <col customWidth="1" min="13" max="13" width="36.5"/>
  </cols>
  <sheetData>
    <row r="1">
      <c r="A1" s="19" t="s">
        <v>1</v>
      </c>
      <c r="B1" s="4" t="s">
        <v>2</v>
      </c>
      <c r="C1" s="4" t="s">
        <v>4</v>
      </c>
      <c r="D1" s="19" t="s">
        <v>6</v>
      </c>
      <c r="E1" s="4" t="s">
        <v>3</v>
      </c>
      <c r="F1" s="4" t="s">
        <v>92</v>
      </c>
      <c r="G1" s="4" t="s">
        <v>5</v>
      </c>
      <c r="H1" s="4" t="s">
        <v>115</v>
      </c>
      <c r="I1" s="4" t="s">
        <v>116</v>
      </c>
      <c r="J1" s="4" t="s">
        <v>117</v>
      </c>
      <c r="K1" s="4" t="s">
        <v>118</v>
      </c>
      <c r="L1" s="30"/>
      <c r="M1" s="30"/>
      <c r="N1" s="30"/>
      <c r="O1" s="30"/>
      <c r="P1" s="30"/>
      <c r="Q1" s="30"/>
      <c r="R1" s="30"/>
      <c r="S1" s="30"/>
      <c r="T1" s="30"/>
      <c r="U1" s="30"/>
      <c r="V1" s="30"/>
      <c r="W1" s="30"/>
      <c r="X1" s="30"/>
      <c r="Y1" s="30"/>
      <c r="Z1" s="30"/>
      <c r="AA1" s="30"/>
      <c r="AB1" s="30"/>
      <c r="AC1" s="30"/>
    </row>
    <row r="2">
      <c r="A2" s="22" t="str">
        <f t="array" ref="A2">IF(E2="","",IFERROR(INDEX(CONFIGURACION!C:C,MATCH(E2,CONFIGURACION!E:E,0)),""))
</f>
        <v>BCH</v>
      </c>
      <c r="B2" s="22">
        <f t="array" ref="B2">IF(E2="","",IFERROR(INDEX(CONFIGURACION!D:D,MATCH(E2,CONFIGURACION!E:E,0)),""))
</f>
        <v>1</v>
      </c>
      <c r="C2" s="31" t="s">
        <v>19</v>
      </c>
      <c r="D2" s="9" t="s">
        <v>63</v>
      </c>
      <c r="E2" s="6" t="s">
        <v>89</v>
      </c>
      <c r="F2" s="24" t="s">
        <v>93</v>
      </c>
      <c r="G2" s="9" t="s">
        <v>20</v>
      </c>
      <c r="H2" s="32">
        <v>1900.0</v>
      </c>
      <c r="I2" s="33" t="str">
        <f>IFERROR(__xludf.DUMMYFUNCTION("IF(F2="""","""",LET(
  nombre, TRIM(F2),
  primer, REGEXEXTRACT(nombre, ""^\S+""),
  resto, TRIM(REGEXREPLACE(nombre, ""^\S+\s*"", """")),
  iniciales, IF(
    resto="""",
    """",
    TEXTJOIN("""",1,ARRAYFORMULA(LEFT(SPLIT(resto,"" ""),1) &amp; "".""))
  )"&amp;",
  UPPER(primer) &amp; "" "" &amp; UPPER(iniciales)
))"),"MANOLO D.C.")</f>
        <v>MANOLO D.C.</v>
      </c>
      <c r="J2" s="33">
        <f>IFERROR(__xludf.DUMMYFUNCTION("IF(H2="""","""",IFERROR(
IF(REGEXMATCH(E2,""VELOCIDAD""),
   IF(H2&gt;=MAX(INDEX(BAREMOS!F:X,MATCH(1,(BAREMOS!A:A=A2)*(BAREMOS!B:B=B2)*(BAREMOS!C:C=C2)*(BAREMOS!D:D=D2),0),0)),1,
      IF(H2&lt;=MIN(INDEX(BAREMOS!F:X,MATCH(1,(BAREMOS!A:A=A2)*(BAREMOS!B:B=B2)*(B"&amp;"AREMOS!C:C=C2)*(BAREMOS!D:D=D2),0),0)),19,
         MATCH(H2,INDEX(BAREMOS!F:X,MATCH(1,(BAREMOS!A:A=A2)*(BAREMOS!B:B=B2)*(BAREMOS!C:C=C2)*(BAREMOS!D:D=D2),0),0),-1)
      )
   ),
   IF(H2&lt;=MIN(INDEX(BAREMOS!F:X,MATCH(1,(BAREMOS!A:A=A2)*(BAREMOS!B:B=B2)*(B"&amp;"AREMOS!C:C=C2)*(BAREMOS!D:D=D2),0),0)),1,
      IF(H2&gt;=MAX(INDEX(BAREMOS!F:X,MATCH(1,(BAREMOS!A:A=A2)*(BAREMOS!B:B=B2)*(BAREMOS!C:C=C2)*(BAREMOS!D:D=D2),0),0)),19,
         MATCH(H2,INDEX(BAREMOS!F:X,MATCH(1,(BAREMOS!A:A=A2)*(BAREMOS!B:B=B2)*(BAREMOS!C:C="&amp;"C2)*(BAREMOS!D:D=D2),0),0),1)
      )
   )
)
,""""))
"),1.0)</f>
        <v>1</v>
      </c>
      <c r="K2" s="34">
        <f t="shared" ref="K2:K499" si="1">IF(J2="","",INDEX(SEQUENCE(1,19,1,0.5),1,J2))
</f>
        <v>1</v>
      </c>
      <c r="L2" s="16"/>
      <c r="M2" s="35" t="s">
        <v>119</v>
      </c>
      <c r="N2" s="16"/>
      <c r="O2" s="16"/>
      <c r="P2" s="16"/>
      <c r="Q2" s="16"/>
      <c r="R2" s="16"/>
      <c r="S2" s="16"/>
      <c r="T2" s="16"/>
      <c r="U2" s="16"/>
      <c r="V2" s="16"/>
      <c r="W2" s="16"/>
      <c r="X2" s="16"/>
      <c r="Y2" s="16"/>
      <c r="Z2" s="16"/>
      <c r="AA2" s="16"/>
      <c r="AB2" s="16"/>
      <c r="AC2" s="16"/>
    </row>
    <row r="3">
      <c r="A3" s="22" t="str">
        <f t="array" ref="A3">IF(E3="","",IFERROR(INDEX(CONFIGURACION!C:C,MATCH(E3,CONFIGURACION!E:E,0)),""))
</f>
        <v>BCH</v>
      </c>
      <c r="B3" s="22">
        <f t="array" ref="B3">IF(E3="","",IFERROR(INDEX(CONFIGURACION!D:D,MATCH(E3,CONFIGURACION!E:E,0)),""))
</f>
        <v>1</v>
      </c>
      <c r="C3" s="31" t="s">
        <v>31</v>
      </c>
      <c r="D3" s="9" t="s">
        <v>21</v>
      </c>
      <c r="E3" s="6" t="s">
        <v>89</v>
      </c>
      <c r="F3" s="24" t="s">
        <v>94</v>
      </c>
      <c r="G3" s="9" t="s">
        <v>20</v>
      </c>
      <c r="H3" s="32">
        <v>33.0</v>
      </c>
      <c r="I3" s="33" t="str">
        <f>IFERROR(__xludf.DUMMYFUNCTION("IF(F3="""","""",LET(
  nombre, TRIM(F3),
  primer, REGEXEXTRACT(nombre, ""^\S+""),
  resto, TRIM(REGEXREPLACE(nombre, ""^\S+\s*"", """")),
  iniciales, IF(
    resto="""",
    """",
    TEXTJOIN("""",1,ARRAYFORMULA(LEFT(SPLIT(resto,"" ""),1) &amp; "".""))
  )"&amp;",
  UPPER(primer) &amp; "" "" &amp; UPPER(iniciales)
))"),"MARÍA D.G.")</f>
        <v>MARÍA D.G.</v>
      </c>
      <c r="J3" s="33">
        <f>IFERROR(__xludf.DUMMYFUNCTION("IF(H3="""","""",IFERROR(
IF(REGEXMATCH(E3,""VELOCIDAD""),
   IF(H3&gt;=MAX(INDEX(BAREMOS!F:X,MATCH(1,(BAREMOS!A:A=A3)*(BAREMOS!B:B=B3)*(BAREMOS!C:C=C3)*(BAREMOS!D:D=D3),0),0)),1,
      IF(H3&lt;=MIN(INDEX(BAREMOS!F:X,MATCH(1,(BAREMOS!A:A=A3)*(BAREMOS!B:B=B3)*(B"&amp;"AREMOS!C:C=C3)*(BAREMOS!D:D=D3),0),0)),19,
         MATCH(H3,INDEX(BAREMOS!F:X,MATCH(1,(BAREMOS!A:A=A3)*(BAREMOS!B:B=B3)*(BAREMOS!C:C=C3)*(BAREMOS!D:D=D3),0),0),-1)
      )
   ),
   IF(H3&lt;=MIN(INDEX(BAREMOS!F:X,MATCH(1,(BAREMOS!A:A=A3)*(BAREMOS!B:B=B3)*(B"&amp;"AREMOS!C:C=C3)*(BAREMOS!D:D=D3),0),0)),1,
      IF(H3&gt;=MAX(INDEX(BAREMOS!F:X,MATCH(1,(BAREMOS!A:A=A3)*(BAREMOS!B:B=B3)*(BAREMOS!C:C=C3)*(BAREMOS!D:D=D3),0),0)),19,
         MATCH(H3,INDEX(BAREMOS!F:X,MATCH(1,(BAREMOS!A:A=A3)*(BAREMOS!B:B=B3)*(BAREMOS!C:C="&amp;"C3)*(BAREMOS!D:D=D3),0),0),1)
      )
   )
)
,""""))
"),1.0)</f>
        <v>1</v>
      </c>
      <c r="K3" s="34">
        <f t="shared" si="1"/>
        <v>1</v>
      </c>
      <c r="L3" s="35"/>
      <c r="M3" s="35" t="s">
        <v>120</v>
      </c>
      <c r="N3" s="16"/>
      <c r="O3" s="16"/>
      <c r="P3" s="16"/>
      <c r="Q3" s="16"/>
      <c r="R3" s="16"/>
      <c r="S3" s="16"/>
      <c r="T3" s="16"/>
      <c r="U3" s="16"/>
      <c r="V3" s="16"/>
      <c r="W3" s="16"/>
      <c r="X3" s="16"/>
      <c r="Y3" s="16"/>
      <c r="Z3" s="16"/>
      <c r="AA3" s="16"/>
      <c r="AB3" s="16"/>
      <c r="AC3" s="16"/>
    </row>
    <row r="4">
      <c r="A4" s="22" t="str">
        <f t="array" ref="A4">IF(E4="","",IFERROR(INDEX(CONFIGURACION!C:C,MATCH(E4,CONFIGURACION!E:E,0)),""))
</f>
        <v>BCH</v>
      </c>
      <c r="B4" s="22">
        <f t="array" ref="B4">IF(E4="","",IFERROR(INDEX(CONFIGURACION!D:D,MATCH(E4,CONFIGURACION!E:E,0)),""))
</f>
        <v>1</v>
      </c>
      <c r="C4" s="31" t="s">
        <v>19</v>
      </c>
      <c r="D4" s="9" t="s">
        <v>57</v>
      </c>
      <c r="E4" s="6" t="s">
        <v>89</v>
      </c>
      <c r="F4" s="24" t="s">
        <v>95</v>
      </c>
      <c r="G4" s="9" t="s">
        <v>20</v>
      </c>
      <c r="H4" s="32">
        <v>37.0</v>
      </c>
      <c r="I4" s="33" t="str">
        <f>IFERROR(__xludf.DUMMYFUNCTION("IF(F4="""","""",LET(
  nombre, TRIM(F4),
  primer, REGEXEXTRACT(nombre, ""^\S+""),
  resto, TRIM(REGEXREPLACE(nombre, ""^\S+\s*"", """")),
  iniciales, IF(
    resto="""",
    """",
    TEXTJOIN("""",1,ARRAYFORMULA(LEFT(SPLIT(resto,"" ""),1) &amp; "".""))
  )"&amp;",
  UPPER(primer) &amp; "" "" &amp; UPPER(iniciales)
))"),"JUAN P.H.")</f>
        <v>JUAN P.H.</v>
      </c>
      <c r="J4" s="33">
        <f>IFERROR(__xludf.DUMMYFUNCTION("IF(H4="""","""",IFERROR(
IF(REGEXMATCH(E4,""VELOCIDAD""),
   IF(H4&gt;=MAX(INDEX(BAREMOS!F:X,MATCH(1,(BAREMOS!A:A=A4)*(BAREMOS!B:B=B4)*(BAREMOS!C:C=C4)*(BAREMOS!D:D=D4),0),0)),1,
      IF(H4&lt;=MIN(INDEX(BAREMOS!F:X,MATCH(1,(BAREMOS!A:A=A4)*(BAREMOS!B:B=B4)*(B"&amp;"AREMOS!C:C=C4)*(BAREMOS!D:D=D4),0),0)),19,
         MATCH(H4,INDEX(BAREMOS!F:X,MATCH(1,(BAREMOS!A:A=A4)*(BAREMOS!B:B=B4)*(BAREMOS!C:C=C4)*(BAREMOS!D:D=D4),0),0),-1)
      )
   ),
   IF(H4&lt;=MIN(INDEX(BAREMOS!F:X,MATCH(1,(BAREMOS!A:A=A4)*(BAREMOS!B:B=B4)*(B"&amp;"AREMOS!C:C=C4)*(BAREMOS!D:D=D4),0),0)),1,
      IF(H4&gt;=MAX(INDEX(BAREMOS!F:X,MATCH(1,(BAREMOS!A:A=A4)*(BAREMOS!B:B=B4)*(BAREMOS!C:C=C4)*(BAREMOS!D:D=D4),0),0)),19,
         MATCH(H4,INDEX(BAREMOS!F:X,MATCH(1,(BAREMOS!A:A=A4)*(BAREMOS!B:B=B4)*(BAREMOS!C:C="&amp;"C4)*(BAREMOS!D:D=D4),0),0),1)
      )
   )
)
,""""))
"),3.0)</f>
        <v>3</v>
      </c>
      <c r="K4" s="34">
        <f t="shared" si="1"/>
        <v>2</v>
      </c>
      <c r="L4" s="35"/>
      <c r="M4" s="35" t="s">
        <v>121</v>
      </c>
      <c r="N4" s="16"/>
      <c r="O4" s="16"/>
      <c r="P4" s="16"/>
      <c r="Q4" s="16"/>
      <c r="R4" s="16"/>
      <c r="S4" s="16"/>
      <c r="T4" s="16"/>
      <c r="U4" s="16"/>
      <c r="V4" s="16"/>
      <c r="W4" s="16"/>
      <c r="X4" s="16"/>
      <c r="Y4" s="16"/>
      <c r="Z4" s="16"/>
      <c r="AA4" s="16"/>
      <c r="AB4" s="16"/>
      <c r="AC4" s="16"/>
    </row>
    <row r="5">
      <c r="A5" s="22" t="str">
        <f t="array" ref="A5">IF(E5="","",IFERROR(INDEX(CONFIGURACION!C:C,MATCH(E5,CONFIGURACION!E:E,0)),""))
</f>
        <v>BCH</v>
      </c>
      <c r="B5" s="22">
        <f t="array" ref="B5">IF(E5="","",IFERROR(INDEX(CONFIGURACION!D:D,MATCH(E5,CONFIGURACION!E:E,0)),""))
</f>
        <v>1</v>
      </c>
      <c r="C5" s="31" t="s">
        <v>31</v>
      </c>
      <c r="D5" s="9" t="s">
        <v>21</v>
      </c>
      <c r="E5" s="6" t="s">
        <v>89</v>
      </c>
      <c r="F5" s="24" t="s">
        <v>96</v>
      </c>
      <c r="G5" s="9" t="s">
        <v>20</v>
      </c>
      <c r="H5" s="32">
        <v>144.0</v>
      </c>
      <c r="I5" s="33" t="str">
        <f>IFERROR(__xludf.DUMMYFUNCTION("IF(F5="""","""",LET(
  nombre, TRIM(F5),
  primer, REGEXEXTRACT(nombre, ""^\S+""),
  resto, TRIM(REGEXREPLACE(nombre, ""^\S+\s*"", """")),
  iniciales, IF(
    resto="""",
    """",
    TEXTJOIN("""",1,ARRAYFORMULA(LEFT(SPLIT(resto,"" ""),1) &amp; "".""))
  )"&amp;",
  UPPER(primer) &amp; "" "" &amp; UPPER(iniciales)
))"),"MARÍA G.A.")</f>
        <v>MARÍA G.A.</v>
      </c>
      <c r="J5" s="33">
        <f>IFERROR(__xludf.DUMMYFUNCTION("IF(H5="""","""",IFERROR(
IF(REGEXMATCH(E5,""VELOCIDAD""),
   IF(H5&gt;=MAX(INDEX(BAREMOS!F:X,MATCH(1,(BAREMOS!A:A=A5)*(BAREMOS!B:B=B5)*(BAREMOS!C:C=C5)*(BAREMOS!D:D=D5),0),0)),1,
      IF(H5&lt;=MIN(INDEX(BAREMOS!F:X,MATCH(1,(BAREMOS!A:A=A5)*(BAREMOS!B:B=B5)*(B"&amp;"AREMOS!C:C=C5)*(BAREMOS!D:D=D5),0),0)),19,
         MATCH(H5,INDEX(BAREMOS!F:X,MATCH(1,(BAREMOS!A:A=A5)*(BAREMOS!B:B=B5)*(BAREMOS!C:C=C5)*(BAREMOS!D:D=D5),0),0),-1)
      )
   ),
   IF(H5&lt;=MIN(INDEX(BAREMOS!F:X,MATCH(1,(BAREMOS!A:A=A5)*(BAREMOS!B:B=B5)*(B"&amp;"AREMOS!C:C=C5)*(BAREMOS!D:D=D5),0),0)),1,
      IF(H5&gt;=MAX(INDEX(BAREMOS!F:X,MATCH(1,(BAREMOS!A:A=A5)*(BAREMOS!B:B=B5)*(BAREMOS!C:C=C5)*(BAREMOS!D:D=D5),0),0)),19,
         MATCH(H5,INDEX(BAREMOS!F:X,MATCH(1,(BAREMOS!A:A=A5)*(BAREMOS!B:B=B5)*(BAREMOS!C:C="&amp;"C5)*(BAREMOS!D:D=D5),0),0),1)
      )
   )
)
,""""))
"),2.0)</f>
        <v>2</v>
      </c>
      <c r="K5" s="34">
        <f t="shared" si="1"/>
        <v>1.5</v>
      </c>
      <c r="L5" s="35"/>
      <c r="M5" s="35" t="s">
        <v>122</v>
      </c>
      <c r="N5" s="16"/>
      <c r="O5" s="16"/>
      <c r="P5" s="16"/>
      <c r="Q5" s="16"/>
      <c r="R5" s="16"/>
      <c r="S5" s="16"/>
      <c r="T5" s="16"/>
      <c r="U5" s="16"/>
      <c r="V5" s="16"/>
      <c r="W5" s="16"/>
      <c r="X5" s="16"/>
      <c r="Y5" s="16"/>
      <c r="Z5" s="16"/>
      <c r="AA5" s="16"/>
      <c r="AB5" s="16"/>
      <c r="AC5" s="16"/>
    </row>
    <row r="6">
      <c r="A6" s="22" t="str">
        <f t="array" ref="A6">IF(E6="","",IFERROR(INDEX(CONFIGURACION!C:C,MATCH(E6,CONFIGURACION!E:E,0)),""))
</f>
        <v>BCH</v>
      </c>
      <c r="B6" s="22">
        <f t="array" ref="B6">IF(E6="","",IFERROR(INDEX(CONFIGURACION!D:D,MATCH(E6,CONFIGURACION!E:E,0)),""))
</f>
        <v>1</v>
      </c>
      <c r="C6" s="31" t="s">
        <v>19</v>
      </c>
      <c r="D6" s="9" t="s">
        <v>41</v>
      </c>
      <c r="E6" s="6" t="s">
        <v>89</v>
      </c>
      <c r="F6" s="24" t="s">
        <v>97</v>
      </c>
      <c r="G6" s="9" t="s">
        <v>20</v>
      </c>
      <c r="H6" s="32">
        <v>30.0</v>
      </c>
      <c r="I6" s="33" t="str">
        <f>IFERROR(__xludf.DUMMYFUNCTION("IF(F6="""","""",LET(
  nombre, TRIM(F6),
  primer, REGEXEXTRACT(nombre, ""^\S+""),
  resto, TRIM(REGEXREPLACE(nombre, ""^\S+\s*"", """")),
  iniciales, IF(
    resto="""",
    """",
    TEXTJOIN("""",1,ARRAYFORMULA(LEFT(SPLIT(resto,"" ""),1) &amp; "".""))
  )"&amp;",
  UPPER(primer) &amp; "" "" &amp; UPPER(iniciales)
))"),"RUBÉN F.R.")</f>
        <v>RUBÉN F.R.</v>
      </c>
      <c r="J6" s="33">
        <f>IFERROR(__xludf.DUMMYFUNCTION("IF(H6="""","""",IFERROR(
IF(REGEXMATCH(E6,""VELOCIDAD""),
   IF(H6&gt;=MAX(INDEX(BAREMOS!F:X,MATCH(1,(BAREMOS!A:A=A6)*(BAREMOS!B:B=B6)*(BAREMOS!C:C=C6)*(BAREMOS!D:D=D6),0),0)),1,
      IF(H6&lt;=MIN(INDEX(BAREMOS!F:X,MATCH(1,(BAREMOS!A:A=A6)*(BAREMOS!B:B=B6)*(B"&amp;"AREMOS!C:C=C6)*(BAREMOS!D:D=D6),0),0)),19,
         MATCH(H6,INDEX(BAREMOS!F:X,MATCH(1,(BAREMOS!A:A=A6)*(BAREMOS!B:B=B6)*(BAREMOS!C:C=C6)*(BAREMOS!D:D=D6),0),0),-1)
      )
   ),
   IF(H6&lt;=MIN(INDEX(BAREMOS!F:X,MATCH(1,(BAREMOS!A:A=A6)*(BAREMOS!B:B=B6)*(B"&amp;"AREMOS!C:C=C6)*(BAREMOS!D:D=D6),0),0)),1,
      IF(H6&gt;=MAX(INDEX(BAREMOS!F:X,MATCH(1,(BAREMOS!A:A=A6)*(BAREMOS!B:B=B6)*(BAREMOS!C:C=C6)*(BAREMOS!D:D=D6),0),0)),19,
         MATCH(H6,INDEX(BAREMOS!F:X,MATCH(1,(BAREMOS!A:A=A6)*(BAREMOS!B:B=B6)*(BAREMOS!C:C="&amp;"C6)*(BAREMOS!D:D=D6),0),0),1)
      )
   )
)
,""""))
"),15.0)</f>
        <v>15</v>
      </c>
      <c r="K6" s="34">
        <f t="shared" si="1"/>
        <v>8</v>
      </c>
      <c r="L6" s="35"/>
      <c r="M6" s="16"/>
      <c r="N6" s="16"/>
      <c r="O6" s="16"/>
      <c r="P6" s="16"/>
      <c r="Q6" s="16"/>
      <c r="R6" s="16"/>
      <c r="S6" s="16"/>
      <c r="T6" s="16"/>
      <c r="U6" s="16"/>
      <c r="V6" s="16"/>
      <c r="W6" s="16"/>
      <c r="X6" s="16"/>
      <c r="Y6" s="16"/>
      <c r="Z6" s="16"/>
      <c r="AA6" s="16"/>
      <c r="AB6" s="16"/>
      <c r="AC6" s="16"/>
    </row>
    <row r="7">
      <c r="A7" s="22" t="str">
        <f t="array" ref="A7">IF(E7="","",IFERROR(INDEX(CONFIGURACION!C:C,MATCH(E7,CONFIGURACION!E:E,0)),""))
</f>
        <v>BCH</v>
      </c>
      <c r="B7" s="22">
        <f t="array" ref="B7">IF(E7="","",IFERROR(INDEX(CONFIGURACION!D:D,MATCH(E7,CONFIGURACION!E:E,0)),""))
</f>
        <v>1</v>
      </c>
      <c r="C7" s="31" t="s">
        <v>31</v>
      </c>
      <c r="D7" s="9" t="s">
        <v>33</v>
      </c>
      <c r="E7" s="6" t="s">
        <v>89</v>
      </c>
      <c r="F7" s="24" t="s">
        <v>98</v>
      </c>
      <c r="G7" s="9" t="s">
        <v>20</v>
      </c>
      <c r="H7" s="36">
        <v>46238.0</v>
      </c>
      <c r="I7" s="33" t="str">
        <f>IFERROR(__xludf.DUMMYFUNCTION("IF(F7="""","""",LET(
  nombre, TRIM(F7),
  primer, REGEXEXTRACT(nombre, ""^\S+""),
  resto, TRIM(REGEXREPLACE(nombre, ""^\S+\s*"", """")),
  iniciales, IF(
    resto="""",
    """",
    TEXTJOIN("""",1,ARRAYFORMULA(LEFT(SPLIT(resto,"" ""),1) &amp; "".""))
  )"&amp;",
  UPPER(primer) &amp; "" "" &amp; UPPER(iniciales)
))"),"PATY V.G.")</f>
        <v>PATY V.G.</v>
      </c>
      <c r="J7" s="33">
        <f>IFERROR(__xludf.DUMMYFUNCTION("IF(H7="""","""",IFERROR(
IF(REGEXMATCH(E7,""VELOCIDAD""),
   IF(H7&gt;=MAX(INDEX(BAREMOS!F:X,MATCH(1,(BAREMOS!A:A=A7)*(BAREMOS!B:B=B7)*(BAREMOS!C:C=C7)*(BAREMOS!D:D=D7),0),0)),1,
      IF(H7&lt;=MIN(INDEX(BAREMOS!F:X,MATCH(1,(BAREMOS!A:A=A7)*(BAREMOS!B:B=B7)*(B"&amp;"AREMOS!C:C=C7)*(BAREMOS!D:D=D7),0),0)),19,
         MATCH(H7,INDEX(BAREMOS!F:X,MATCH(1,(BAREMOS!A:A=A7)*(BAREMOS!B:B=B7)*(BAREMOS!C:C=C7)*(BAREMOS!D:D=D7),0),0),-1)
      )
   ),
   IF(H7&lt;=MIN(INDEX(BAREMOS!F:X,MATCH(1,(BAREMOS!A:A=A7)*(BAREMOS!B:B=B7)*(B"&amp;"AREMOS!C:C=C7)*(BAREMOS!D:D=D7),0),0)),1,
      IF(H7&gt;=MAX(INDEX(BAREMOS!F:X,MATCH(1,(BAREMOS!A:A=A7)*(BAREMOS!B:B=B7)*(BAREMOS!C:C=C7)*(BAREMOS!D:D=D7),0),0)),19,
         MATCH(H7,INDEX(BAREMOS!F:X,MATCH(1,(BAREMOS!A:A=A7)*(BAREMOS!B:B=B7)*(BAREMOS!C:C="&amp;"C7)*(BAREMOS!D:D=D7),0),0),1)
      )
   )
)
,""""))
"),14.0)</f>
        <v>14</v>
      </c>
      <c r="K7" s="34">
        <f t="shared" si="1"/>
        <v>7.5</v>
      </c>
      <c r="L7" s="35"/>
      <c r="M7" s="16"/>
      <c r="N7" s="16"/>
      <c r="O7" s="16"/>
      <c r="P7" s="16"/>
      <c r="Q7" s="16"/>
      <c r="R7" s="16"/>
      <c r="S7" s="16"/>
      <c r="T7" s="16"/>
      <c r="U7" s="16"/>
      <c r="V7" s="16"/>
      <c r="W7" s="16"/>
      <c r="X7" s="16"/>
      <c r="Y7" s="16"/>
      <c r="Z7" s="16"/>
      <c r="AA7" s="16"/>
      <c r="AB7" s="16"/>
      <c r="AC7" s="16"/>
    </row>
    <row r="8">
      <c r="A8" s="22" t="str">
        <f t="array" ref="A8">IF(E8="","",IFERROR(INDEX(CONFIGURACION!C:C,MATCH(E8,CONFIGURACION!E:E,0)),""))
</f>
        <v>BCH</v>
      </c>
      <c r="B8" s="22">
        <f t="array" ref="B8">IF(E8="","",IFERROR(INDEX(CONFIGURACION!D:D,MATCH(E8,CONFIGURACION!E:E,0)),""))
</f>
        <v>1</v>
      </c>
      <c r="C8" s="31" t="s">
        <v>19</v>
      </c>
      <c r="D8" s="9" t="s">
        <v>71</v>
      </c>
      <c r="E8" s="6" t="s">
        <v>89</v>
      </c>
      <c r="F8" s="24" t="s">
        <v>99</v>
      </c>
      <c r="G8" s="9" t="s">
        <v>20</v>
      </c>
      <c r="H8" s="32">
        <v>7.0</v>
      </c>
      <c r="I8" s="33" t="str">
        <f>IFERROR(__xludf.DUMMYFUNCTION("IF(F8="""","""",LET(
  nombre, TRIM(F8),
  primer, REGEXEXTRACT(nombre, ""^\S+""),
  resto, TRIM(REGEXREPLACE(nombre, ""^\S+\s*"", """")),
  iniciales, IF(
    resto="""",
    """",
    TEXTJOIN("""",1,ARRAYFORMULA(LEFT(SPLIT(resto,"" ""),1) &amp; "".""))
  )"&amp;",
  UPPER(primer) &amp; "" "" &amp; UPPER(iniciales)
))"),"JORGE L.O.")</f>
        <v>JORGE L.O.</v>
      </c>
      <c r="J8" s="33">
        <f>IFERROR(__xludf.DUMMYFUNCTION("IF(H8="""","""",IFERROR(
IF(REGEXMATCH(E8,""VELOCIDAD""),
   IF(H8&gt;=MAX(INDEX(BAREMOS!F:X,MATCH(1,(BAREMOS!A:A=A8)*(BAREMOS!B:B=B8)*(BAREMOS!C:C=C8)*(BAREMOS!D:D=D8),0),0)),1,
      IF(H8&lt;=MIN(INDEX(BAREMOS!F:X,MATCH(1,(BAREMOS!A:A=A8)*(BAREMOS!B:B=B8)*(B"&amp;"AREMOS!C:C=C8)*(BAREMOS!D:D=D8),0),0)),19,
         MATCH(H8,INDEX(BAREMOS!F:X,MATCH(1,(BAREMOS!A:A=A8)*(BAREMOS!B:B=B8)*(BAREMOS!C:C=C8)*(BAREMOS!D:D=D8),0),0),-1)
      )
   ),
   IF(H8&lt;=MIN(INDEX(BAREMOS!F:X,MATCH(1,(BAREMOS!A:A=A8)*(BAREMOS!B:B=B8)*(B"&amp;"AREMOS!C:C=C8)*(BAREMOS!D:D=D8),0),0)),1,
      IF(H8&gt;=MAX(INDEX(BAREMOS!F:X,MATCH(1,(BAREMOS!A:A=A8)*(BAREMOS!B:B=B8)*(BAREMOS!C:C=C8)*(BAREMOS!D:D=D8),0),0)),19,
         MATCH(H8,INDEX(BAREMOS!F:X,MATCH(1,(BAREMOS!A:A=A8)*(BAREMOS!B:B=B8)*(BAREMOS!C:C="&amp;"C8)*(BAREMOS!D:D=D8),0),0),1)
      )
   )
)
,""""))
"),1.0)</f>
        <v>1</v>
      </c>
      <c r="K8" s="34">
        <f t="shared" si="1"/>
        <v>1</v>
      </c>
      <c r="L8" s="35"/>
      <c r="M8" s="16"/>
      <c r="N8" s="16"/>
      <c r="O8" s="16"/>
      <c r="P8" s="16"/>
      <c r="Q8" s="16"/>
      <c r="R8" s="16"/>
      <c r="S8" s="16"/>
      <c r="T8" s="16"/>
      <c r="U8" s="16"/>
      <c r="V8" s="16"/>
      <c r="W8" s="16"/>
      <c r="X8" s="16"/>
      <c r="Y8" s="16"/>
      <c r="Z8" s="16"/>
      <c r="AA8" s="16"/>
      <c r="AB8" s="16"/>
      <c r="AC8" s="16"/>
    </row>
    <row r="9">
      <c r="A9" s="22" t="str">
        <f t="array" ref="A9">IF(E9="","",IFERROR(INDEX(CONFIGURACION!C:C,MATCH(E9,CONFIGURACION!E:E,0)),""))
</f>
        <v>BCH</v>
      </c>
      <c r="B9" s="22">
        <f t="array" ref="B9">IF(E9="","",IFERROR(INDEX(CONFIGURACION!D:D,MATCH(E9,CONFIGURACION!E:E,0)),""))
</f>
        <v>1</v>
      </c>
      <c r="C9" s="31" t="s">
        <v>31</v>
      </c>
      <c r="D9" s="9" t="s">
        <v>63</v>
      </c>
      <c r="E9" s="6" t="s">
        <v>89</v>
      </c>
      <c r="F9" s="24" t="s">
        <v>100</v>
      </c>
      <c r="G9" s="9" t="s">
        <v>20</v>
      </c>
      <c r="H9" s="32">
        <v>2700.0</v>
      </c>
      <c r="I9" s="33" t="str">
        <f>IFERROR(__xludf.DUMMYFUNCTION("IF(F9="""","""",LET(
  nombre, TRIM(F9),
  primer, REGEXEXTRACT(nombre, ""^\S+""),
  resto, TRIM(REGEXREPLACE(nombre, ""^\S+\s*"", """")),
  iniciales, IF(
    resto="""",
    """",
    TEXTJOIN("""",1,ARRAYFORMULA(LEFT(SPLIT(resto,"" ""),1) &amp; "".""))
  )"&amp;",
  UPPER(primer) &amp; "" "" &amp; UPPER(iniciales)
))"),"OLGA C.M.")</f>
        <v>OLGA C.M.</v>
      </c>
      <c r="J9" s="33">
        <f>IFERROR(__xludf.DUMMYFUNCTION("IF(H9="""","""",IFERROR(
IF(REGEXMATCH(E9,""VELOCIDAD""),
   IF(H9&gt;=MAX(INDEX(BAREMOS!F:X,MATCH(1,(BAREMOS!A:A=A9)*(BAREMOS!B:B=B9)*(BAREMOS!C:C=C9)*(BAREMOS!D:D=D9),0),0)),1,
      IF(H9&lt;=MIN(INDEX(BAREMOS!F:X,MATCH(1,(BAREMOS!A:A=A9)*(BAREMOS!B:B=B9)*(B"&amp;"AREMOS!C:C=C9)*(BAREMOS!D:D=D9),0),0)),19,
         MATCH(H9,INDEX(BAREMOS!F:X,MATCH(1,(BAREMOS!A:A=A9)*(BAREMOS!B:B=B9)*(BAREMOS!C:C=C9)*(BAREMOS!D:D=D9),0),0),-1)
      )
   ),
   IF(H9&lt;=MIN(INDEX(BAREMOS!F:X,MATCH(1,(BAREMOS!A:A=A9)*(BAREMOS!B:B=B9)*(B"&amp;"AREMOS!C:C=C9)*(BAREMOS!D:D=D9),0),0)),1,
      IF(H9&gt;=MAX(INDEX(BAREMOS!F:X,MATCH(1,(BAREMOS!A:A=A9)*(BAREMOS!B:B=B9)*(BAREMOS!C:C=C9)*(BAREMOS!D:D=D9),0),0)),19,
         MATCH(H9,INDEX(BAREMOS!F:X,MATCH(1,(BAREMOS!A:A=A9)*(BAREMOS!B:B=B9)*(BAREMOS!C:C="&amp;"C9)*(BAREMOS!D:D=D9),0),0),1)
      )
   )
)
,""""))
"),17.0)</f>
        <v>17</v>
      </c>
      <c r="K9" s="34">
        <f t="shared" si="1"/>
        <v>9</v>
      </c>
      <c r="L9" s="16"/>
      <c r="M9" s="16"/>
      <c r="N9" s="16"/>
      <c r="O9" s="16"/>
      <c r="P9" s="16"/>
      <c r="Q9" s="16"/>
      <c r="R9" s="16"/>
      <c r="S9" s="16"/>
      <c r="T9" s="16"/>
      <c r="U9" s="16"/>
      <c r="V9" s="16"/>
      <c r="W9" s="16"/>
      <c r="X9" s="16"/>
      <c r="Y9" s="16"/>
      <c r="Z9" s="16"/>
      <c r="AA9" s="16"/>
      <c r="AB9" s="16"/>
      <c r="AC9" s="16"/>
    </row>
    <row r="10">
      <c r="A10" s="22" t="str">
        <f t="array" ref="A10">IF(E10="","",IFERROR(INDEX(CONFIGURACION!C:C,MATCH(E10,CONFIGURACION!E:E,0)),""))
</f>
        <v>BCH</v>
      </c>
      <c r="B10" s="22">
        <f t="array" ref="B10">IF(E10="","",IFERROR(INDEX(CONFIGURACION!D:D,MATCH(E10,CONFIGURACION!E:E,0)),""))
</f>
        <v>1</v>
      </c>
      <c r="C10" s="31" t="s">
        <v>19</v>
      </c>
      <c r="D10" s="9" t="s">
        <v>21</v>
      </c>
      <c r="E10" s="6" t="s">
        <v>89</v>
      </c>
      <c r="F10" s="24" t="s">
        <v>101</v>
      </c>
      <c r="G10" s="9" t="s">
        <v>20</v>
      </c>
      <c r="H10" s="32">
        <v>29.0</v>
      </c>
      <c r="I10" s="33" t="str">
        <f>IFERROR(__xludf.DUMMYFUNCTION("IF(F10="""","""",LET(
  nombre, TRIM(F10),
  primer, REGEXEXTRACT(nombre, ""^\S+""),
  resto, TRIM(REGEXREPLACE(nombre, ""^\S+\s*"", """")),
  iniciales, IF(
    resto="""",
    """",
    TEXTJOIN("""",1,ARRAYFORMULA(LEFT(SPLIT(resto,"" ""),1) &amp; "".""))
 "&amp;" ),
  UPPER(primer) &amp; "" "" &amp; UPPER(iniciales)
))"),"JOB G.Y.E.")</f>
        <v>JOB G.Y.E.</v>
      </c>
      <c r="J10" s="33">
        <f>IFERROR(__xludf.DUMMYFUNCTION("IF(H10="""","""",IFERROR(
IF(REGEXMATCH(E10,""VELOCIDAD""),
   IF(H10&gt;=MAX(INDEX(BAREMOS!F:X,MATCH(1,(BAREMOS!A:A=A10)*(BAREMOS!B:B=B10)*(BAREMOS!C:C=C10)*(BAREMOS!D:D=D10),0),0)),1,
      IF(H10&lt;=MIN(INDEX(BAREMOS!F:X,MATCH(1,(BAREMOS!A:A=A10)*(BAREMOS!B"&amp;":B=B10)*(BAREMOS!C:C=C10)*(BAREMOS!D:D=D10),0),0)),19,
         MATCH(H10,INDEX(BAREMOS!F:X,MATCH(1,(BAREMOS!A:A=A10)*(BAREMOS!B:B=B10)*(BAREMOS!C:C=C10)*(BAREMOS!D:D=D10),0),0),-1)
      )
   ),
   IF(H10&lt;=MIN(INDEX(BAREMOS!F:X,MATCH(1,(BAREMOS!A:A=A10)*"&amp;"(BAREMOS!B:B=B10)*(BAREMOS!C:C=C10)*(BAREMOS!D:D=D10),0),0)),1,
      IF(H10&gt;=MAX(INDEX(BAREMOS!F:X,MATCH(1,(BAREMOS!A:A=A10)*(BAREMOS!B:B=B10)*(BAREMOS!C:C=C10)*(BAREMOS!D:D=D10),0),0)),19,
         MATCH(H10,INDEX(BAREMOS!F:X,MATCH(1,(BAREMOS!A:A=A10)*("&amp;"BAREMOS!B:B=B10)*(BAREMOS!C:C=C10)*(BAREMOS!D:D=D10),0),0),1)
      )
   )
)
,""""))
"),1.0)</f>
        <v>1</v>
      </c>
      <c r="K10" s="34">
        <f t="shared" si="1"/>
        <v>1</v>
      </c>
      <c r="L10" s="16"/>
      <c r="M10" s="16"/>
      <c r="N10" s="16"/>
      <c r="O10" s="16"/>
      <c r="P10" s="16"/>
      <c r="Q10" s="16"/>
      <c r="R10" s="16"/>
      <c r="S10" s="16"/>
      <c r="T10" s="16"/>
      <c r="U10" s="16"/>
      <c r="V10" s="16"/>
      <c r="W10" s="16"/>
      <c r="X10" s="16"/>
      <c r="Y10" s="16"/>
      <c r="Z10" s="16"/>
      <c r="AA10" s="16"/>
      <c r="AB10" s="16"/>
      <c r="AC10" s="16"/>
    </row>
    <row r="11">
      <c r="A11" s="22" t="str">
        <f t="array" ref="A11">IF(E11="","",IFERROR(INDEX(CONFIGURACION!C:C,MATCH(E11,CONFIGURACION!E:E,0)),""))
</f>
        <v>BCH</v>
      </c>
      <c r="B11" s="22">
        <f t="array" ref="B11">IF(E11="","",IFERROR(INDEX(CONFIGURACION!D:D,MATCH(E11,CONFIGURACION!E:E,0)),""))
</f>
        <v>1</v>
      </c>
      <c r="C11" s="31" t="s">
        <v>31</v>
      </c>
      <c r="D11" s="9" t="s">
        <v>57</v>
      </c>
      <c r="E11" s="6" t="s">
        <v>89</v>
      </c>
      <c r="F11" s="24" t="s">
        <v>102</v>
      </c>
      <c r="G11" s="9" t="s">
        <v>20</v>
      </c>
      <c r="H11" s="32">
        <v>30.0</v>
      </c>
      <c r="I11" s="33" t="str">
        <f>IFERROR(__xludf.DUMMYFUNCTION("IF(F11="""","""",LET(
  nombre, TRIM(F11),
  primer, REGEXEXTRACT(nombre, ""^\S+""),
  resto, TRIM(REGEXREPLACE(nombre, ""^\S+\s*"", """")),
  iniciales, IF(
    resto="""",
    """",
    TEXTJOIN("""",1,ARRAYFORMULA(LEFT(SPLIT(resto,"" ""),1) &amp; "".""))
 "&amp;" ),
  UPPER(primer) &amp; "" "" &amp; UPPER(iniciales)
))"),"GLORIA P.R.M.")</f>
        <v>GLORIA P.R.M.</v>
      </c>
      <c r="J11" s="33">
        <f>IFERROR(__xludf.DUMMYFUNCTION("IF(H11="""","""",IFERROR(
IF(REGEXMATCH(E11,""VELOCIDAD""),
   IF(H11&gt;=MAX(INDEX(BAREMOS!F:X,MATCH(1,(BAREMOS!A:A=A11)*(BAREMOS!B:B=B11)*(BAREMOS!C:C=C11)*(BAREMOS!D:D=D11),0),0)),1,
      IF(H11&lt;=MIN(INDEX(BAREMOS!F:X,MATCH(1,(BAREMOS!A:A=A11)*(BAREMOS!B"&amp;":B=B11)*(BAREMOS!C:C=C11)*(BAREMOS!D:D=D11),0),0)),19,
         MATCH(H11,INDEX(BAREMOS!F:X,MATCH(1,(BAREMOS!A:A=A11)*(BAREMOS!B:B=B11)*(BAREMOS!C:C=C11)*(BAREMOS!D:D=D11),0),0),-1)
      )
   ),
   IF(H11&lt;=MIN(INDEX(BAREMOS!F:X,MATCH(1,(BAREMOS!A:A=A11)*"&amp;"(BAREMOS!B:B=B11)*(BAREMOS!C:C=C11)*(BAREMOS!D:D=D11),0),0)),1,
      IF(H11&gt;=MAX(INDEX(BAREMOS!F:X,MATCH(1,(BAREMOS!A:A=A11)*(BAREMOS!B:B=B11)*(BAREMOS!C:C=C11)*(BAREMOS!D:D=D11),0),0)),19,
         MATCH(H11,INDEX(BAREMOS!F:X,MATCH(1,(BAREMOS!A:A=A11)*("&amp;"BAREMOS!B:B=B11)*(BAREMOS!C:C=C11)*(BAREMOS!D:D=D11),0),0),1)
      )
   )
)
,""""))
"),6.0)</f>
        <v>6</v>
      </c>
      <c r="K11" s="34">
        <f t="shared" si="1"/>
        <v>3.5</v>
      </c>
      <c r="L11" s="16"/>
      <c r="M11" s="16"/>
      <c r="N11" s="16"/>
      <c r="O11" s="16"/>
      <c r="P11" s="16"/>
      <c r="Q11" s="16"/>
      <c r="R11" s="16"/>
      <c r="S11" s="16"/>
      <c r="T11" s="16"/>
      <c r="U11" s="16"/>
      <c r="V11" s="16"/>
      <c r="W11" s="16"/>
      <c r="X11" s="16"/>
      <c r="Y11" s="16"/>
      <c r="Z11" s="16"/>
      <c r="AA11" s="16"/>
      <c r="AB11" s="16"/>
      <c r="AC11" s="16"/>
    </row>
    <row r="12">
      <c r="A12" s="22" t="str">
        <f t="array" ref="A12">IF(E12="","",IFERROR(INDEX(CONFIGURACION!C:C,MATCH(E12,CONFIGURACION!E:E,0)),""))
</f>
        <v>BCH</v>
      </c>
      <c r="B12" s="22">
        <f t="array" ref="B12">IF(E12="","",IFERROR(INDEX(CONFIGURACION!D:D,MATCH(E12,CONFIGURACION!E:E,0)),""))
</f>
        <v>1</v>
      </c>
      <c r="C12" s="31" t="s">
        <v>19</v>
      </c>
      <c r="D12" s="9" t="s">
        <v>21</v>
      </c>
      <c r="E12" s="6" t="s">
        <v>89</v>
      </c>
      <c r="F12" s="24" t="s">
        <v>103</v>
      </c>
      <c r="G12" s="9" t="s">
        <v>20</v>
      </c>
      <c r="H12" s="32">
        <v>162.0</v>
      </c>
      <c r="I12" s="33" t="str">
        <f>IFERROR(__xludf.DUMMYFUNCTION("IF(F12="""","""",LET(
  nombre, TRIM(F12),
  primer, REGEXEXTRACT(nombre, ""^\S+""),
  resto, TRIM(REGEXREPLACE(nombre, ""^\S+\s*"", """")),
  iniciales, IF(
    resto="""",
    """",
    TEXTJOIN("""",1,ARRAYFORMULA(LEFT(SPLIT(resto,"" ""),1) &amp; "".""))
 "&amp;" ),
  UPPER(primer) &amp; "" "" &amp; UPPER(iniciales)
))"),"CARLOS A.B.T.")</f>
        <v>CARLOS A.B.T.</v>
      </c>
      <c r="J12" s="33">
        <f>IFERROR(__xludf.DUMMYFUNCTION("IF(H12="""","""",IFERROR(
IF(REGEXMATCH(E12,""VELOCIDAD""),
   IF(H12&gt;=MAX(INDEX(BAREMOS!F:X,MATCH(1,(BAREMOS!A:A=A12)*(BAREMOS!B:B=B12)*(BAREMOS!C:C=C12)*(BAREMOS!D:D=D12),0),0)),1,
      IF(H12&lt;=MIN(INDEX(BAREMOS!F:X,MATCH(1,(BAREMOS!A:A=A12)*(BAREMOS!B"&amp;":B=B12)*(BAREMOS!C:C=C12)*(BAREMOS!D:D=D12),0),0)),19,
         MATCH(H12,INDEX(BAREMOS!F:X,MATCH(1,(BAREMOS!A:A=A12)*(BAREMOS!B:B=B12)*(BAREMOS!C:C=C12)*(BAREMOS!D:D=D12),0),0),-1)
      )
   ),
   IF(H12&lt;=MIN(INDEX(BAREMOS!F:X,MATCH(1,(BAREMOS!A:A=A12)*"&amp;"(BAREMOS!B:B=B12)*(BAREMOS!C:C=C12)*(BAREMOS!D:D=D12),0),0)),1,
      IF(H12&gt;=MAX(INDEX(BAREMOS!F:X,MATCH(1,(BAREMOS!A:A=A12)*(BAREMOS!B:B=B12)*(BAREMOS!C:C=C12)*(BAREMOS!D:D=D12),0),0)),19,
         MATCH(H12,INDEX(BAREMOS!F:X,MATCH(1,(BAREMOS!A:A=A12)*("&amp;"BAREMOS!B:B=B12)*(BAREMOS!C:C=C12)*(BAREMOS!D:D=D12),0),0),1)
      )
   )
)
,""""))
"),2.0)</f>
        <v>2</v>
      </c>
      <c r="K12" s="34">
        <f t="shared" si="1"/>
        <v>1.5</v>
      </c>
      <c r="L12" s="16"/>
      <c r="M12" s="16"/>
      <c r="N12" s="16"/>
      <c r="O12" s="16"/>
      <c r="P12" s="16"/>
      <c r="Q12" s="16"/>
      <c r="R12" s="16"/>
      <c r="S12" s="16"/>
      <c r="T12" s="16"/>
      <c r="U12" s="16"/>
      <c r="V12" s="16"/>
      <c r="W12" s="16"/>
      <c r="X12" s="16"/>
      <c r="Y12" s="16"/>
      <c r="Z12" s="16"/>
      <c r="AA12" s="16"/>
      <c r="AB12" s="16"/>
      <c r="AC12" s="16"/>
    </row>
    <row r="13">
      <c r="A13" s="22" t="str">
        <f t="array" ref="A13">IF(E13="","",IFERROR(INDEX(CONFIGURACION!C:C,MATCH(E13,CONFIGURACION!E:E,0)),""))
</f>
        <v>BCH</v>
      </c>
      <c r="B13" s="22">
        <f t="array" ref="B13">IF(E13="","",IFERROR(INDEX(CONFIGURACION!D:D,MATCH(E13,CONFIGURACION!E:E,0)),""))
</f>
        <v>1</v>
      </c>
      <c r="C13" s="31" t="s">
        <v>19</v>
      </c>
      <c r="D13" s="9" t="s">
        <v>41</v>
      </c>
      <c r="E13" s="6" t="s">
        <v>89</v>
      </c>
      <c r="F13" s="24" t="s">
        <v>104</v>
      </c>
      <c r="G13" s="9" t="s">
        <v>20</v>
      </c>
      <c r="H13" s="32">
        <v>19.0</v>
      </c>
      <c r="I13" s="33" t="str">
        <f>IFERROR(__xludf.DUMMYFUNCTION("IF(F13="""","""",LET(
  nombre, TRIM(F13),
  primer, REGEXEXTRACT(nombre, ""^\S+""),
  resto, TRIM(REGEXREPLACE(nombre, ""^\S+\s*"", """")),
  iniciales, IF(
    resto="""",
    """",
    TEXTJOIN("""",1,ARRAYFORMULA(LEFT(SPLIT(resto,"" ""),1) &amp; "".""))
 "&amp;" ),
  UPPER(primer) &amp; "" "" &amp; UPPER(iniciales)
))"),"DANIEL E.D.T.")</f>
        <v>DANIEL E.D.T.</v>
      </c>
      <c r="J13" s="33">
        <f>IFERROR(__xludf.DUMMYFUNCTION("IF(H13="""","""",IFERROR(
IF(REGEXMATCH(E13,""VELOCIDAD""),
   IF(H13&gt;=MAX(INDEX(BAREMOS!F:X,MATCH(1,(BAREMOS!A:A=A13)*(BAREMOS!B:B=B13)*(BAREMOS!C:C=C13)*(BAREMOS!D:D=D13),0),0)),1,
      IF(H13&lt;=MIN(INDEX(BAREMOS!F:X,MATCH(1,(BAREMOS!A:A=A13)*(BAREMOS!B"&amp;":B=B13)*(BAREMOS!C:C=C13)*(BAREMOS!D:D=D13),0),0)),19,
         MATCH(H13,INDEX(BAREMOS!F:X,MATCH(1,(BAREMOS!A:A=A13)*(BAREMOS!B:B=B13)*(BAREMOS!C:C=C13)*(BAREMOS!D:D=D13),0),0),-1)
      )
   ),
   IF(H13&lt;=MIN(INDEX(BAREMOS!F:X,MATCH(1,(BAREMOS!A:A=A13)*"&amp;"(BAREMOS!B:B=B13)*(BAREMOS!C:C=C13)*(BAREMOS!D:D=D13),0),0)),1,
      IF(H13&gt;=MAX(INDEX(BAREMOS!F:X,MATCH(1,(BAREMOS!A:A=A13)*(BAREMOS!B:B=B13)*(BAREMOS!C:C=C13)*(BAREMOS!D:D=D13),0),0)),19,
         MATCH(H13,INDEX(BAREMOS!F:X,MATCH(1,(BAREMOS!A:A=A13)*("&amp;"BAREMOS!B:B=B13)*(BAREMOS!C:C=C13)*(BAREMOS!D:D=D13),0),0),1)
      )
   )
)
,""""))
"),5.0)</f>
        <v>5</v>
      </c>
      <c r="K13" s="34">
        <f t="shared" si="1"/>
        <v>3</v>
      </c>
      <c r="L13" s="16"/>
      <c r="M13" s="16"/>
      <c r="N13" s="16"/>
      <c r="O13" s="16"/>
      <c r="P13" s="16"/>
      <c r="Q13" s="16"/>
      <c r="R13" s="16"/>
      <c r="S13" s="16"/>
      <c r="T13" s="16"/>
      <c r="U13" s="16"/>
      <c r="V13" s="16"/>
      <c r="W13" s="16"/>
      <c r="X13" s="16"/>
      <c r="Y13" s="16"/>
      <c r="Z13" s="16"/>
      <c r="AA13" s="16"/>
      <c r="AB13" s="16"/>
      <c r="AC13" s="16"/>
    </row>
    <row r="14">
      <c r="A14" s="22" t="str">
        <f t="array" ref="A14">IF(E14="","",IFERROR(INDEX(CONFIGURACION!C:C,MATCH(E14,CONFIGURACION!E:E,0)),""))
</f>
        <v>BCH</v>
      </c>
      <c r="B14" s="22">
        <f t="array" ref="B14">IF(E14="","",IFERROR(INDEX(CONFIGURACION!D:D,MATCH(E14,CONFIGURACION!E:E,0)),""))
</f>
        <v>1</v>
      </c>
      <c r="C14" s="31" t="s">
        <v>19</v>
      </c>
      <c r="D14" s="9" t="s">
        <v>33</v>
      </c>
      <c r="E14" s="6" t="s">
        <v>89</v>
      </c>
      <c r="F14" s="24" t="s">
        <v>105</v>
      </c>
      <c r="G14" s="9" t="s">
        <v>20</v>
      </c>
      <c r="H14" s="32">
        <v>5.0</v>
      </c>
      <c r="I14" s="33" t="str">
        <f>IFERROR(__xludf.DUMMYFUNCTION("IF(F14="""","""",LET(
  nombre, TRIM(F14),
  primer, REGEXEXTRACT(nombre, ""^\S+""),
  resto, TRIM(REGEXREPLACE(nombre, ""^\S+\s*"", """")),
  iniciales, IF(
    resto="""",
    """",
    TEXTJOIN("""",1,ARRAYFORMULA(LEFT(SPLIT(resto,"" ""),1) &amp; "".""))
 "&amp;" ),
  UPPER(primer) &amp; "" "" &amp; UPPER(iniciales)
))"),"JUDITH C.G.")</f>
        <v>JUDITH C.G.</v>
      </c>
      <c r="J14" s="33">
        <f>IFERROR(__xludf.DUMMYFUNCTION("IF(H14="""","""",IFERROR(
IF(REGEXMATCH(E14,""VELOCIDAD""),
   IF(H14&gt;=MAX(INDEX(BAREMOS!F:X,MATCH(1,(BAREMOS!A:A=A14)*(BAREMOS!B:B=B14)*(BAREMOS!C:C=C14)*(BAREMOS!D:D=D14),0),0)),1,
      IF(H14&lt;=MIN(INDEX(BAREMOS!F:X,MATCH(1,(BAREMOS!A:A=A14)*(BAREMOS!B"&amp;":B=B14)*(BAREMOS!C:C=C14)*(BAREMOS!D:D=D14),0),0)),19,
         MATCH(H14,INDEX(BAREMOS!F:X,MATCH(1,(BAREMOS!A:A=A14)*(BAREMOS!B:B=B14)*(BAREMOS!C:C=C14)*(BAREMOS!D:D=D14),0),0),-1)
      )
   ),
   IF(H14&lt;=MIN(INDEX(BAREMOS!F:X,MATCH(1,(BAREMOS!A:A=A14)*"&amp;"(BAREMOS!B:B=B14)*(BAREMOS!C:C=C14)*(BAREMOS!D:D=D14),0),0)),1,
      IF(H14&gt;=MAX(INDEX(BAREMOS!F:X,MATCH(1,(BAREMOS!A:A=A14)*(BAREMOS!B:B=B14)*(BAREMOS!C:C=C14)*(BAREMOS!D:D=D14),0),0)),19,
         MATCH(H14,INDEX(BAREMOS!F:X,MATCH(1,(BAREMOS!A:A=A14)*("&amp;"BAREMOS!B:B=B14)*(BAREMOS!C:C=C14)*(BAREMOS!D:D=D14),0),0),1)
      )
   )
)
,""""))
"),2.0)</f>
        <v>2</v>
      </c>
      <c r="K14" s="34">
        <f t="shared" si="1"/>
        <v>1.5</v>
      </c>
      <c r="L14" s="16"/>
      <c r="M14" s="16"/>
      <c r="N14" s="16"/>
      <c r="O14" s="16"/>
      <c r="P14" s="16"/>
      <c r="Q14" s="16"/>
      <c r="R14" s="16"/>
      <c r="S14" s="16"/>
      <c r="T14" s="16"/>
      <c r="U14" s="16"/>
      <c r="V14" s="16"/>
      <c r="W14" s="16"/>
      <c r="X14" s="16"/>
      <c r="Y14" s="16"/>
      <c r="Z14" s="16"/>
      <c r="AA14" s="16"/>
      <c r="AB14" s="16"/>
      <c r="AC14" s="16"/>
    </row>
    <row r="15">
      <c r="A15" s="22" t="str">
        <f t="array" ref="A15">IF(E15="","",IFERROR(INDEX(CONFIGURACION!C:C,MATCH(E15,CONFIGURACION!E:E,0)),""))
</f>
        <v>BCH</v>
      </c>
      <c r="B15" s="22">
        <f t="array" ref="B15">IF(E15="","",IFERROR(INDEX(CONFIGURACION!D:D,MATCH(E15,CONFIGURACION!E:E,0)),""))
</f>
        <v>1</v>
      </c>
      <c r="C15" s="31" t="s">
        <v>19</v>
      </c>
      <c r="D15" s="9" t="s">
        <v>71</v>
      </c>
      <c r="E15" s="6" t="s">
        <v>89</v>
      </c>
      <c r="F15" s="24" t="s">
        <v>106</v>
      </c>
      <c r="G15" s="9" t="s">
        <v>20</v>
      </c>
      <c r="H15" s="36">
        <v>46061.0</v>
      </c>
      <c r="I15" s="33" t="str">
        <f>IFERROR(__xludf.DUMMYFUNCTION("IF(F15="""","""",LET(
  nombre, TRIM(F15),
  primer, REGEXEXTRACT(nombre, ""^\S+""),
  resto, TRIM(REGEXREPLACE(nombre, ""^\S+\s*"", """")),
  iniciales, IF(
    resto="""",
    """",
    TEXTJOIN("""",1,ARRAYFORMULA(LEFT(SPLIT(resto,"" ""),1) &amp; "".""))
 "&amp;" ),
  UPPER(primer) &amp; "" "" &amp; UPPER(iniciales)
))"),"LUIS L.B.")</f>
        <v>LUIS L.B.</v>
      </c>
      <c r="J15" s="33">
        <f>IFERROR(__xludf.DUMMYFUNCTION("IF(H15="""","""",IFERROR(
IF(REGEXMATCH(E15,""VELOCIDAD""),
   IF(H15&gt;=MAX(INDEX(BAREMOS!F:X,MATCH(1,(BAREMOS!A:A=A15)*(BAREMOS!B:B=B15)*(BAREMOS!C:C=C15)*(BAREMOS!D:D=D15),0),0)),1,
      IF(H15&lt;=MIN(INDEX(BAREMOS!F:X,MATCH(1,(BAREMOS!A:A=A15)*(BAREMOS!B"&amp;":B=B15)*(BAREMOS!C:C=C15)*(BAREMOS!D:D=D15),0),0)),19,
         MATCH(H15,INDEX(BAREMOS!F:X,MATCH(1,(BAREMOS!A:A=A15)*(BAREMOS!B:B=B15)*(BAREMOS!C:C=C15)*(BAREMOS!D:D=D15),0),0),-1)
      )
   ),
   IF(H15&lt;=MIN(INDEX(BAREMOS!F:X,MATCH(1,(BAREMOS!A:A=A15)*"&amp;"(BAREMOS!B:B=B15)*(BAREMOS!C:C=C15)*(BAREMOS!D:D=D15),0),0)),1,
      IF(H15&gt;=MAX(INDEX(BAREMOS!F:X,MATCH(1,(BAREMOS!A:A=A15)*(BAREMOS!B:B=B15)*(BAREMOS!C:C=C15)*(BAREMOS!D:D=D15),0),0)),19,
         MATCH(H15,INDEX(BAREMOS!F:X,MATCH(1,(BAREMOS!A:A=A15)*("&amp;"BAREMOS!B:B=B15)*(BAREMOS!C:C=C15)*(BAREMOS!D:D=D15),0),0),1)
      )
   )
)
,""""))
"),6.0)</f>
        <v>6</v>
      </c>
      <c r="K15" s="34">
        <f t="shared" si="1"/>
        <v>3.5</v>
      </c>
      <c r="L15" s="16"/>
      <c r="M15" s="16"/>
      <c r="N15" s="16"/>
      <c r="O15" s="16"/>
      <c r="P15" s="16"/>
      <c r="Q15" s="16"/>
      <c r="R15" s="16"/>
      <c r="S15" s="16"/>
      <c r="T15" s="16"/>
      <c r="U15" s="16"/>
      <c r="V15" s="16"/>
      <c r="W15" s="16"/>
      <c r="X15" s="16"/>
      <c r="Y15" s="16"/>
      <c r="Z15" s="16"/>
      <c r="AA15" s="16"/>
      <c r="AB15" s="16"/>
      <c r="AC15" s="16"/>
    </row>
    <row r="16">
      <c r="A16" s="22" t="str">
        <f t="array" ref="A16">IF(E16="","",IFERROR(INDEX(CONFIGURACION!C:C,MATCH(E16,CONFIGURACION!E:E,0)),""))
</f>
        <v>BCH</v>
      </c>
      <c r="B16" s="22">
        <f t="array" ref="B16">IF(E16="","",IFERROR(INDEX(CONFIGURACION!D:D,MATCH(E16,CONFIGURACION!E:E,0)),""))
</f>
        <v>1</v>
      </c>
      <c r="C16" s="31" t="s">
        <v>19</v>
      </c>
      <c r="D16" s="9" t="s">
        <v>63</v>
      </c>
      <c r="E16" s="6" t="s">
        <v>89</v>
      </c>
      <c r="F16" s="24" t="s">
        <v>107</v>
      </c>
      <c r="G16" s="9" t="s">
        <v>20</v>
      </c>
      <c r="H16" s="32">
        <v>2222.0</v>
      </c>
      <c r="I16" s="33" t="str">
        <f>IFERROR(__xludf.DUMMYFUNCTION("IF(F16="""","""",LET(
  nombre, TRIM(F16),
  primer, REGEXEXTRACT(nombre, ""^\S+""),
  resto, TRIM(REGEXREPLACE(nombre, ""^\S+\s*"", """")),
  iniciales, IF(
    resto="""",
    """",
    TEXTJOIN("""",1,ARRAYFORMULA(LEFT(SPLIT(resto,"" ""),1) &amp; "".""))
 "&amp;" ),
  UPPER(primer) &amp; "" "" &amp; UPPER(iniciales)
))"),"LUZ M.M.C.")</f>
        <v>LUZ M.M.C.</v>
      </c>
      <c r="J16" s="33">
        <f>IFERROR(__xludf.DUMMYFUNCTION("IF(H16="""","""",IFERROR(
IF(REGEXMATCH(E16,""VELOCIDAD""),
   IF(H16&gt;=MAX(INDEX(BAREMOS!F:X,MATCH(1,(BAREMOS!A:A=A16)*(BAREMOS!B:B=B16)*(BAREMOS!C:C=C16)*(BAREMOS!D:D=D16),0),0)),1,
      IF(H16&lt;=MIN(INDEX(BAREMOS!F:X,MATCH(1,(BAREMOS!A:A=A16)*(BAREMOS!B"&amp;":B=B16)*(BAREMOS!C:C=C16)*(BAREMOS!D:D=D16),0),0)),19,
         MATCH(H16,INDEX(BAREMOS!F:X,MATCH(1,(BAREMOS!A:A=A16)*(BAREMOS!B:B=B16)*(BAREMOS!C:C=C16)*(BAREMOS!D:D=D16),0),0),-1)
      )
   ),
   IF(H16&lt;=MIN(INDEX(BAREMOS!F:X,MATCH(1,(BAREMOS!A:A=A16)*"&amp;"(BAREMOS!B:B=B16)*(BAREMOS!C:C=C16)*(BAREMOS!D:D=D16),0),0)),1,
      IF(H16&gt;=MAX(INDEX(BAREMOS!F:X,MATCH(1,(BAREMOS!A:A=A16)*(BAREMOS!B:B=B16)*(BAREMOS!C:C=C16)*(BAREMOS!D:D=D16),0),0)),19,
         MATCH(H16,INDEX(BAREMOS!F:X,MATCH(1,(BAREMOS!A:A=A16)*("&amp;"BAREMOS!B:B=B16)*(BAREMOS!C:C=C16)*(BAREMOS!D:D=D16),0),0),1)
      )
   )
)
,""""))
"),3.0)</f>
        <v>3</v>
      </c>
      <c r="K16" s="34">
        <f t="shared" si="1"/>
        <v>2</v>
      </c>
      <c r="L16" s="16"/>
      <c r="M16" s="16"/>
      <c r="N16" s="16"/>
      <c r="O16" s="16"/>
      <c r="P16" s="16"/>
      <c r="Q16" s="16"/>
      <c r="R16" s="16"/>
      <c r="S16" s="16"/>
      <c r="T16" s="16"/>
      <c r="U16" s="16"/>
      <c r="V16" s="16"/>
      <c r="W16" s="16"/>
      <c r="X16" s="16"/>
      <c r="Y16" s="16"/>
      <c r="Z16" s="16"/>
      <c r="AA16" s="16"/>
      <c r="AB16" s="16"/>
      <c r="AC16" s="16"/>
    </row>
    <row r="17">
      <c r="A17" s="22" t="str">
        <f t="array" ref="A17">IF(E17="","",IFERROR(INDEX(CONFIGURACION!C:C,MATCH(E17,CONFIGURACION!E:E,0)),""))
</f>
        <v>BCH</v>
      </c>
      <c r="B17" s="22">
        <f t="array" ref="B17">IF(E17="","",IFERROR(INDEX(CONFIGURACION!D:D,MATCH(E17,CONFIGURACION!E:E,0)),""))
</f>
        <v>1</v>
      </c>
      <c r="C17" s="31" t="s">
        <v>19</v>
      </c>
      <c r="D17" s="9" t="s">
        <v>21</v>
      </c>
      <c r="E17" s="6" t="s">
        <v>89</v>
      </c>
      <c r="F17" s="24" t="s">
        <v>108</v>
      </c>
      <c r="G17" s="9" t="s">
        <v>20</v>
      </c>
      <c r="H17" s="32">
        <v>31.0</v>
      </c>
      <c r="I17" s="33" t="str">
        <f>IFERROR(__xludf.DUMMYFUNCTION("IF(F17="""","""",LET(
  nombre, TRIM(F17),
  primer, REGEXEXTRACT(nombre, ""^\S+""),
  resto, TRIM(REGEXREPLACE(nombre, ""^\S+\s*"", """")),
  iniciales, IF(
    resto="""",
    """",
    TEXTJOIN("""",1,ARRAYFORMULA(LEFT(SPLIT(resto,"" ""),1) &amp; "".""))
 "&amp;" ),
  UPPER(primer) &amp; "" "" &amp; UPPER(iniciales)
))"),"LUIS E.S.R.")</f>
        <v>LUIS E.S.R.</v>
      </c>
      <c r="J17" s="33">
        <f>IFERROR(__xludf.DUMMYFUNCTION("IF(H17="""","""",IFERROR(
IF(REGEXMATCH(E17,""VELOCIDAD""),
   IF(H17&gt;=MAX(INDEX(BAREMOS!F:X,MATCH(1,(BAREMOS!A:A=A17)*(BAREMOS!B:B=B17)*(BAREMOS!C:C=C17)*(BAREMOS!D:D=D17),0),0)),1,
      IF(H17&lt;=MIN(INDEX(BAREMOS!F:X,MATCH(1,(BAREMOS!A:A=A17)*(BAREMOS!B"&amp;":B=B17)*(BAREMOS!C:C=C17)*(BAREMOS!D:D=D17),0),0)),19,
         MATCH(H17,INDEX(BAREMOS!F:X,MATCH(1,(BAREMOS!A:A=A17)*(BAREMOS!B:B=B17)*(BAREMOS!C:C=C17)*(BAREMOS!D:D=D17),0),0),-1)
      )
   ),
   IF(H17&lt;=MIN(INDEX(BAREMOS!F:X,MATCH(1,(BAREMOS!A:A=A17)*"&amp;"(BAREMOS!B:B=B17)*(BAREMOS!C:C=C17)*(BAREMOS!D:D=D17),0),0)),1,
      IF(H17&gt;=MAX(INDEX(BAREMOS!F:X,MATCH(1,(BAREMOS!A:A=A17)*(BAREMOS!B:B=B17)*(BAREMOS!C:C=C17)*(BAREMOS!D:D=D17),0),0)),19,
         MATCH(H17,INDEX(BAREMOS!F:X,MATCH(1,(BAREMOS!A:A=A17)*("&amp;"BAREMOS!B:B=B17)*(BAREMOS!C:C=C17)*(BAREMOS!D:D=D17),0),0),1)
      )
   )
)
,""""))
"),1.0)</f>
        <v>1</v>
      </c>
      <c r="K17" s="34">
        <f t="shared" si="1"/>
        <v>1</v>
      </c>
      <c r="L17" s="16"/>
      <c r="M17" s="16"/>
      <c r="N17" s="16"/>
      <c r="O17" s="16"/>
      <c r="P17" s="16"/>
      <c r="Q17" s="16"/>
      <c r="R17" s="16"/>
      <c r="S17" s="16"/>
      <c r="T17" s="16"/>
      <c r="U17" s="16"/>
      <c r="V17" s="16"/>
      <c r="W17" s="16"/>
      <c r="X17" s="16"/>
      <c r="Y17" s="16"/>
      <c r="Z17" s="16"/>
      <c r="AA17" s="16"/>
      <c r="AB17" s="16"/>
      <c r="AC17" s="16"/>
    </row>
    <row r="18">
      <c r="A18" s="22" t="str">
        <f t="array" ref="A18">IF(E18="","",IFERROR(INDEX(CONFIGURACION!C:C,MATCH(E18,CONFIGURACION!E:E,0)),""))
</f>
        <v>BCH</v>
      </c>
      <c r="B18" s="22">
        <f t="array" ref="B18">IF(E18="","",IFERROR(INDEX(CONFIGURACION!D:D,MATCH(E18,CONFIGURACION!E:E,0)),""))
</f>
        <v>1</v>
      </c>
      <c r="C18" s="31" t="s">
        <v>31</v>
      </c>
      <c r="D18" s="9" t="s">
        <v>57</v>
      </c>
      <c r="E18" s="6" t="s">
        <v>89</v>
      </c>
      <c r="F18" s="24" t="s">
        <v>109</v>
      </c>
      <c r="G18" s="9" t="s">
        <v>20</v>
      </c>
      <c r="H18" s="32">
        <v>38.0</v>
      </c>
      <c r="I18" s="33" t="str">
        <f>IFERROR(__xludf.DUMMYFUNCTION("IF(F18="""","""",LET(
  nombre, TRIM(F18),
  primer, REGEXEXTRACT(nombre, ""^\S+""),
  resto, TRIM(REGEXREPLACE(nombre, ""^\S+\s*"", """")),
  iniciales, IF(
    resto="""",
    """",
    TEXTJOIN("""",1,ARRAYFORMULA(LEFT(SPLIT(resto,"" ""),1) &amp; "".""))
 "&amp;" ),
  UPPER(primer) &amp; "" "" &amp; UPPER(iniciales)
))"),"GLADYS M.O.A.")</f>
        <v>GLADYS M.O.A.</v>
      </c>
      <c r="J18" s="33">
        <f>IFERROR(__xludf.DUMMYFUNCTION("IF(H18="""","""",IFERROR(
IF(REGEXMATCH(E18,""VELOCIDAD""),
   IF(H18&gt;=MAX(INDEX(BAREMOS!F:X,MATCH(1,(BAREMOS!A:A=A18)*(BAREMOS!B:B=B18)*(BAREMOS!C:C=C18)*(BAREMOS!D:D=D18),0),0)),1,
      IF(H18&lt;=MIN(INDEX(BAREMOS!F:X,MATCH(1,(BAREMOS!A:A=A18)*(BAREMOS!B"&amp;":B=B18)*(BAREMOS!C:C=C18)*(BAREMOS!D:D=D18),0),0)),19,
         MATCH(H18,INDEX(BAREMOS!F:X,MATCH(1,(BAREMOS!A:A=A18)*(BAREMOS!B:B=B18)*(BAREMOS!C:C=C18)*(BAREMOS!D:D=D18),0),0),-1)
      )
   ),
   IF(H18&lt;=MIN(INDEX(BAREMOS!F:X,MATCH(1,(BAREMOS!A:A=A18)*"&amp;"(BAREMOS!B:B=B18)*(BAREMOS!C:C=C18)*(BAREMOS!D:D=D18),0),0)),1,
      IF(H18&gt;=MAX(INDEX(BAREMOS!F:X,MATCH(1,(BAREMOS!A:A=A18)*(BAREMOS!B:B=B18)*(BAREMOS!C:C=C18)*(BAREMOS!D:D=D18),0),0)),19,
         MATCH(H18,INDEX(BAREMOS!F:X,MATCH(1,(BAREMOS!A:A=A18)*("&amp;"BAREMOS!B:B=B18)*(BAREMOS!C:C=C18)*(BAREMOS!D:D=D18),0),0),1)
      )
   )
)
,""""))
"),11.0)</f>
        <v>11</v>
      </c>
      <c r="K18" s="34">
        <f t="shared" si="1"/>
        <v>6</v>
      </c>
      <c r="L18" s="16"/>
      <c r="M18" s="16"/>
      <c r="N18" s="16"/>
      <c r="O18" s="16"/>
      <c r="P18" s="16"/>
      <c r="Q18" s="16"/>
      <c r="R18" s="16"/>
      <c r="S18" s="16"/>
      <c r="T18" s="16"/>
      <c r="U18" s="16"/>
      <c r="V18" s="16"/>
      <c r="W18" s="16"/>
      <c r="X18" s="16"/>
      <c r="Y18" s="16"/>
      <c r="Z18" s="16"/>
      <c r="AA18" s="16"/>
      <c r="AB18" s="16"/>
      <c r="AC18" s="16"/>
    </row>
    <row r="19">
      <c r="A19" s="22" t="str">
        <f t="array" ref="A19">IF(E19="","",IFERROR(INDEX(CONFIGURACION!C:C,MATCH(E19,CONFIGURACION!E:E,0)),""))
</f>
        <v>BCH</v>
      </c>
      <c r="B19" s="22">
        <f t="array" ref="B19">IF(E19="","",IFERROR(INDEX(CONFIGURACION!D:D,MATCH(E19,CONFIGURACION!E:E,0)),""))
</f>
        <v>1</v>
      </c>
      <c r="C19" s="31" t="s">
        <v>31</v>
      </c>
      <c r="D19" s="9" t="s">
        <v>21</v>
      </c>
      <c r="E19" s="6" t="s">
        <v>89</v>
      </c>
      <c r="F19" s="24" t="s">
        <v>110</v>
      </c>
      <c r="G19" s="9" t="s">
        <v>20</v>
      </c>
      <c r="H19" s="32">
        <v>190.0</v>
      </c>
      <c r="I19" s="33" t="str">
        <f>IFERROR(__xludf.DUMMYFUNCTION("IF(F19="""","""",LET(
  nombre, TRIM(F19),
  primer, REGEXEXTRACT(nombre, ""^\S+""),
  resto, TRIM(REGEXREPLACE(nombre, ""^\S+\s*"", """")),
  iniciales, IF(
    resto="""",
    """",
    TEXTJOIN("""",1,ARRAYFORMULA(LEFT(SPLIT(resto,"" ""),1) &amp; "".""))
 "&amp;" ),
  UPPER(primer) &amp; "" "" &amp; UPPER(iniciales)
))"),"MARIA J.F.P.")</f>
        <v>MARIA J.F.P.</v>
      </c>
      <c r="J19" s="33">
        <f>IFERROR(__xludf.DUMMYFUNCTION("IF(H19="""","""",IFERROR(
IF(REGEXMATCH(E19,""VELOCIDAD""),
   IF(H19&gt;=MAX(INDEX(BAREMOS!F:X,MATCH(1,(BAREMOS!A:A=A19)*(BAREMOS!B:B=B19)*(BAREMOS!C:C=C19)*(BAREMOS!D:D=D19),0),0)),1,
      IF(H19&lt;=MIN(INDEX(BAREMOS!F:X,MATCH(1,(BAREMOS!A:A=A19)*(BAREMOS!B"&amp;":B=B19)*(BAREMOS!C:C=C19)*(BAREMOS!D:D=D19),0),0)),19,
         MATCH(H19,INDEX(BAREMOS!F:X,MATCH(1,(BAREMOS!A:A=A19)*(BAREMOS!B:B=B19)*(BAREMOS!C:C=C19)*(BAREMOS!D:D=D19),0),0),-1)
      )
   ),
   IF(H19&lt;=MIN(INDEX(BAREMOS!F:X,MATCH(1,(BAREMOS!A:A=A19)*"&amp;"(BAREMOS!B:B=B19)*(BAREMOS!C:C=C19)*(BAREMOS!D:D=D19),0),0)),1,
      IF(H19&gt;=MAX(INDEX(BAREMOS!F:X,MATCH(1,(BAREMOS!A:A=A19)*(BAREMOS!B:B=B19)*(BAREMOS!C:C=C19)*(BAREMOS!D:D=D19),0),0)),19,
         MATCH(H19,INDEX(BAREMOS!F:X,MATCH(1,(BAREMOS!A:A=A19)*("&amp;"BAREMOS!B:B=B19)*(BAREMOS!C:C=C19)*(BAREMOS!D:D=D19),0),0),1)
      )
   )
)
,""""))
"),18.0)</f>
        <v>18</v>
      </c>
      <c r="K19" s="34">
        <f t="shared" si="1"/>
        <v>9.5</v>
      </c>
      <c r="L19" s="16"/>
      <c r="M19" s="16"/>
      <c r="N19" s="16"/>
      <c r="O19" s="16"/>
      <c r="P19" s="16"/>
      <c r="Q19" s="16"/>
      <c r="R19" s="16"/>
      <c r="S19" s="16"/>
      <c r="T19" s="16"/>
      <c r="U19" s="16"/>
      <c r="V19" s="16"/>
      <c r="W19" s="16"/>
      <c r="X19" s="16"/>
      <c r="Y19" s="16"/>
      <c r="Z19" s="16"/>
      <c r="AA19" s="16"/>
      <c r="AB19" s="16"/>
      <c r="AC19" s="16"/>
    </row>
    <row r="20">
      <c r="A20" s="22" t="str">
        <f t="array" ref="A20">IF(E20="","",IFERROR(INDEX(CONFIGURACION!C:C,MATCH(E20,CONFIGURACION!E:E,0)),""))
</f>
        <v>BCH</v>
      </c>
      <c r="B20" s="22">
        <f t="array" ref="B20">IF(E20="","",IFERROR(INDEX(CONFIGURACION!D:D,MATCH(E20,CONFIGURACION!E:E,0)),""))
</f>
        <v>1</v>
      </c>
      <c r="C20" s="31" t="s">
        <v>31</v>
      </c>
      <c r="D20" s="9" t="s">
        <v>41</v>
      </c>
      <c r="E20" s="6" t="s">
        <v>89</v>
      </c>
      <c r="F20" s="24" t="s">
        <v>111</v>
      </c>
      <c r="G20" s="9" t="s">
        <v>20</v>
      </c>
      <c r="H20" s="32">
        <v>23.0</v>
      </c>
      <c r="I20" s="33" t="str">
        <f>IFERROR(__xludf.DUMMYFUNCTION("IF(F20="""","""",LET(
  nombre, TRIM(F20),
  primer, REGEXEXTRACT(nombre, ""^\S+""),
  resto, TRIM(REGEXREPLACE(nombre, ""^\S+\s*"", """")),
  iniciales, IF(
    resto="""",
    """",
    TEXTJOIN("""",1,ARRAYFORMULA(LEFT(SPLIT(resto,"" ""),1) &amp; "".""))
 "&amp;" ),
  UPPER(primer) &amp; "" "" &amp; UPPER(iniciales)
))"),"SARA E.S.")</f>
        <v>SARA E.S.</v>
      </c>
      <c r="J20" s="33">
        <f>IFERROR(__xludf.DUMMYFUNCTION("IF(H20="""","""",IFERROR(
IF(REGEXMATCH(E20,""VELOCIDAD""),
   IF(H20&gt;=MAX(INDEX(BAREMOS!F:X,MATCH(1,(BAREMOS!A:A=A20)*(BAREMOS!B:B=B20)*(BAREMOS!C:C=C20)*(BAREMOS!D:D=D20),0),0)),1,
      IF(H20&lt;=MIN(INDEX(BAREMOS!F:X,MATCH(1,(BAREMOS!A:A=A20)*(BAREMOS!B"&amp;":B=B20)*(BAREMOS!C:C=C20)*(BAREMOS!D:D=D20),0),0)),19,
         MATCH(H20,INDEX(BAREMOS!F:X,MATCH(1,(BAREMOS!A:A=A20)*(BAREMOS!B:B=B20)*(BAREMOS!C:C=C20)*(BAREMOS!D:D=D20),0),0),-1)
      )
   ),
   IF(H20&lt;=MIN(INDEX(BAREMOS!F:X,MATCH(1,(BAREMOS!A:A=A20)*"&amp;"(BAREMOS!B:B=B20)*(BAREMOS!C:C=C20)*(BAREMOS!D:D=D20),0),0)),1,
      IF(H20&gt;=MAX(INDEX(BAREMOS!F:X,MATCH(1,(BAREMOS!A:A=A20)*(BAREMOS!B:B=B20)*(BAREMOS!C:C=C20)*(BAREMOS!D:D=D20),0),0)),19,
         MATCH(H20,INDEX(BAREMOS!F:X,MATCH(1,(BAREMOS!A:A=A20)*("&amp;"BAREMOS!B:B=B20)*(BAREMOS!C:C=C20)*(BAREMOS!D:D=D20),0),0),1)
      )
   )
)
,""""))
"),12.0)</f>
        <v>12</v>
      </c>
      <c r="K20" s="34">
        <f t="shared" si="1"/>
        <v>6.5</v>
      </c>
      <c r="L20" s="16"/>
      <c r="M20" s="16"/>
      <c r="N20" s="16"/>
      <c r="O20" s="16"/>
      <c r="P20" s="16"/>
      <c r="Q20" s="16"/>
      <c r="R20" s="16"/>
      <c r="S20" s="16"/>
      <c r="T20" s="16"/>
      <c r="U20" s="16"/>
      <c r="V20" s="16"/>
      <c r="W20" s="16"/>
      <c r="X20" s="16"/>
      <c r="Y20" s="16"/>
      <c r="Z20" s="16"/>
      <c r="AA20" s="16"/>
      <c r="AB20" s="16"/>
      <c r="AC20" s="16"/>
    </row>
    <row r="21">
      <c r="A21" s="22" t="str">
        <f t="array" ref="A21">IF(E21="","",IFERROR(INDEX(CONFIGURACION!C:C,MATCH(E21,CONFIGURACION!E:E,0)),""))
</f>
        <v>BCH</v>
      </c>
      <c r="B21" s="22">
        <f t="array" ref="B21">IF(E21="","",IFERROR(INDEX(CONFIGURACION!D:D,MATCH(E21,CONFIGURACION!E:E,0)),""))
</f>
        <v>1</v>
      </c>
      <c r="C21" s="31" t="s">
        <v>19</v>
      </c>
      <c r="D21" s="9" t="s">
        <v>33</v>
      </c>
      <c r="E21" s="6" t="s">
        <v>89</v>
      </c>
      <c r="F21" s="24" t="s">
        <v>112</v>
      </c>
      <c r="G21" s="9" t="s">
        <v>20</v>
      </c>
      <c r="H21" s="36">
        <v>46087.0</v>
      </c>
      <c r="I21" s="33" t="str">
        <f>IFERROR(__xludf.DUMMYFUNCTION("IF(F21="""","""",LET(
  nombre, TRIM(F21),
  primer, REGEXEXTRACT(nombre, ""^\S+""),
  resto, TRIM(REGEXREPLACE(nombre, ""^\S+\s*"", """")),
  iniciales, IF(
    resto="""",
    """",
    TEXTJOIN("""",1,ARRAYFORMULA(LEFT(SPLIT(resto,"" ""),1) &amp; "".""))
 "&amp;" ),
  UPPER(primer) &amp; "" "" &amp; UPPER(iniciales)
))"),"MANUEL Z.G.")</f>
        <v>MANUEL Z.G.</v>
      </c>
      <c r="J21" s="33">
        <f>IFERROR(__xludf.DUMMYFUNCTION("IF(H21="""","""",IFERROR(
IF(REGEXMATCH(E21,""VELOCIDAD""),
   IF(H21&gt;=MAX(INDEX(BAREMOS!F:X,MATCH(1,(BAREMOS!A:A=A21)*(BAREMOS!B:B=B21)*(BAREMOS!C:C=C21)*(BAREMOS!D:D=D21),0),0)),1,
      IF(H21&lt;=MIN(INDEX(BAREMOS!F:X,MATCH(1,(BAREMOS!A:A=A21)*(BAREMOS!B"&amp;":B=B21)*(BAREMOS!C:C=C21)*(BAREMOS!D:D=D21),0),0)),19,
         MATCH(H21,INDEX(BAREMOS!F:X,MATCH(1,(BAREMOS!A:A=A21)*(BAREMOS!B:B=B21)*(BAREMOS!C:C=C21)*(BAREMOS!D:D=D21),0),0),-1)
      )
   ),
   IF(H21&lt;=MIN(INDEX(BAREMOS!F:X,MATCH(1,(BAREMOS!A:A=A21)*"&amp;"(BAREMOS!B:B=B21)*(BAREMOS!C:C=C21)*(BAREMOS!D:D=D21),0),0)),1,
      IF(H21&gt;=MAX(INDEX(BAREMOS!F:X,MATCH(1,(BAREMOS!A:A=A21)*(BAREMOS!B:B=B21)*(BAREMOS!C:C=C21)*(BAREMOS!D:D=D21),0),0)),19,
         MATCH(H21,INDEX(BAREMOS!F:X,MATCH(1,(BAREMOS!A:A=A21)*("&amp;"BAREMOS!B:B=B21)*(BAREMOS!C:C=C21)*(BAREMOS!D:D=D21),0),0),1)
      )
   )
)
,""""))
"),17.0)</f>
        <v>17</v>
      </c>
      <c r="K21" s="34">
        <f t="shared" si="1"/>
        <v>9</v>
      </c>
      <c r="L21" s="16"/>
      <c r="M21" s="16"/>
      <c r="N21" s="16"/>
      <c r="O21" s="16"/>
      <c r="P21" s="16"/>
      <c r="Q21" s="16"/>
      <c r="R21" s="16"/>
      <c r="S21" s="16"/>
      <c r="T21" s="16"/>
      <c r="U21" s="16"/>
      <c r="V21" s="16"/>
      <c r="W21" s="16"/>
      <c r="X21" s="16"/>
      <c r="Y21" s="16"/>
      <c r="Z21" s="16"/>
      <c r="AA21" s="16"/>
      <c r="AB21" s="16"/>
      <c r="AC21" s="16"/>
    </row>
    <row r="22">
      <c r="A22" s="22" t="str">
        <f t="array" ref="A22">IF(E22="","",IFERROR(INDEX(CONFIGURACION!C:C,MATCH(E22,CONFIGURACION!E:E,0)),""))
</f>
        <v>BCH</v>
      </c>
      <c r="B22" s="22">
        <f t="array" ref="B22">IF(E22="","",IFERROR(INDEX(CONFIGURACION!D:D,MATCH(E22,CONFIGURACION!E:E,0)),""))
</f>
        <v>1</v>
      </c>
      <c r="C22" s="31" t="s">
        <v>31</v>
      </c>
      <c r="D22" s="9" t="s">
        <v>71</v>
      </c>
      <c r="E22" s="6" t="s">
        <v>89</v>
      </c>
      <c r="F22" s="24" t="s">
        <v>113</v>
      </c>
      <c r="G22" s="9" t="s">
        <v>20</v>
      </c>
      <c r="H22" s="36">
        <v>46149.0</v>
      </c>
      <c r="I22" s="33" t="str">
        <f>IFERROR(__xludf.DUMMYFUNCTION("IF(F22="""","""",LET(
  nombre, TRIM(F22),
  primer, REGEXEXTRACT(nombre, ""^\S+""),
  resto, TRIM(REGEXREPLACE(nombre, ""^\S+\s*"", """")),
  iniciales, IF(
    resto="""",
    """",
    TEXTJOIN("""",1,ARRAYFORMULA(LEFT(SPLIT(resto,"" ""),1) &amp; "".""))
 "&amp;" ),
  UPPER(primer) &amp; "" "" &amp; UPPER(iniciales)
))"),"ELENA S.V.")</f>
        <v>ELENA S.V.</v>
      </c>
      <c r="J22" s="33">
        <f>IFERROR(__xludf.DUMMYFUNCTION("IF(H22="""","""",IFERROR(
IF(REGEXMATCH(E22,""VELOCIDAD""),
   IF(H22&gt;=MAX(INDEX(BAREMOS!F:X,MATCH(1,(BAREMOS!A:A=A22)*(BAREMOS!B:B=B22)*(BAREMOS!C:C=C22)*(BAREMOS!D:D=D22),0),0)),1,
      IF(H22&lt;=MIN(INDEX(BAREMOS!F:X,MATCH(1,(BAREMOS!A:A=A22)*(BAREMOS!B"&amp;":B=B22)*(BAREMOS!C:C=C22)*(BAREMOS!D:D=D22),0),0)),19,
         MATCH(H22,INDEX(BAREMOS!F:X,MATCH(1,(BAREMOS!A:A=A22)*(BAREMOS!B:B=B22)*(BAREMOS!C:C=C22)*(BAREMOS!D:D=D22),0),0),-1)
      )
   ),
   IF(H22&lt;=MIN(INDEX(BAREMOS!F:X,MATCH(1,(BAREMOS!A:A=A22)*"&amp;"(BAREMOS!B:B=B22)*(BAREMOS!C:C=C22)*(BAREMOS!D:D=D22),0),0)),1,
      IF(H22&gt;=MAX(INDEX(BAREMOS!F:X,MATCH(1,(BAREMOS!A:A=A22)*(BAREMOS!B:B=B22)*(BAREMOS!C:C=C22)*(BAREMOS!D:D=D22),0),0)),19,
         MATCH(H22,INDEX(BAREMOS!F:X,MATCH(1,(BAREMOS!A:A=A22)*("&amp;"BAREMOS!B:B=B22)*(BAREMOS!C:C=C22)*(BAREMOS!D:D=D22),0),0),1)
      )
   )
)
,""""))
"),14.0)</f>
        <v>14</v>
      </c>
      <c r="K22" s="34">
        <f t="shared" si="1"/>
        <v>7.5</v>
      </c>
      <c r="L22" s="16"/>
      <c r="M22" s="16"/>
      <c r="N22" s="16"/>
      <c r="O22" s="16"/>
      <c r="P22" s="16"/>
      <c r="Q22" s="16"/>
      <c r="R22" s="16"/>
      <c r="S22" s="16"/>
      <c r="T22" s="16"/>
      <c r="U22" s="16"/>
      <c r="V22" s="16"/>
      <c r="W22" s="16"/>
      <c r="X22" s="16"/>
      <c r="Y22" s="16"/>
      <c r="Z22" s="16"/>
      <c r="AA22" s="16"/>
      <c r="AB22" s="16"/>
      <c r="AC22" s="16"/>
    </row>
    <row r="23">
      <c r="A23" s="22" t="str">
        <f t="array" ref="A23">IF(E23="","",IFERROR(INDEX(CONFIGURACION!C:C,MATCH(E23,CONFIGURACION!E:E,0)),""))
</f>
        <v>BCH</v>
      </c>
      <c r="B23" s="22">
        <f t="array" ref="B23">IF(E23="","",IFERROR(INDEX(CONFIGURACION!D:D,MATCH(E23,CONFIGURACION!E:E,0)),""))
</f>
        <v>1</v>
      </c>
      <c r="C23" s="31" t="s">
        <v>19</v>
      </c>
      <c r="D23" s="9" t="s">
        <v>63</v>
      </c>
      <c r="E23" s="6" t="s">
        <v>89</v>
      </c>
      <c r="F23" s="24" t="s">
        <v>114</v>
      </c>
      <c r="G23" s="9" t="s">
        <v>20</v>
      </c>
      <c r="H23" s="32">
        <v>2150.0</v>
      </c>
      <c r="I23" s="33" t="str">
        <f>IFERROR(__xludf.DUMMYFUNCTION("IF(F23="""","""",LET(
  nombre, TRIM(F23),
  primer, REGEXEXTRACT(nombre, ""^\S+""),
  resto, TRIM(REGEXREPLACE(nombre, ""^\S+\s*"", """")),
  iniciales, IF(
    resto="""",
    """",
    TEXTJOIN("""",1,ARRAYFORMULA(LEFT(SPLIT(resto,"" ""),1) &amp; "".""))
 "&amp;" ),
  UPPER(primer) &amp; "" "" &amp; UPPER(iniciales)
))"),"ROBERTO U.B.")</f>
        <v>ROBERTO U.B.</v>
      </c>
      <c r="J23" s="33">
        <f>IFERROR(__xludf.DUMMYFUNCTION("IF(H23="""","""",IFERROR(
IF(REGEXMATCH(E23,""VELOCIDAD""),
   IF(H23&gt;=MAX(INDEX(BAREMOS!F:X,MATCH(1,(BAREMOS!A:A=A23)*(BAREMOS!B:B=B23)*(BAREMOS!C:C=C23)*(BAREMOS!D:D=D23),0),0)),1,
      IF(H23&lt;=MIN(INDEX(BAREMOS!F:X,MATCH(1,(BAREMOS!A:A=A23)*(BAREMOS!B"&amp;":B=B23)*(BAREMOS!C:C=C23)*(BAREMOS!D:D=D23),0),0)),19,
         MATCH(H23,INDEX(BAREMOS!F:X,MATCH(1,(BAREMOS!A:A=A23)*(BAREMOS!B:B=B23)*(BAREMOS!C:C=C23)*(BAREMOS!D:D=D23),0),0),-1)
      )
   ),
   IF(H23&lt;=MIN(INDEX(BAREMOS!F:X,MATCH(1,(BAREMOS!A:A=A23)*"&amp;"(BAREMOS!B:B=B23)*(BAREMOS!C:C=C23)*(BAREMOS!D:D=D23),0),0)),1,
      IF(H23&gt;=MAX(INDEX(BAREMOS!F:X,MATCH(1,(BAREMOS!A:A=A23)*(BAREMOS!B:B=B23)*(BAREMOS!C:C=C23)*(BAREMOS!D:D=D23),0),0)),19,
         MATCH(H23,INDEX(BAREMOS!F:X,MATCH(1,(BAREMOS!A:A=A23)*("&amp;"BAREMOS!B:B=B23)*(BAREMOS!C:C=C23)*(BAREMOS!D:D=D23),0),0),1)
      )
   )
)
,""""))
"),3.0)</f>
        <v>3</v>
      </c>
      <c r="K23" s="34">
        <f t="shared" si="1"/>
        <v>2</v>
      </c>
      <c r="L23" s="16"/>
      <c r="M23" s="16"/>
      <c r="N23" s="16"/>
      <c r="O23" s="16"/>
      <c r="P23" s="16"/>
      <c r="Q23" s="16"/>
      <c r="R23" s="16"/>
      <c r="S23" s="16"/>
      <c r="T23" s="16"/>
      <c r="U23" s="16"/>
      <c r="V23" s="16"/>
      <c r="W23" s="16"/>
      <c r="X23" s="16"/>
      <c r="Y23" s="16"/>
      <c r="Z23" s="16"/>
      <c r="AA23" s="16"/>
      <c r="AB23" s="16"/>
      <c r="AC23" s="16"/>
    </row>
    <row r="24">
      <c r="A24" s="22" t="str">
        <f t="array" ref="A24">IF(E24="","",IFERROR(INDEX(CONFIGURACION!C:C,MATCH(E24,CONFIGURACION!E:E,0)),""))
</f>
        <v/>
      </c>
      <c r="B24" s="22" t="str">
        <f t="array" ref="B24">IF(E24="","",IFERROR(INDEX(CONFIGURACION!D:D,MATCH(E24,CONFIGURACION!E:E,0)),""))
</f>
        <v/>
      </c>
      <c r="C24" s="31"/>
      <c r="D24" s="9"/>
      <c r="E24" s="6"/>
      <c r="F24" s="24"/>
      <c r="G24" s="9"/>
      <c r="H24" s="32"/>
      <c r="I24" s="33" t="str">
        <f>IFERROR(__xludf.DUMMYFUNCTION("IF(F24="""","""",LET(
  nombre, TRIM(F24),
  primer, REGEXEXTRACT(nombre, ""^\S+""),
  resto, TRIM(REGEXREPLACE(nombre, ""^\S+\s*"", """")),
  iniciales, IF(
    resto="""",
    """",
    TEXTJOIN("""",1,ARRAYFORMULA(LEFT(SPLIT(resto,"" ""),1) &amp; "".""))
 "&amp;" ),
  UPPER(primer) &amp; "" "" &amp; UPPER(iniciales)
))"),"")</f>
        <v/>
      </c>
      <c r="J24" s="33" t="str">
        <f>IFERROR(__xludf.DUMMYFUNCTION("IF(H24="""","""",IFERROR(
IF(REGEXMATCH(E24,""VELOCIDAD""),
   IF(H24&gt;=MAX(INDEX(BAREMOS!F:X,MATCH(1,(BAREMOS!A:A=A24)*(BAREMOS!B:B=B24)*(BAREMOS!C:C=C24)*(BAREMOS!D:D=D24),0),0)),1,
      IF(H24&lt;=MIN(INDEX(BAREMOS!F:X,MATCH(1,(BAREMOS!A:A=A24)*(BAREMOS!B"&amp;":B=B24)*(BAREMOS!C:C=C24)*(BAREMOS!D:D=D24),0),0)),19,
         MATCH(H24,INDEX(BAREMOS!F:X,MATCH(1,(BAREMOS!A:A=A24)*(BAREMOS!B:B=B24)*(BAREMOS!C:C=C24)*(BAREMOS!D:D=D24),0),0),-1)
      )
   ),
   IF(H24&lt;=MIN(INDEX(BAREMOS!F:X,MATCH(1,(BAREMOS!A:A=A24)*"&amp;"(BAREMOS!B:B=B24)*(BAREMOS!C:C=C24)*(BAREMOS!D:D=D24),0),0)),1,
      IF(H24&gt;=MAX(INDEX(BAREMOS!F:X,MATCH(1,(BAREMOS!A:A=A24)*(BAREMOS!B:B=B24)*(BAREMOS!C:C=C24)*(BAREMOS!D:D=D24),0),0)),19,
         MATCH(H24,INDEX(BAREMOS!F:X,MATCH(1,(BAREMOS!A:A=A24)*("&amp;"BAREMOS!B:B=B24)*(BAREMOS!C:C=C24)*(BAREMOS!D:D=D24),0),0),1)
      )
   )
)
,""""))
"),"")</f>
        <v/>
      </c>
      <c r="K24" s="34" t="str">
        <f t="shared" si="1"/>
        <v/>
      </c>
      <c r="L24" s="16"/>
      <c r="M24" s="16"/>
      <c r="N24" s="16"/>
      <c r="O24" s="16"/>
      <c r="P24" s="16"/>
      <c r="Q24" s="16"/>
      <c r="R24" s="16"/>
      <c r="S24" s="16"/>
      <c r="T24" s="16"/>
      <c r="U24" s="16"/>
      <c r="V24" s="16"/>
      <c r="W24" s="16"/>
      <c r="X24" s="16"/>
      <c r="Y24" s="16"/>
      <c r="Z24" s="16"/>
      <c r="AA24" s="16"/>
      <c r="AB24" s="16"/>
      <c r="AC24" s="16"/>
    </row>
    <row r="25">
      <c r="A25" s="22" t="str">
        <f t="array" ref="A25">IF(E25="","",IFERROR(INDEX(CONFIGURACION!C:C,MATCH(E25,CONFIGURACION!E:E,0)),""))
</f>
        <v/>
      </c>
      <c r="B25" s="22" t="str">
        <f t="array" ref="B25">IF(E25="","",IFERROR(INDEX(CONFIGURACION!D:D,MATCH(E25,CONFIGURACION!E:E,0)),""))
</f>
        <v/>
      </c>
      <c r="C25" s="31"/>
      <c r="D25" s="9"/>
      <c r="E25" s="6"/>
      <c r="F25" s="24"/>
      <c r="G25" s="9"/>
      <c r="H25" s="32"/>
      <c r="I25" s="33" t="str">
        <f>IFERROR(__xludf.DUMMYFUNCTION("IF(F25="""","""",LET(
  nombre, TRIM(F25),
  primer, REGEXEXTRACT(nombre, ""^\S+""),
  resto, TRIM(REGEXREPLACE(nombre, ""^\S+\s*"", """")),
  iniciales, IF(
    resto="""",
    """",
    TEXTJOIN("""",1,ARRAYFORMULA(LEFT(SPLIT(resto,"" ""),1) &amp; "".""))
 "&amp;" ),
  UPPER(primer) &amp; "" "" &amp; UPPER(iniciales)
))"),"")</f>
        <v/>
      </c>
      <c r="J25" s="33" t="str">
        <f>IFERROR(__xludf.DUMMYFUNCTION("IF(H25="""","""",IFERROR(
IF(REGEXMATCH(E25,""VELOCIDAD""),
   IF(H25&gt;=MAX(INDEX(BAREMOS!F:X,MATCH(1,(BAREMOS!A:A=A25)*(BAREMOS!B:B=B25)*(BAREMOS!C:C=C25)*(BAREMOS!D:D=D25),0),0)),1,
      IF(H25&lt;=MIN(INDEX(BAREMOS!F:X,MATCH(1,(BAREMOS!A:A=A25)*(BAREMOS!B"&amp;":B=B25)*(BAREMOS!C:C=C25)*(BAREMOS!D:D=D25),0),0)),19,
         MATCH(H25,INDEX(BAREMOS!F:X,MATCH(1,(BAREMOS!A:A=A25)*(BAREMOS!B:B=B25)*(BAREMOS!C:C=C25)*(BAREMOS!D:D=D25),0),0),-1)
      )
   ),
   IF(H25&lt;=MIN(INDEX(BAREMOS!F:X,MATCH(1,(BAREMOS!A:A=A25)*"&amp;"(BAREMOS!B:B=B25)*(BAREMOS!C:C=C25)*(BAREMOS!D:D=D25),0),0)),1,
      IF(H25&gt;=MAX(INDEX(BAREMOS!F:X,MATCH(1,(BAREMOS!A:A=A25)*(BAREMOS!B:B=B25)*(BAREMOS!C:C=C25)*(BAREMOS!D:D=D25),0),0)),19,
         MATCH(H25,INDEX(BAREMOS!F:X,MATCH(1,(BAREMOS!A:A=A25)*("&amp;"BAREMOS!B:B=B25)*(BAREMOS!C:C=C25)*(BAREMOS!D:D=D25),0),0),1)
      )
   )
)
,""""))
"),"")</f>
        <v/>
      </c>
      <c r="K25" s="34" t="str">
        <f t="shared" si="1"/>
        <v/>
      </c>
      <c r="L25" s="16"/>
      <c r="M25" s="16"/>
      <c r="N25" s="16"/>
      <c r="O25" s="16"/>
      <c r="P25" s="16"/>
      <c r="Q25" s="16"/>
      <c r="R25" s="16"/>
      <c r="S25" s="16"/>
      <c r="T25" s="16"/>
      <c r="U25" s="16"/>
      <c r="V25" s="16"/>
      <c r="W25" s="16"/>
      <c r="X25" s="16"/>
      <c r="Y25" s="16"/>
      <c r="Z25" s="16"/>
      <c r="AA25" s="16"/>
      <c r="AB25" s="16"/>
      <c r="AC25" s="16"/>
    </row>
    <row r="26">
      <c r="A26" s="22" t="str">
        <f t="array" ref="A26">IF(E26="","",IFERROR(INDEX(CONFIGURACION!C:C,MATCH(E26,CONFIGURACION!E:E,0)),""))
</f>
        <v/>
      </c>
      <c r="B26" s="22" t="str">
        <f t="array" ref="B26">IF(E26="","",IFERROR(INDEX(CONFIGURACION!D:D,MATCH(E26,CONFIGURACION!E:E,0)),""))
</f>
        <v/>
      </c>
      <c r="C26" s="31"/>
      <c r="D26" s="9"/>
      <c r="E26" s="6"/>
      <c r="F26" s="24"/>
      <c r="G26" s="9"/>
      <c r="H26" s="32"/>
      <c r="I26" s="33" t="str">
        <f>IFERROR(__xludf.DUMMYFUNCTION("IF(F26="""","""",LET(
  nombre, TRIM(F26),
  primer, REGEXEXTRACT(nombre, ""^\S+""),
  resto, TRIM(REGEXREPLACE(nombre, ""^\S+\s*"", """")),
  iniciales, IF(
    resto="""",
    """",
    TEXTJOIN("""",1,ARRAYFORMULA(LEFT(SPLIT(resto,"" ""),1) &amp; "".""))
 "&amp;" ),
  UPPER(primer) &amp; "" "" &amp; UPPER(iniciales)
))"),"")</f>
        <v/>
      </c>
      <c r="J26" s="33" t="str">
        <f>IFERROR(__xludf.DUMMYFUNCTION("IF(H26="""","""",IFERROR(
IF(REGEXMATCH(E26,""VELOCIDAD""),
   IF(H26&gt;=MAX(INDEX(BAREMOS!F:X,MATCH(1,(BAREMOS!A:A=A26)*(BAREMOS!B:B=B26)*(BAREMOS!C:C=C26)*(BAREMOS!D:D=D26),0),0)),1,
      IF(H26&lt;=MIN(INDEX(BAREMOS!F:X,MATCH(1,(BAREMOS!A:A=A26)*(BAREMOS!B"&amp;":B=B26)*(BAREMOS!C:C=C26)*(BAREMOS!D:D=D26),0),0)),19,
         MATCH(H26,INDEX(BAREMOS!F:X,MATCH(1,(BAREMOS!A:A=A26)*(BAREMOS!B:B=B26)*(BAREMOS!C:C=C26)*(BAREMOS!D:D=D26),0),0),-1)
      )
   ),
   IF(H26&lt;=MIN(INDEX(BAREMOS!F:X,MATCH(1,(BAREMOS!A:A=A26)*"&amp;"(BAREMOS!B:B=B26)*(BAREMOS!C:C=C26)*(BAREMOS!D:D=D26),0),0)),1,
      IF(H26&gt;=MAX(INDEX(BAREMOS!F:X,MATCH(1,(BAREMOS!A:A=A26)*(BAREMOS!B:B=B26)*(BAREMOS!C:C=C26)*(BAREMOS!D:D=D26),0),0)),19,
         MATCH(H26,INDEX(BAREMOS!F:X,MATCH(1,(BAREMOS!A:A=A26)*("&amp;"BAREMOS!B:B=B26)*(BAREMOS!C:C=C26)*(BAREMOS!D:D=D26),0),0),1)
      )
   )
)
,""""))
"),"")</f>
        <v/>
      </c>
      <c r="K26" s="34" t="str">
        <f t="shared" si="1"/>
        <v/>
      </c>
      <c r="L26" s="16"/>
      <c r="M26" s="16"/>
      <c r="N26" s="16"/>
      <c r="O26" s="16"/>
      <c r="P26" s="16"/>
      <c r="Q26" s="16"/>
      <c r="R26" s="16"/>
      <c r="S26" s="16"/>
      <c r="T26" s="16"/>
      <c r="U26" s="16"/>
      <c r="V26" s="16"/>
      <c r="W26" s="16"/>
      <c r="X26" s="16"/>
      <c r="Y26" s="16"/>
      <c r="Z26" s="16"/>
      <c r="AA26" s="16"/>
      <c r="AB26" s="16"/>
      <c r="AC26" s="16"/>
    </row>
    <row r="27">
      <c r="A27" s="22" t="str">
        <f t="array" ref="A27">IF(E27="","",IFERROR(INDEX(CONFIGURACION!C:C,MATCH(E27,CONFIGURACION!E:E,0)),""))
</f>
        <v/>
      </c>
      <c r="B27" s="22" t="str">
        <f t="array" ref="B27">IF(E27="","",IFERROR(INDEX(CONFIGURACION!D:D,MATCH(E27,CONFIGURACION!E:E,0)),""))
</f>
        <v/>
      </c>
      <c r="C27" s="31"/>
      <c r="D27" s="9"/>
      <c r="E27" s="6"/>
      <c r="F27" s="24"/>
      <c r="G27" s="9"/>
      <c r="H27" s="32"/>
      <c r="I27" s="33" t="str">
        <f>IFERROR(__xludf.DUMMYFUNCTION("IF(F27="""","""",LET(
  nombre, TRIM(F27),
  primer, REGEXEXTRACT(nombre, ""^\S+""),
  resto, TRIM(REGEXREPLACE(nombre, ""^\S+\s*"", """")),
  iniciales, IF(
    resto="""",
    """",
    TEXTJOIN("""",1,ARRAYFORMULA(LEFT(SPLIT(resto,"" ""),1) &amp; "".""))
 "&amp;" ),
  UPPER(primer) &amp; "" "" &amp; UPPER(iniciales)
))"),"")</f>
        <v/>
      </c>
      <c r="J27" s="33" t="str">
        <f>IFERROR(__xludf.DUMMYFUNCTION("IF(H27="""","""",IFERROR(
IF(REGEXMATCH(E27,""VELOCIDAD""),
   IF(H27&gt;=MAX(INDEX(BAREMOS!F:X,MATCH(1,(BAREMOS!A:A=A27)*(BAREMOS!B:B=B27)*(BAREMOS!C:C=C27)*(BAREMOS!D:D=D27),0),0)),1,
      IF(H27&lt;=MIN(INDEX(BAREMOS!F:X,MATCH(1,(BAREMOS!A:A=A27)*(BAREMOS!B"&amp;":B=B27)*(BAREMOS!C:C=C27)*(BAREMOS!D:D=D27),0),0)),19,
         MATCH(H27,INDEX(BAREMOS!F:X,MATCH(1,(BAREMOS!A:A=A27)*(BAREMOS!B:B=B27)*(BAREMOS!C:C=C27)*(BAREMOS!D:D=D27),0),0),-1)
      )
   ),
   IF(H27&lt;=MIN(INDEX(BAREMOS!F:X,MATCH(1,(BAREMOS!A:A=A27)*"&amp;"(BAREMOS!B:B=B27)*(BAREMOS!C:C=C27)*(BAREMOS!D:D=D27),0),0)),1,
      IF(H27&gt;=MAX(INDEX(BAREMOS!F:X,MATCH(1,(BAREMOS!A:A=A27)*(BAREMOS!B:B=B27)*(BAREMOS!C:C=C27)*(BAREMOS!D:D=D27),0),0)),19,
         MATCH(H27,INDEX(BAREMOS!F:X,MATCH(1,(BAREMOS!A:A=A27)*("&amp;"BAREMOS!B:B=B27)*(BAREMOS!C:C=C27)*(BAREMOS!D:D=D27),0),0),1)
      )
   )
)
,""""))
"),"")</f>
        <v/>
      </c>
      <c r="K27" s="34" t="str">
        <f t="shared" si="1"/>
        <v/>
      </c>
      <c r="L27" s="16"/>
      <c r="M27" s="16"/>
      <c r="N27" s="16"/>
      <c r="O27" s="16"/>
      <c r="P27" s="16"/>
      <c r="Q27" s="16"/>
      <c r="R27" s="16"/>
      <c r="S27" s="16"/>
      <c r="T27" s="16"/>
      <c r="U27" s="16"/>
      <c r="V27" s="16"/>
      <c r="W27" s="16"/>
      <c r="X27" s="16"/>
      <c r="Y27" s="16"/>
      <c r="Z27" s="16"/>
      <c r="AA27" s="16"/>
      <c r="AB27" s="16"/>
      <c r="AC27" s="16"/>
    </row>
    <row r="28">
      <c r="A28" s="22" t="str">
        <f t="array" ref="A28">IF(E28="","",IFERROR(INDEX(CONFIGURACION!C:C,MATCH(E28,CONFIGURACION!E:E,0)),""))
</f>
        <v/>
      </c>
      <c r="B28" s="22" t="str">
        <f t="array" ref="B28">IF(E28="","",IFERROR(INDEX(CONFIGURACION!D:D,MATCH(E28,CONFIGURACION!E:E,0)),""))
</f>
        <v/>
      </c>
      <c r="C28" s="31"/>
      <c r="D28" s="9"/>
      <c r="E28" s="6"/>
      <c r="F28" s="24"/>
      <c r="G28" s="9"/>
      <c r="H28" s="32"/>
      <c r="I28" s="33" t="str">
        <f>IFERROR(__xludf.DUMMYFUNCTION("IF(F28="""","""",LET(
  nombre, TRIM(F28),
  primer, REGEXEXTRACT(nombre, ""^\S+""),
  resto, TRIM(REGEXREPLACE(nombre, ""^\S+\s*"", """")),
  iniciales, IF(
    resto="""",
    """",
    TEXTJOIN("""",1,ARRAYFORMULA(LEFT(SPLIT(resto,"" ""),1) &amp; "".""))
 "&amp;" ),
  UPPER(primer) &amp; "" "" &amp; UPPER(iniciales)
))"),"")</f>
        <v/>
      </c>
      <c r="J28" s="33" t="str">
        <f>IFERROR(__xludf.DUMMYFUNCTION("IF(H28="""","""",IFERROR(
IF(REGEXMATCH(E28,""VELOCIDAD""),
   IF(H28&gt;=MAX(INDEX(BAREMOS!F:X,MATCH(1,(BAREMOS!A:A=A28)*(BAREMOS!B:B=B28)*(BAREMOS!C:C=C28)*(BAREMOS!D:D=D28),0),0)),1,
      IF(H28&lt;=MIN(INDEX(BAREMOS!F:X,MATCH(1,(BAREMOS!A:A=A28)*(BAREMOS!B"&amp;":B=B28)*(BAREMOS!C:C=C28)*(BAREMOS!D:D=D28),0),0)),19,
         MATCH(H28,INDEX(BAREMOS!F:X,MATCH(1,(BAREMOS!A:A=A28)*(BAREMOS!B:B=B28)*(BAREMOS!C:C=C28)*(BAREMOS!D:D=D28),0),0),-1)
      )
   ),
   IF(H28&lt;=MIN(INDEX(BAREMOS!F:X,MATCH(1,(BAREMOS!A:A=A28)*"&amp;"(BAREMOS!B:B=B28)*(BAREMOS!C:C=C28)*(BAREMOS!D:D=D28),0),0)),1,
      IF(H28&gt;=MAX(INDEX(BAREMOS!F:X,MATCH(1,(BAREMOS!A:A=A28)*(BAREMOS!B:B=B28)*(BAREMOS!C:C=C28)*(BAREMOS!D:D=D28),0),0)),19,
         MATCH(H28,INDEX(BAREMOS!F:X,MATCH(1,(BAREMOS!A:A=A28)*("&amp;"BAREMOS!B:B=B28)*(BAREMOS!C:C=C28)*(BAREMOS!D:D=D28),0),0),1)
      )
   )
)
,""""))
"),"")</f>
        <v/>
      </c>
      <c r="K28" s="34" t="str">
        <f t="shared" si="1"/>
        <v/>
      </c>
      <c r="L28" s="16"/>
      <c r="M28" s="16"/>
      <c r="N28" s="16"/>
      <c r="O28" s="16"/>
      <c r="P28" s="16"/>
      <c r="Q28" s="16"/>
      <c r="R28" s="16"/>
      <c r="S28" s="16"/>
      <c r="T28" s="16"/>
      <c r="U28" s="16"/>
      <c r="V28" s="16"/>
      <c r="W28" s="16"/>
      <c r="X28" s="16"/>
      <c r="Y28" s="16"/>
      <c r="Z28" s="16"/>
      <c r="AA28" s="16"/>
      <c r="AB28" s="16"/>
      <c r="AC28" s="16"/>
    </row>
    <row r="29">
      <c r="A29" s="22" t="str">
        <f t="array" ref="A29">IF(E29="","",IFERROR(INDEX(CONFIGURACION!C:C,MATCH(E29,CONFIGURACION!E:E,0)),""))
</f>
        <v/>
      </c>
      <c r="B29" s="22" t="str">
        <f t="array" ref="B29">IF(E29="","",IFERROR(INDEX(CONFIGURACION!D:D,MATCH(E29,CONFIGURACION!E:E,0)),""))
</f>
        <v/>
      </c>
      <c r="C29" s="31"/>
      <c r="D29" s="9"/>
      <c r="E29" s="6"/>
      <c r="F29" s="24"/>
      <c r="G29" s="9"/>
      <c r="H29" s="32"/>
      <c r="I29" s="33" t="str">
        <f>IFERROR(__xludf.DUMMYFUNCTION("IF(F29="""","""",LET(
  nombre, TRIM(F29),
  primer, REGEXEXTRACT(nombre, ""^\S+""),
  resto, TRIM(REGEXREPLACE(nombre, ""^\S+\s*"", """")),
  iniciales, IF(
    resto="""",
    """",
    TEXTJOIN("""",1,ARRAYFORMULA(LEFT(SPLIT(resto,"" ""),1) &amp; "".""))
 "&amp;" ),
  UPPER(primer) &amp; "" "" &amp; UPPER(iniciales)
))"),"")</f>
        <v/>
      </c>
      <c r="J29" s="33" t="str">
        <f>IFERROR(__xludf.DUMMYFUNCTION("IF(H29="""","""",IFERROR(
IF(REGEXMATCH(E29,""VELOCIDAD""),
   IF(H29&gt;=MAX(INDEX(BAREMOS!F:X,MATCH(1,(BAREMOS!A:A=A29)*(BAREMOS!B:B=B29)*(BAREMOS!C:C=C29)*(BAREMOS!D:D=D29),0),0)),1,
      IF(H29&lt;=MIN(INDEX(BAREMOS!F:X,MATCH(1,(BAREMOS!A:A=A29)*(BAREMOS!B"&amp;":B=B29)*(BAREMOS!C:C=C29)*(BAREMOS!D:D=D29),0),0)),19,
         MATCH(H29,INDEX(BAREMOS!F:X,MATCH(1,(BAREMOS!A:A=A29)*(BAREMOS!B:B=B29)*(BAREMOS!C:C=C29)*(BAREMOS!D:D=D29),0),0),-1)
      )
   ),
   IF(H29&lt;=MIN(INDEX(BAREMOS!F:X,MATCH(1,(BAREMOS!A:A=A29)*"&amp;"(BAREMOS!B:B=B29)*(BAREMOS!C:C=C29)*(BAREMOS!D:D=D29),0),0)),1,
      IF(H29&gt;=MAX(INDEX(BAREMOS!F:X,MATCH(1,(BAREMOS!A:A=A29)*(BAREMOS!B:B=B29)*(BAREMOS!C:C=C29)*(BAREMOS!D:D=D29),0),0)),19,
         MATCH(H29,INDEX(BAREMOS!F:X,MATCH(1,(BAREMOS!A:A=A29)*("&amp;"BAREMOS!B:B=B29)*(BAREMOS!C:C=C29)*(BAREMOS!D:D=D29),0),0),1)
      )
   )
)
,""""))
"),"")</f>
        <v/>
      </c>
      <c r="K29" s="34" t="str">
        <f t="shared" si="1"/>
        <v/>
      </c>
      <c r="L29" s="16"/>
      <c r="M29" s="16"/>
      <c r="N29" s="16"/>
      <c r="O29" s="16"/>
      <c r="P29" s="16"/>
      <c r="Q29" s="16"/>
      <c r="R29" s="16"/>
      <c r="S29" s="16"/>
      <c r="T29" s="16"/>
      <c r="U29" s="16"/>
      <c r="V29" s="16"/>
      <c r="W29" s="16"/>
      <c r="X29" s="16"/>
      <c r="Y29" s="16"/>
      <c r="Z29" s="16"/>
      <c r="AA29" s="16"/>
      <c r="AB29" s="16"/>
      <c r="AC29" s="16"/>
    </row>
    <row r="30">
      <c r="A30" s="22" t="str">
        <f t="array" ref="A30">IF(E30="","",IFERROR(INDEX(CONFIGURACION!C:C,MATCH(E30,CONFIGURACION!E:E,0)),""))
</f>
        <v/>
      </c>
      <c r="B30" s="22" t="str">
        <f t="array" ref="B30">IF(E30="","",IFERROR(INDEX(CONFIGURACION!D:D,MATCH(E30,CONFIGURACION!E:E,0)),""))
</f>
        <v/>
      </c>
      <c r="C30" s="31"/>
      <c r="D30" s="9"/>
      <c r="E30" s="6"/>
      <c r="F30" s="24"/>
      <c r="G30" s="9"/>
      <c r="H30" s="32"/>
      <c r="I30" s="33" t="str">
        <f>IFERROR(__xludf.DUMMYFUNCTION("IF(F30="""","""",LET(
  nombre, TRIM(F30),
  primer, REGEXEXTRACT(nombre, ""^\S+""),
  resto, TRIM(REGEXREPLACE(nombre, ""^\S+\s*"", """")),
  iniciales, IF(
    resto="""",
    """",
    TEXTJOIN("""",1,ARRAYFORMULA(LEFT(SPLIT(resto,"" ""),1) &amp; "".""))
 "&amp;" ),
  UPPER(primer) &amp; "" "" &amp; UPPER(iniciales)
))"),"")</f>
        <v/>
      </c>
      <c r="J30" s="33" t="str">
        <f>IFERROR(__xludf.DUMMYFUNCTION("IF(H30="""","""",IFERROR(
IF(REGEXMATCH(E30,""VELOCIDAD""),
   IF(H30&gt;=MAX(INDEX(BAREMOS!F:X,MATCH(1,(BAREMOS!A:A=A30)*(BAREMOS!B:B=B30)*(BAREMOS!C:C=C30)*(BAREMOS!D:D=D30),0),0)),1,
      IF(H30&lt;=MIN(INDEX(BAREMOS!F:X,MATCH(1,(BAREMOS!A:A=A30)*(BAREMOS!B"&amp;":B=B30)*(BAREMOS!C:C=C30)*(BAREMOS!D:D=D30),0),0)),19,
         MATCH(H30,INDEX(BAREMOS!F:X,MATCH(1,(BAREMOS!A:A=A30)*(BAREMOS!B:B=B30)*(BAREMOS!C:C=C30)*(BAREMOS!D:D=D30),0),0),-1)
      )
   ),
   IF(H30&lt;=MIN(INDEX(BAREMOS!F:X,MATCH(1,(BAREMOS!A:A=A30)*"&amp;"(BAREMOS!B:B=B30)*(BAREMOS!C:C=C30)*(BAREMOS!D:D=D30),0),0)),1,
      IF(H30&gt;=MAX(INDEX(BAREMOS!F:X,MATCH(1,(BAREMOS!A:A=A30)*(BAREMOS!B:B=B30)*(BAREMOS!C:C=C30)*(BAREMOS!D:D=D30),0),0)),19,
         MATCH(H30,INDEX(BAREMOS!F:X,MATCH(1,(BAREMOS!A:A=A30)*("&amp;"BAREMOS!B:B=B30)*(BAREMOS!C:C=C30)*(BAREMOS!D:D=D30),0),0),1)
      )
   )
)
,""""))
"),"")</f>
        <v/>
      </c>
      <c r="K30" s="34" t="str">
        <f t="shared" si="1"/>
        <v/>
      </c>
      <c r="L30" s="16"/>
      <c r="M30" s="16"/>
      <c r="N30" s="16"/>
      <c r="O30" s="16"/>
      <c r="P30" s="16"/>
      <c r="Q30" s="16"/>
      <c r="R30" s="16"/>
      <c r="S30" s="16"/>
      <c r="T30" s="16"/>
      <c r="U30" s="16"/>
      <c r="V30" s="16"/>
      <c r="W30" s="16"/>
      <c r="X30" s="16"/>
      <c r="Y30" s="16"/>
      <c r="Z30" s="16"/>
      <c r="AA30" s="16"/>
      <c r="AB30" s="16"/>
      <c r="AC30" s="16"/>
    </row>
    <row r="31">
      <c r="A31" s="22" t="str">
        <f t="array" ref="A31">IF(E31="","",IFERROR(INDEX(CONFIGURACION!C:C,MATCH(E31,CONFIGURACION!E:E,0)),""))
</f>
        <v/>
      </c>
      <c r="B31" s="22" t="str">
        <f t="array" ref="B31">IF(E31="","",IFERROR(INDEX(CONFIGURACION!D:D,MATCH(E31,CONFIGURACION!E:E,0)),""))
</f>
        <v/>
      </c>
      <c r="C31" s="31"/>
      <c r="D31" s="9"/>
      <c r="E31" s="6"/>
      <c r="F31" s="24"/>
      <c r="G31" s="9"/>
      <c r="H31" s="32"/>
      <c r="I31" s="33" t="str">
        <f>IFERROR(__xludf.DUMMYFUNCTION("IF(F31="""","""",LET(
  nombre, TRIM(F31),
  primer, REGEXEXTRACT(nombre, ""^\S+""),
  resto, TRIM(REGEXREPLACE(nombre, ""^\S+\s*"", """")),
  iniciales, IF(
    resto="""",
    """",
    TEXTJOIN("""",1,ARRAYFORMULA(LEFT(SPLIT(resto,"" ""),1) &amp; "".""))
 "&amp;" ),
  UPPER(primer) &amp; "" "" &amp; UPPER(iniciales)
))"),"")</f>
        <v/>
      </c>
      <c r="J31" s="33" t="str">
        <f>IFERROR(__xludf.DUMMYFUNCTION("IF(H31="""","""",IFERROR(
IF(REGEXMATCH(E31,""VELOCIDAD""),
   IF(H31&gt;=MAX(INDEX(BAREMOS!F:X,MATCH(1,(BAREMOS!A:A=A31)*(BAREMOS!B:B=B31)*(BAREMOS!C:C=C31)*(BAREMOS!D:D=D31),0),0)),1,
      IF(H31&lt;=MIN(INDEX(BAREMOS!F:X,MATCH(1,(BAREMOS!A:A=A31)*(BAREMOS!B"&amp;":B=B31)*(BAREMOS!C:C=C31)*(BAREMOS!D:D=D31),0),0)),19,
         MATCH(H31,INDEX(BAREMOS!F:X,MATCH(1,(BAREMOS!A:A=A31)*(BAREMOS!B:B=B31)*(BAREMOS!C:C=C31)*(BAREMOS!D:D=D31),0),0),-1)
      )
   ),
   IF(H31&lt;=MIN(INDEX(BAREMOS!F:X,MATCH(1,(BAREMOS!A:A=A31)*"&amp;"(BAREMOS!B:B=B31)*(BAREMOS!C:C=C31)*(BAREMOS!D:D=D31),0),0)),1,
      IF(H31&gt;=MAX(INDEX(BAREMOS!F:X,MATCH(1,(BAREMOS!A:A=A31)*(BAREMOS!B:B=B31)*(BAREMOS!C:C=C31)*(BAREMOS!D:D=D31),0),0)),19,
         MATCH(H31,INDEX(BAREMOS!F:X,MATCH(1,(BAREMOS!A:A=A31)*("&amp;"BAREMOS!B:B=B31)*(BAREMOS!C:C=C31)*(BAREMOS!D:D=D31),0),0),1)
      )
   )
)
,""""))
"),"")</f>
        <v/>
      </c>
      <c r="K31" s="34" t="str">
        <f t="shared" si="1"/>
        <v/>
      </c>
      <c r="L31" s="16"/>
      <c r="M31" s="16"/>
      <c r="N31" s="16"/>
      <c r="O31" s="16"/>
      <c r="P31" s="16"/>
      <c r="Q31" s="16"/>
      <c r="R31" s="16"/>
      <c r="S31" s="16"/>
      <c r="T31" s="16"/>
      <c r="U31" s="16"/>
      <c r="V31" s="16"/>
      <c r="W31" s="16"/>
      <c r="X31" s="16"/>
      <c r="Y31" s="16"/>
      <c r="Z31" s="16"/>
      <c r="AA31" s="16"/>
      <c r="AB31" s="16"/>
      <c r="AC31" s="16"/>
    </row>
    <row r="32">
      <c r="A32" s="22" t="str">
        <f t="array" ref="A32">IF(E32="","",IFERROR(INDEX(CONFIGURACION!C:C,MATCH(E32,CONFIGURACION!E:E,0)),""))
</f>
        <v/>
      </c>
      <c r="B32" s="22" t="str">
        <f t="array" ref="B32">IF(E32="","",IFERROR(INDEX(CONFIGURACION!D:D,MATCH(E32,CONFIGURACION!E:E,0)),""))
</f>
        <v/>
      </c>
      <c r="C32" s="31"/>
      <c r="D32" s="9"/>
      <c r="E32" s="6"/>
      <c r="F32" s="24"/>
      <c r="G32" s="9"/>
      <c r="H32" s="32"/>
      <c r="I32" s="33" t="str">
        <f>IFERROR(__xludf.DUMMYFUNCTION("IF(F32="""","""",LET(
  nombre, TRIM(F32),
  primer, REGEXEXTRACT(nombre, ""^\S+""),
  resto, TRIM(REGEXREPLACE(nombre, ""^\S+\s*"", """")),
  iniciales, IF(
    resto="""",
    """",
    TEXTJOIN("""",1,ARRAYFORMULA(LEFT(SPLIT(resto,"" ""),1) &amp; "".""))
 "&amp;" ),
  UPPER(primer) &amp; "" "" &amp; UPPER(iniciales)
))"),"")</f>
        <v/>
      </c>
      <c r="J32" s="33" t="str">
        <f>IFERROR(__xludf.DUMMYFUNCTION("IF(H32="""","""",IFERROR(
IF(REGEXMATCH(E32,""VELOCIDAD""),
   IF(H32&gt;=MAX(INDEX(BAREMOS!F:X,MATCH(1,(BAREMOS!A:A=A32)*(BAREMOS!B:B=B32)*(BAREMOS!C:C=C32)*(BAREMOS!D:D=D32),0),0)),1,
      IF(H32&lt;=MIN(INDEX(BAREMOS!F:X,MATCH(1,(BAREMOS!A:A=A32)*(BAREMOS!B"&amp;":B=B32)*(BAREMOS!C:C=C32)*(BAREMOS!D:D=D32),0),0)),19,
         MATCH(H32,INDEX(BAREMOS!F:X,MATCH(1,(BAREMOS!A:A=A32)*(BAREMOS!B:B=B32)*(BAREMOS!C:C=C32)*(BAREMOS!D:D=D32),0),0),-1)
      )
   ),
   IF(H32&lt;=MIN(INDEX(BAREMOS!F:X,MATCH(1,(BAREMOS!A:A=A32)*"&amp;"(BAREMOS!B:B=B32)*(BAREMOS!C:C=C32)*(BAREMOS!D:D=D32),0),0)),1,
      IF(H32&gt;=MAX(INDEX(BAREMOS!F:X,MATCH(1,(BAREMOS!A:A=A32)*(BAREMOS!B:B=B32)*(BAREMOS!C:C=C32)*(BAREMOS!D:D=D32),0),0)),19,
         MATCH(H32,INDEX(BAREMOS!F:X,MATCH(1,(BAREMOS!A:A=A32)*("&amp;"BAREMOS!B:B=B32)*(BAREMOS!C:C=C32)*(BAREMOS!D:D=D32),0),0),1)
      )
   )
)
,""""))
"),"")</f>
        <v/>
      </c>
      <c r="K32" s="34" t="str">
        <f t="shared" si="1"/>
        <v/>
      </c>
      <c r="L32" s="16"/>
      <c r="M32" s="16"/>
      <c r="N32" s="16"/>
      <c r="O32" s="16"/>
      <c r="P32" s="16"/>
      <c r="Q32" s="16"/>
      <c r="R32" s="16"/>
      <c r="S32" s="16"/>
      <c r="T32" s="16"/>
      <c r="U32" s="16"/>
      <c r="V32" s="16"/>
      <c r="W32" s="16"/>
      <c r="X32" s="16"/>
      <c r="Y32" s="16"/>
      <c r="Z32" s="16"/>
      <c r="AA32" s="16"/>
      <c r="AB32" s="16"/>
      <c r="AC32" s="16"/>
    </row>
    <row r="33">
      <c r="A33" s="22" t="str">
        <f t="array" ref="A33">IF(E33="","",IFERROR(INDEX(CONFIGURACION!C:C,MATCH(E33,CONFIGURACION!E:E,0)),""))
</f>
        <v/>
      </c>
      <c r="B33" s="22" t="str">
        <f t="array" ref="B33">IF(E33="","",IFERROR(INDEX(CONFIGURACION!D:D,MATCH(E33,CONFIGURACION!E:E,0)),""))
</f>
        <v/>
      </c>
      <c r="C33" s="31"/>
      <c r="D33" s="9"/>
      <c r="E33" s="6"/>
      <c r="F33" s="24"/>
      <c r="G33" s="9"/>
      <c r="H33" s="32"/>
      <c r="I33" s="33" t="str">
        <f>IFERROR(__xludf.DUMMYFUNCTION("IF(F33="""","""",LET(
  nombre, TRIM(F33),
  primer, REGEXEXTRACT(nombre, ""^\S+""),
  resto, TRIM(REGEXREPLACE(nombre, ""^\S+\s*"", """")),
  iniciales, IF(
    resto="""",
    """",
    TEXTJOIN("""",1,ARRAYFORMULA(LEFT(SPLIT(resto,"" ""),1) &amp; "".""))
 "&amp;" ),
  UPPER(primer) &amp; "" "" &amp; UPPER(iniciales)
))"),"")</f>
        <v/>
      </c>
      <c r="J33" s="33" t="str">
        <f>IFERROR(__xludf.DUMMYFUNCTION("IF(H33="""","""",IFERROR(
IF(REGEXMATCH(E33,""VELOCIDAD""),
   IF(H33&gt;=MAX(INDEX(BAREMOS!F:X,MATCH(1,(BAREMOS!A:A=A33)*(BAREMOS!B:B=B33)*(BAREMOS!C:C=C33)*(BAREMOS!D:D=D33),0),0)),1,
      IF(H33&lt;=MIN(INDEX(BAREMOS!F:X,MATCH(1,(BAREMOS!A:A=A33)*(BAREMOS!B"&amp;":B=B33)*(BAREMOS!C:C=C33)*(BAREMOS!D:D=D33),0),0)),19,
         MATCH(H33,INDEX(BAREMOS!F:X,MATCH(1,(BAREMOS!A:A=A33)*(BAREMOS!B:B=B33)*(BAREMOS!C:C=C33)*(BAREMOS!D:D=D33),0),0),-1)
      )
   ),
   IF(H33&lt;=MIN(INDEX(BAREMOS!F:X,MATCH(1,(BAREMOS!A:A=A33)*"&amp;"(BAREMOS!B:B=B33)*(BAREMOS!C:C=C33)*(BAREMOS!D:D=D33),0),0)),1,
      IF(H33&gt;=MAX(INDEX(BAREMOS!F:X,MATCH(1,(BAREMOS!A:A=A33)*(BAREMOS!B:B=B33)*(BAREMOS!C:C=C33)*(BAREMOS!D:D=D33),0),0)),19,
         MATCH(H33,INDEX(BAREMOS!F:X,MATCH(1,(BAREMOS!A:A=A33)*("&amp;"BAREMOS!B:B=B33)*(BAREMOS!C:C=C33)*(BAREMOS!D:D=D33),0),0),1)
      )
   )
)
,""""))
"),"")</f>
        <v/>
      </c>
      <c r="K33" s="34" t="str">
        <f t="shared" si="1"/>
        <v/>
      </c>
      <c r="L33" s="16"/>
      <c r="M33" s="16"/>
      <c r="N33" s="16"/>
      <c r="O33" s="16"/>
      <c r="P33" s="16"/>
      <c r="Q33" s="16"/>
      <c r="R33" s="16"/>
      <c r="S33" s="16"/>
      <c r="T33" s="16"/>
      <c r="U33" s="16"/>
      <c r="V33" s="16"/>
      <c r="W33" s="16"/>
      <c r="X33" s="16"/>
      <c r="Y33" s="16"/>
      <c r="Z33" s="16"/>
      <c r="AA33" s="16"/>
      <c r="AB33" s="16"/>
      <c r="AC33" s="16"/>
    </row>
    <row r="34">
      <c r="A34" s="22" t="str">
        <f t="array" ref="A34">IF(E34="","",IFERROR(INDEX(CONFIGURACION!C:C,MATCH(E34,CONFIGURACION!E:E,0)),""))
</f>
        <v/>
      </c>
      <c r="B34" s="22" t="str">
        <f t="array" ref="B34">IF(E34="","",IFERROR(INDEX(CONFIGURACION!D:D,MATCH(E34,CONFIGURACION!E:E,0)),""))
</f>
        <v/>
      </c>
      <c r="C34" s="31"/>
      <c r="D34" s="9"/>
      <c r="E34" s="6"/>
      <c r="F34" s="24"/>
      <c r="G34" s="9"/>
      <c r="H34" s="32"/>
      <c r="I34" s="33" t="str">
        <f>IFERROR(__xludf.DUMMYFUNCTION("IF(F34="""","""",LET(
  nombre, TRIM(F34),
  primer, REGEXEXTRACT(nombre, ""^\S+""),
  resto, TRIM(REGEXREPLACE(nombre, ""^\S+\s*"", """")),
  iniciales, IF(
    resto="""",
    """",
    TEXTJOIN("""",1,ARRAYFORMULA(LEFT(SPLIT(resto,"" ""),1) &amp; "".""))
 "&amp;" ),
  UPPER(primer) &amp; "" "" &amp; UPPER(iniciales)
))"),"")</f>
        <v/>
      </c>
      <c r="J34" s="33" t="str">
        <f>IFERROR(__xludf.DUMMYFUNCTION("IF(H34="""","""",IFERROR(
IF(REGEXMATCH(E34,""VELOCIDAD""),
   IF(H34&gt;=MAX(INDEX(BAREMOS!F:X,MATCH(1,(BAREMOS!A:A=A34)*(BAREMOS!B:B=B34)*(BAREMOS!C:C=C34)*(BAREMOS!D:D=D34),0),0)),1,
      IF(H34&lt;=MIN(INDEX(BAREMOS!F:X,MATCH(1,(BAREMOS!A:A=A34)*(BAREMOS!B"&amp;":B=B34)*(BAREMOS!C:C=C34)*(BAREMOS!D:D=D34),0),0)),19,
         MATCH(H34,INDEX(BAREMOS!F:X,MATCH(1,(BAREMOS!A:A=A34)*(BAREMOS!B:B=B34)*(BAREMOS!C:C=C34)*(BAREMOS!D:D=D34),0),0),-1)
      )
   ),
   IF(H34&lt;=MIN(INDEX(BAREMOS!F:X,MATCH(1,(BAREMOS!A:A=A34)*"&amp;"(BAREMOS!B:B=B34)*(BAREMOS!C:C=C34)*(BAREMOS!D:D=D34),0),0)),1,
      IF(H34&gt;=MAX(INDEX(BAREMOS!F:X,MATCH(1,(BAREMOS!A:A=A34)*(BAREMOS!B:B=B34)*(BAREMOS!C:C=C34)*(BAREMOS!D:D=D34),0),0)),19,
         MATCH(H34,INDEX(BAREMOS!F:X,MATCH(1,(BAREMOS!A:A=A34)*("&amp;"BAREMOS!B:B=B34)*(BAREMOS!C:C=C34)*(BAREMOS!D:D=D34),0),0),1)
      )
   )
)
,""""))
"),"")</f>
        <v/>
      </c>
      <c r="K34" s="34" t="str">
        <f t="shared" si="1"/>
        <v/>
      </c>
      <c r="L34" s="16"/>
      <c r="M34" s="16"/>
      <c r="N34" s="16"/>
      <c r="O34" s="16"/>
      <c r="P34" s="16"/>
      <c r="Q34" s="16"/>
      <c r="R34" s="16"/>
      <c r="S34" s="16"/>
      <c r="T34" s="16"/>
      <c r="U34" s="16"/>
      <c r="V34" s="16"/>
      <c r="W34" s="16"/>
      <c r="X34" s="16"/>
      <c r="Y34" s="16"/>
      <c r="Z34" s="16"/>
      <c r="AA34" s="16"/>
      <c r="AB34" s="16"/>
      <c r="AC34" s="16"/>
    </row>
    <row r="35">
      <c r="A35" s="22" t="str">
        <f t="array" ref="A35">IF(E35="","",IFERROR(INDEX(CONFIGURACION!C:C,MATCH(E35,CONFIGURACION!E:E,0)),""))
</f>
        <v/>
      </c>
      <c r="B35" s="22" t="str">
        <f t="array" ref="B35">IF(E35="","",IFERROR(INDEX(CONFIGURACION!D:D,MATCH(E35,CONFIGURACION!E:E,0)),""))
</f>
        <v/>
      </c>
      <c r="C35" s="31"/>
      <c r="D35" s="9"/>
      <c r="E35" s="6"/>
      <c r="F35" s="24"/>
      <c r="G35" s="9"/>
      <c r="H35" s="32"/>
      <c r="I35" s="33" t="str">
        <f>IFERROR(__xludf.DUMMYFUNCTION("IF(F35="""","""",LET(
  nombre, TRIM(F35),
  primer, REGEXEXTRACT(nombre, ""^\S+""),
  resto, TRIM(REGEXREPLACE(nombre, ""^\S+\s*"", """")),
  iniciales, IF(
    resto="""",
    """",
    TEXTJOIN("""",1,ARRAYFORMULA(LEFT(SPLIT(resto,"" ""),1) &amp; "".""))
 "&amp;" ),
  UPPER(primer) &amp; "" "" &amp; UPPER(iniciales)
))"),"")</f>
        <v/>
      </c>
      <c r="J35" s="33" t="str">
        <f>IFERROR(__xludf.DUMMYFUNCTION("IF(H35="""","""",IFERROR(
IF(REGEXMATCH(E35,""VELOCIDAD""),
   IF(H35&gt;=MAX(INDEX(BAREMOS!F:X,MATCH(1,(BAREMOS!A:A=A35)*(BAREMOS!B:B=B35)*(BAREMOS!C:C=C35)*(BAREMOS!D:D=D35),0),0)),1,
      IF(H35&lt;=MIN(INDEX(BAREMOS!F:X,MATCH(1,(BAREMOS!A:A=A35)*(BAREMOS!B"&amp;":B=B35)*(BAREMOS!C:C=C35)*(BAREMOS!D:D=D35),0),0)),19,
         MATCH(H35,INDEX(BAREMOS!F:X,MATCH(1,(BAREMOS!A:A=A35)*(BAREMOS!B:B=B35)*(BAREMOS!C:C=C35)*(BAREMOS!D:D=D35),0),0),-1)
      )
   ),
   IF(H35&lt;=MIN(INDEX(BAREMOS!F:X,MATCH(1,(BAREMOS!A:A=A35)*"&amp;"(BAREMOS!B:B=B35)*(BAREMOS!C:C=C35)*(BAREMOS!D:D=D35),0),0)),1,
      IF(H35&gt;=MAX(INDEX(BAREMOS!F:X,MATCH(1,(BAREMOS!A:A=A35)*(BAREMOS!B:B=B35)*(BAREMOS!C:C=C35)*(BAREMOS!D:D=D35),0),0)),19,
         MATCH(H35,INDEX(BAREMOS!F:X,MATCH(1,(BAREMOS!A:A=A35)*("&amp;"BAREMOS!B:B=B35)*(BAREMOS!C:C=C35)*(BAREMOS!D:D=D35),0),0),1)
      )
   )
)
,""""))
"),"")</f>
        <v/>
      </c>
      <c r="K35" s="34" t="str">
        <f t="shared" si="1"/>
        <v/>
      </c>
      <c r="L35" s="16"/>
      <c r="M35" s="16"/>
      <c r="N35" s="16"/>
      <c r="O35" s="16"/>
      <c r="P35" s="16"/>
      <c r="Q35" s="16"/>
      <c r="R35" s="16"/>
      <c r="S35" s="16"/>
      <c r="T35" s="16"/>
      <c r="U35" s="16"/>
      <c r="V35" s="16"/>
      <c r="W35" s="16"/>
      <c r="X35" s="16"/>
      <c r="Y35" s="16"/>
      <c r="Z35" s="16"/>
      <c r="AA35" s="16"/>
      <c r="AB35" s="16"/>
      <c r="AC35" s="16"/>
    </row>
    <row r="36">
      <c r="A36" s="22" t="str">
        <f t="array" ref="A36">IF(E36="","",IFERROR(INDEX(CONFIGURACION!C:C,MATCH(E36,CONFIGURACION!E:E,0)),""))
</f>
        <v/>
      </c>
      <c r="B36" s="22" t="str">
        <f t="array" ref="B36">IF(E36="","",IFERROR(INDEX(CONFIGURACION!D:D,MATCH(E36,CONFIGURACION!E:E,0)),""))
</f>
        <v/>
      </c>
      <c r="C36" s="31"/>
      <c r="D36" s="9"/>
      <c r="E36" s="6"/>
      <c r="F36" s="24"/>
      <c r="G36" s="9"/>
      <c r="H36" s="32"/>
      <c r="I36" s="33" t="str">
        <f>IFERROR(__xludf.DUMMYFUNCTION("IF(F36="""","""",LET(
  nombre, TRIM(F36),
  primer, REGEXEXTRACT(nombre, ""^\S+""),
  resto, TRIM(REGEXREPLACE(nombre, ""^\S+\s*"", """")),
  iniciales, IF(
    resto="""",
    """",
    TEXTJOIN("""",1,ARRAYFORMULA(LEFT(SPLIT(resto,"" ""),1) &amp; "".""))
 "&amp;" ),
  UPPER(primer) &amp; "" "" &amp; UPPER(iniciales)
))"),"")</f>
        <v/>
      </c>
      <c r="J36" s="33" t="str">
        <f>IFERROR(__xludf.DUMMYFUNCTION("IF(H36="""","""",IFERROR(
IF(REGEXMATCH(E36,""VELOCIDAD""),
   IF(H36&gt;=MAX(INDEX(BAREMOS!F:X,MATCH(1,(BAREMOS!A:A=A36)*(BAREMOS!B:B=B36)*(BAREMOS!C:C=C36)*(BAREMOS!D:D=D36),0),0)),1,
      IF(H36&lt;=MIN(INDEX(BAREMOS!F:X,MATCH(1,(BAREMOS!A:A=A36)*(BAREMOS!B"&amp;":B=B36)*(BAREMOS!C:C=C36)*(BAREMOS!D:D=D36),0),0)),19,
         MATCH(H36,INDEX(BAREMOS!F:X,MATCH(1,(BAREMOS!A:A=A36)*(BAREMOS!B:B=B36)*(BAREMOS!C:C=C36)*(BAREMOS!D:D=D36),0),0),-1)
      )
   ),
   IF(H36&lt;=MIN(INDEX(BAREMOS!F:X,MATCH(1,(BAREMOS!A:A=A36)*"&amp;"(BAREMOS!B:B=B36)*(BAREMOS!C:C=C36)*(BAREMOS!D:D=D36),0),0)),1,
      IF(H36&gt;=MAX(INDEX(BAREMOS!F:X,MATCH(1,(BAREMOS!A:A=A36)*(BAREMOS!B:B=B36)*(BAREMOS!C:C=C36)*(BAREMOS!D:D=D36),0),0)),19,
         MATCH(H36,INDEX(BAREMOS!F:X,MATCH(1,(BAREMOS!A:A=A36)*("&amp;"BAREMOS!B:B=B36)*(BAREMOS!C:C=C36)*(BAREMOS!D:D=D36),0),0),1)
      )
   )
)
,""""))
"),"")</f>
        <v/>
      </c>
      <c r="K36" s="34" t="str">
        <f t="shared" si="1"/>
        <v/>
      </c>
      <c r="L36" s="16"/>
      <c r="M36" s="16"/>
      <c r="N36" s="16"/>
      <c r="O36" s="16"/>
      <c r="P36" s="16"/>
      <c r="Q36" s="16"/>
      <c r="R36" s="16"/>
      <c r="S36" s="16"/>
      <c r="T36" s="16"/>
      <c r="U36" s="16"/>
      <c r="V36" s="16"/>
      <c r="W36" s="16"/>
      <c r="X36" s="16"/>
      <c r="Y36" s="16"/>
      <c r="Z36" s="16"/>
      <c r="AA36" s="16"/>
      <c r="AB36" s="16"/>
      <c r="AC36" s="16"/>
    </row>
    <row r="37">
      <c r="A37" s="22" t="str">
        <f t="array" ref="A37">IF(E37="","",IFERROR(INDEX(CONFIGURACION!C:C,MATCH(E37,CONFIGURACION!E:E,0)),""))
</f>
        <v/>
      </c>
      <c r="B37" s="22" t="str">
        <f t="array" ref="B37">IF(E37="","",IFERROR(INDEX(CONFIGURACION!D:D,MATCH(E37,CONFIGURACION!E:E,0)),""))
</f>
        <v/>
      </c>
      <c r="C37" s="31"/>
      <c r="D37" s="9"/>
      <c r="E37" s="6"/>
      <c r="F37" s="24"/>
      <c r="G37" s="9"/>
      <c r="H37" s="32"/>
      <c r="I37" s="33" t="str">
        <f>IFERROR(__xludf.DUMMYFUNCTION("IF(F37="""","""",LET(
  nombre, TRIM(F37),
  primer, REGEXEXTRACT(nombre, ""^\S+""),
  resto, TRIM(REGEXREPLACE(nombre, ""^\S+\s*"", """")),
  iniciales, IF(
    resto="""",
    """",
    TEXTJOIN("""",1,ARRAYFORMULA(LEFT(SPLIT(resto,"" ""),1) &amp; "".""))
 "&amp;" ),
  UPPER(primer) &amp; "" "" &amp; UPPER(iniciales)
))"),"")</f>
        <v/>
      </c>
      <c r="J37" s="33" t="str">
        <f>IFERROR(__xludf.DUMMYFUNCTION("IF(H37="""","""",IFERROR(
IF(REGEXMATCH(E37,""VELOCIDAD""),
   IF(H37&gt;=MAX(INDEX(BAREMOS!F:X,MATCH(1,(BAREMOS!A:A=A37)*(BAREMOS!B:B=B37)*(BAREMOS!C:C=C37)*(BAREMOS!D:D=D37),0),0)),1,
      IF(H37&lt;=MIN(INDEX(BAREMOS!F:X,MATCH(1,(BAREMOS!A:A=A37)*(BAREMOS!B"&amp;":B=B37)*(BAREMOS!C:C=C37)*(BAREMOS!D:D=D37),0),0)),19,
         MATCH(H37,INDEX(BAREMOS!F:X,MATCH(1,(BAREMOS!A:A=A37)*(BAREMOS!B:B=B37)*(BAREMOS!C:C=C37)*(BAREMOS!D:D=D37),0),0),-1)
      )
   ),
   IF(H37&lt;=MIN(INDEX(BAREMOS!F:X,MATCH(1,(BAREMOS!A:A=A37)*"&amp;"(BAREMOS!B:B=B37)*(BAREMOS!C:C=C37)*(BAREMOS!D:D=D37),0),0)),1,
      IF(H37&gt;=MAX(INDEX(BAREMOS!F:X,MATCH(1,(BAREMOS!A:A=A37)*(BAREMOS!B:B=B37)*(BAREMOS!C:C=C37)*(BAREMOS!D:D=D37),0),0)),19,
         MATCH(H37,INDEX(BAREMOS!F:X,MATCH(1,(BAREMOS!A:A=A37)*("&amp;"BAREMOS!B:B=B37)*(BAREMOS!C:C=C37)*(BAREMOS!D:D=D37),0),0),1)
      )
   )
)
,""""))
"),"")</f>
        <v/>
      </c>
      <c r="K37" s="34" t="str">
        <f t="shared" si="1"/>
        <v/>
      </c>
      <c r="L37" s="16"/>
      <c r="M37" s="16"/>
      <c r="N37" s="16"/>
      <c r="O37" s="16"/>
      <c r="P37" s="16"/>
      <c r="Q37" s="16"/>
      <c r="R37" s="16"/>
      <c r="S37" s="16"/>
      <c r="T37" s="16"/>
      <c r="U37" s="16"/>
      <c r="V37" s="16"/>
      <c r="W37" s="16"/>
      <c r="X37" s="16"/>
      <c r="Y37" s="16"/>
      <c r="Z37" s="16"/>
      <c r="AA37" s="16"/>
      <c r="AB37" s="16"/>
      <c r="AC37" s="16"/>
    </row>
    <row r="38">
      <c r="A38" s="22" t="str">
        <f t="array" ref="A38">IF(E38="","",IFERROR(INDEX(CONFIGURACION!C:C,MATCH(E38,CONFIGURACION!E:E,0)),""))
</f>
        <v/>
      </c>
      <c r="B38" s="22" t="str">
        <f t="array" ref="B38">IF(E38="","",IFERROR(INDEX(CONFIGURACION!D:D,MATCH(E38,CONFIGURACION!E:E,0)),""))
</f>
        <v/>
      </c>
      <c r="C38" s="31"/>
      <c r="D38" s="9"/>
      <c r="E38" s="6"/>
      <c r="F38" s="24"/>
      <c r="G38" s="9"/>
      <c r="H38" s="32"/>
      <c r="I38" s="33" t="str">
        <f>IFERROR(__xludf.DUMMYFUNCTION("IF(F38="""","""",LET(
  nombre, TRIM(F38),
  primer, REGEXEXTRACT(nombre, ""^\S+""),
  resto, TRIM(REGEXREPLACE(nombre, ""^\S+\s*"", """")),
  iniciales, IF(
    resto="""",
    """",
    TEXTJOIN("""",1,ARRAYFORMULA(LEFT(SPLIT(resto,"" ""),1) &amp; "".""))
 "&amp;" ),
  UPPER(primer) &amp; "" "" &amp; UPPER(iniciales)
))"),"")</f>
        <v/>
      </c>
      <c r="J38" s="33" t="str">
        <f>IFERROR(__xludf.DUMMYFUNCTION("IF(H38="""","""",IFERROR(
IF(REGEXMATCH(E38,""VELOCIDAD""),
   IF(H38&gt;=MAX(INDEX(BAREMOS!F:X,MATCH(1,(BAREMOS!A:A=A38)*(BAREMOS!B:B=B38)*(BAREMOS!C:C=C38)*(BAREMOS!D:D=D38),0),0)),1,
      IF(H38&lt;=MIN(INDEX(BAREMOS!F:X,MATCH(1,(BAREMOS!A:A=A38)*(BAREMOS!B"&amp;":B=B38)*(BAREMOS!C:C=C38)*(BAREMOS!D:D=D38),0),0)),19,
         MATCH(H38,INDEX(BAREMOS!F:X,MATCH(1,(BAREMOS!A:A=A38)*(BAREMOS!B:B=B38)*(BAREMOS!C:C=C38)*(BAREMOS!D:D=D38),0),0),-1)
      )
   ),
   IF(H38&lt;=MIN(INDEX(BAREMOS!F:X,MATCH(1,(BAREMOS!A:A=A38)*"&amp;"(BAREMOS!B:B=B38)*(BAREMOS!C:C=C38)*(BAREMOS!D:D=D38),0),0)),1,
      IF(H38&gt;=MAX(INDEX(BAREMOS!F:X,MATCH(1,(BAREMOS!A:A=A38)*(BAREMOS!B:B=B38)*(BAREMOS!C:C=C38)*(BAREMOS!D:D=D38),0),0)),19,
         MATCH(H38,INDEX(BAREMOS!F:X,MATCH(1,(BAREMOS!A:A=A38)*("&amp;"BAREMOS!B:B=B38)*(BAREMOS!C:C=C38)*(BAREMOS!D:D=D38),0),0),1)
      )
   )
)
,""""))
"),"")</f>
        <v/>
      </c>
      <c r="K38" s="34" t="str">
        <f t="shared" si="1"/>
        <v/>
      </c>
      <c r="L38" s="16"/>
      <c r="M38" s="16"/>
      <c r="N38" s="16"/>
      <c r="O38" s="16"/>
      <c r="P38" s="16"/>
      <c r="Q38" s="16"/>
      <c r="R38" s="16"/>
      <c r="S38" s="16"/>
      <c r="T38" s="16"/>
      <c r="U38" s="16"/>
      <c r="V38" s="16"/>
      <c r="W38" s="16"/>
      <c r="X38" s="16"/>
      <c r="Y38" s="16"/>
      <c r="Z38" s="16"/>
      <c r="AA38" s="16"/>
      <c r="AB38" s="16"/>
      <c r="AC38" s="16"/>
    </row>
    <row r="39">
      <c r="A39" s="22" t="str">
        <f t="array" ref="A39">IF(E39="","",IFERROR(INDEX(CONFIGURACION!C:C,MATCH(E39,CONFIGURACION!E:E,0)),""))
</f>
        <v/>
      </c>
      <c r="B39" s="22" t="str">
        <f t="array" ref="B39">IF(E39="","",IFERROR(INDEX(CONFIGURACION!D:D,MATCH(E39,CONFIGURACION!E:E,0)),""))
</f>
        <v/>
      </c>
      <c r="C39" s="31"/>
      <c r="D39" s="9"/>
      <c r="E39" s="6"/>
      <c r="F39" s="24"/>
      <c r="G39" s="9"/>
      <c r="H39" s="32"/>
      <c r="I39" s="33" t="str">
        <f>IFERROR(__xludf.DUMMYFUNCTION("IF(F39="""","""",LET(
  nombre, TRIM(F39),
  primer, REGEXEXTRACT(nombre, ""^\S+""),
  resto, TRIM(REGEXREPLACE(nombre, ""^\S+\s*"", """")),
  iniciales, IF(
    resto="""",
    """",
    TEXTJOIN("""",1,ARRAYFORMULA(LEFT(SPLIT(resto,"" ""),1) &amp; "".""))
 "&amp;" ),
  UPPER(primer) &amp; "" "" &amp; UPPER(iniciales)
))"),"")</f>
        <v/>
      </c>
      <c r="J39" s="33" t="str">
        <f>IFERROR(__xludf.DUMMYFUNCTION("IF(H39="""","""",IFERROR(
IF(REGEXMATCH(E39,""VELOCIDAD""),
   IF(H39&gt;=MAX(INDEX(BAREMOS!F:X,MATCH(1,(BAREMOS!A:A=A39)*(BAREMOS!B:B=B39)*(BAREMOS!C:C=C39)*(BAREMOS!D:D=D39),0),0)),1,
      IF(H39&lt;=MIN(INDEX(BAREMOS!F:X,MATCH(1,(BAREMOS!A:A=A39)*(BAREMOS!B"&amp;":B=B39)*(BAREMOS!C:C=C39)*(BAREMOS!D:D=D39),0),0)),19,
         MATCH(H39,INDEX(BAREMOS!F:X,MATCH(1,(BAREMOS!A:A=A39)*(BAREMOS!B:B=B39)*(BAREMOS!C:C=C39)*(BAREMOS!D:D=D39),0),0),-1)
      )
   ),
   IF(H39&lt;=MIN(INDEX(BAREMOS!F:X,MATCH(1,(BAREMOS!A:A=A39)*"&amp;"(BAREMOS!B:B=B39)*(BAREMOS!C:C=C39)*(BAREMOS!D:D=D39),0),0)),1,
      IF(H39&gt;=MAX(INDEX(BAREMOS!F:X,MATCH(1,(BAREMOS!A:A=A39)*(BAREMOS!B:B=B39)*(BAREMOS!C:C=C39)*(BAREMOS!D:D=D39),0),0)),19,
         MATCH(H39,INDEX(BAREMOS!F:X,MATCH(1,(BAREMOS!A:A=A39)*("&amp;"BAREMOS!B:B=B39)*(BAREMOS!C:C=C39)*(BAREMOS!D:D=D39),0),0),1)
      )
   )
)
,""""))
"),"")</f>
        <v/>
      </c>
      <c r="K39" s="34" t="str">
        <f t="shared" si="1"/>
        <v/>
      </c>
      <c r="L39" s="16"/>
      <c r="M39" s="16"/>
      <c r="N39" s="16"/>
      <c r="O39" s="16"/>
      <c r="P39" s="16"/>
      <c r="Q39" s="16"/>
      <c r="R39" s="16"/>
      <c r="S39" s="16"/>
      <c r="T39" s="16"/>
      <c r="U39" s="16"/>
      <c r="V39" s="16"/>
      <c r="W39" s="16"/>
      <c r="X39" s="16"/>
      <c r="Y39" s="16"/>
      <c r="Z39" s="16"/>
      <c r="AA39" s="16"/>
      <c r="AB39" s="16"/>
      <c r="AC39" s="16"/>
    </row>
    <row r="40">
      <c r="A40" s="22" t="str">
        <f t="array" ref="A40">IF(E40="","",IFERROR(INDEX(CONFIGURACION!C:C,MATCH(E40,CONFIGURACION!E:E,0)),""))
</f>
        <v/>
      </c>
      <c r="B40" s="22" t="str">
        <f t="array" ref="B40">IF(E40="","",IFERROR(INDEX(CONFIGURACION!D:D,MATCH(E40,CONFIGURACION!E:E,0)),""))
</f>
        <v/>
      </c>
      <c r="C40" s="31"/>
      <c r="D40" s="9"/>
      <c r="E40" s="6"/>
      <c r="F40" s="24"/>
      <c r="G40" s="9"/>
      <c r="H40" s="32"/>
      <c r="I40" s="33" t="str">
        <f>IFERROR(__xludf.DUMMYFUNCTION("IF(F40="""","""",LET(
  nombre, TRIM(F40),
  primer, REGEXEXTRACT(nombre, ""^\S+""),
  resto, TRIM(REGEXREPLACE(nombre, ""^\S+\s*"", """")),
  iniciales, IF(
    resto="""",
    """",
    TEXTJOIN("""",1,ARRAYFORMULA(LEFT(SPLIT(resto,"" ""),1) &amp; "".""))
 "&amp;" ),
  UPPER(primer) &amp; "" "" &amp; UPPER(iniciales)
))"),"")</f>
        <v/>
      </c>
      <c r="J40" s="33" t="str">
        <f>IFERROR(__xludf.DUMMYFUNCTION("IF(H40="""","""",IFERROR(
IF(REGEXMATCH(E40,""VELOCIDAD""),
   IF(H40&gt;=MAX(INDEX(BAREMOS!F:X,MATCH(1,(BAREMOS!A:A=A40)*(BAREMOS!B:B=B40)*(BAREMOS!C:C=C40)*(BAREMOS!D:D=D40),0),0)),1,
      IF(H40&lt;=MIN(INDEX(BAREMOS!F:X,MATCH(1,(BAREMOS!A:A=A40)*(BAREMOS!B"&amp;":B=B40)*(BAREMOS!C:C=C40)*(BAREMOS!D:D=D40),0),0)),19,
         MATCH(H40,INDEX(BAREMOS!F:X,MATCH(1,(BAREMOS!A:A=A40)*(BAREMOS!B:B=B40)*(BAREMOS!C:C=C40)*(BAREMOS!D:D=D40),0),0),-1)
      )
   ),
   IF(H40&lt;=MIN(INDEX(BAREMOS!F:X,MATCH(1,(BAREMOS!A:A=A40)*"&amp;"(BAREMOS!B:B=B40)*(BAREMOS!C:C=C40)*(BAREMOS!D:D=D40),0),0)),1,
      IF(H40&gt;=MAX(INDEX(BAREMOS!F:X,MATCH(1,(BAREMOS!A:A=A40)*(BAREMOS!B:B=B40)*(BAREMOS!C:C=C40)*(BAREMOS!D:D=D40),0),0)),19,
         MATCH(H40,INDEX(BAREMOS!F:X,MATCH(1,(BAREMOS!A:A=A40)*("&amp;"BAREMOS!B:B=B40)*(BAREMOS!C:C=C40)*(BAREMOS!D:D=D40),0),0),1)
      )
   )
)
,""""))
"),"")</f>
        <v/>
      </c>
      <c r="K40" s="34" t="str">
        <f t="shared" si="1"/>
        <v/>
      </c>
      <c r="L40" s="16"/>
      <c r="M40" s="16"/>
      <c r="N40" s="16"/>
      <c r="O40" s="16"/>
      <c r="P40" s="16"/>
      <c r="Q40" s="16"/>
      <c r="R40" s="16"/>
      <c r="S40" s="16"/>
      <c r="T40" s="16"/>
      <c r="U40" s="16"/>
      <c r="V40" s="16"/>
      <c r="W40" s="16"/>
      <c r="X40" s="16"/>
      <c r="Y40" s="16"/>
      <c r="Z40" s="16"/>
      <c r="AA40" s="16"/>
      <c r="AB40" s="16"/>
      <c r="AC40" s="16"/>
    </row>
    <row r="41">
      <c r="A41" s="22" t="str">
        <f t="array" ref="A41">IF(E41="","",IFERROR(INDEX(CONFIGURACION!C:C,MATCH(E41,CONFIGURACION!E:E,0)),""))
</f>
        <v/>
      </c>
      <c r="B41" s="22" t="str">
        <f t="array" ref="B41">IF(E41="","",IFERROR(INDEX(CONFIGURACION!D:D,MATCH(E41,CONFIGURACION!E:E,0)),""))
</f>
        <v/>
      </c>
      <c r="C41" s="31"/>
      <c r="D41" s="9"/>
      <c r="E41" s="6"/>
      <c r="F41" s="24"/>
      <c r="G41" s="9"/>
      <c r="H41" s="32"/>
      <c r="I41" s="33" t="str">
        <f>IFERROR(__xludf.DUMMYFUNCTION("IF(F41="""","""",LET(
  nombre, TRIM(F41),
  primer, REGEXEXTRACT(nombre, ""^\S+""),
  resto, TRIM(REGEXREPLACE(nombre, ""^\S+\s*"", """")),
  iniciales, IF(
    resto="""",
    """",
    TEXTJOIN("""",1,ARRAYFORMULA(LEFT(SPLIT(resto,"" ""),1) &amp; "".""))
 "&amp;" ),
  UPPER(primer) &amp; "" "" &amp; UPPER(iniciales)
))"),"")</f>
        <v/>
      </c>
      <c r="J41" s="33" t="str">
        <f>IFERROR(__xludf.DUMMYFUNCTION("IF(H41="""","""",IFERROR(
IF(REGEXMATCH(E41,""VELOCIDAD""),
   IF(H41&gt;=MAX(INDEX(BAREMOS!F:X,MATCH(1,(BAREMOS!A:A=A41)*(BAREMOS!B:B=B41)*(BAREMOS!C:C=C41)*(BAREMOS!D:D=D41),0),0)),1,
      IF(H41&lt;=MIN(INDEX(BAREMOS!F:X,MATCH(1,(BAREMOS!A:A=A41)*(BAREMOS!B"&amp;":B=B41)*(BAREMOS!C:C=C41)*(BAREMOS!D:D=D41),0),0)),19,
         MATCH(H41,INDEX(BAREMOS!F:X,MATCH(1,(BAREMOS!A:A=A41)*(BAREMOS!B:B=B41)*(BAREMOS!C:C=C41)*(BAREMOS!D:D=D41),0),0),-1)
      )
   ),
   IF(H41&lt;=MIN(INDEX(BAREMOS!F:X,MATCH(1,(BAREMOS!A:A=A41)*"&amp;"(BAREMOS!B:B=B41)*(BAREMOS!C:C=C41)*(BAREMOS!D:D=D41),0),0)),1,
      IF(H41&gt;=MAX(INDEX(BAREMOS!F:X,MATCH(1,(BAREMOS!A:A=A41)*(BAREMOS!B:B=B41)*(BAREMOS!C:C=C41)*(BAREMOS!D:D=D41),0),0)),19,
         MATCH(H41,INDEX(BAREMOS!F:X,MATCH(1,(BAREMOS!A:A=A41)*("&amp;"BAREMOS!B:B=B41)*(BAREMOS!C:C=C41)*(BAREMOS!D:D=D41),0),0),1)
      )
   )
)
,""""))
"),"")</f>
        <v/>
      </c>
      <c r="K41" s="34" t="str">
        <f t="shared" si="1"/>
        <v/>
      </c>
      <c r="L41" s="16"/>
      <c r="M41" s="16"/>
      <c r="N41" s="16"/>
      <c r="O41" s="16"/>
      <c r="P41" s="16"/>
      <c r="Q41" s="16"/>
      <c r="R41" s="16"/>
      <c r="S41" s="16"/>
      <c r="T41" s="16"/>
      <c r="U41" s="16"/>
      <c r="V41" s="16"/>
      <c r="W41" s="16"/>
      <c r="X41" s="16"/>
      <c r="Y41" s="16"/>
      <c r="Z41" s="16"/>
      <c r="AA41" s="16"/>
      <c r="AB41" s="16"/>
      <c r="AC41" s="16"/>
    </row>
    <row r="42">
      <c r="A42" s="22" t="str">
        <f t="array" ref="A42">IF(E42="","",IFERROR(INDEX(CONFIGURACION!C:C,MATCH(E42,CONFIGURACION!E:E,0)),""))
</f>
        <v/>
      </c>
      <c r="B42" s="22" t="str">
        <f t="array" ref="B42">IF(E42="","",IFERROR(INDEX(CONFIGURACION!D:D,MATCH(E42,CONFIGURACION!E:E,0)),""))
</f>
        <v/>
      </c>
      <c r="C42" s="31"/>
      <c r="D42" s="9"/>
      <c r="E42" s="6"/>
      <c r="F42" s="24"/>
      <c r="G42" s="9"/>
      <c r="H42" s="32"/>
      <c r="I42" s="33" t="str">
        <f>IFERROR(__xludf.DUMMYFUNCTION("IF(F42="""","""",LET(
  nombre, TRIM(F42),
  primer, REGEXEXTRACT(nombre, ""^\S+""),
  resto, TRIM(REGEXREPLACE(nombre, ""^\S+\s*"", """")),
  iniciales, IF(
    resto="""",
    """",
    TEXTJOIN("""",1,ARRAYFORMULA(LEFT(SPLIT(resto,"" ""),1) &amp; "".""))
 "&amp;" ),
  UPPER(primer) &amp; "" "" &amp; UPPER(iniciales)
))"),"")</f>
        <v/>
      </c>
      <c r="J42" s="33" t="str">
        <f>IFERROR(__xludf.DUMMYFUNCTION("IF(H42="""","""",IFERROR(
IF(REGEXMATCH(E42,""VELOCIDAD""),
   IF(H42&gt;=MAX(INDEX(BAREMOS!F:X,MATCH(1,(BAREMOS!A:A=A42)*(BAREMOS!B:B=B42)*(BAREMOS!C:C=C42)*(BAREMOS!D:D=D42),0),0)),1,
      IF(H42&lt;=MIN(INDEX(BAREMOS!F:X,MATCH(1,(BAREMOS!A:A=A42)*(BAREMOS!B"&amp;":B=B42)*(BAREMOS!C:C=C42)*(BAREMOS!D:D=D42),0),0)),19,
         MATCH(H42,INDEX(BAREMOS!F:X,MATCH(1,(BAREMOS!A:A=A42)*(BAREMOS!B:B=B42)*(BAREMOS!C:C=C42)*(BAREMOS!D:D=D42),0),0),-1)
      )
   ),
   IF(H42&lt;=MIN(INDEX(BAREMOS!F:X,MATCH(1,(BAREMOS!A:A=A42)*"&amp;"(BAREMOS!B:B=B42)*(BAREMOS!C:C=C42)*(BAREMOS!D:D=D42),0),0)),1,
      IF(H42&gt;=MAX(INDEX(BAREMOS!F:X,MATCH(1,(BAREMOS!A:A=A42)*(BAREMOS!B:B=B42)*(BAREMOS!C:C=C42)*(BAREMOS!D:D=D42),0),0)),19,
         MATCH(H42,INDEX(BAREMOS!F:X,MATCH(1,(BAREMOS!A:A=A42)*("&amp;"BAREMOS!B:B=B42)*(BAREMOS!C:C=C42)*(BAREMOS!D:D=D42),0),0),1)
      )
   )
)
,""""))
"),"")</f>
        <v/>
      </c>
      <c r="K42" s="34" t="str">
        <f t="shared" si="1"/>
        <v/>
      </c>
      <c r="L42" s="16"/>
      <c r="M42" s="16"/>
      <c r="N42" s="16"/>
      <c r="O42" s="16"/>
      <c r="P42" s="16"/>
      <c r="Q42" s="16"/>
      <c r="R42" s="16"/>
      <c r="S42" s="16"/>
      <c r="T42" s="16"/>
      <c r="U42" s="16"/>
      <c r="V42" s="16"/>
      <c r="W42" s="16"/>
      <c r="X42" s="16"/>
      <c r="Y42" s="16"/>
      <c r="Z42" s="16"/>
      <c r="AA42" s="16"/>
      <c r="AB42" s="16"/>
      <c r="AC42" s="16"/>
    </row>
    <row r="43">
      <c r="A43" s="22" t="str">
        <f t="array" ref="A43">IF(E43="","",IFERROR(INDEX(CONFIGURACION!C:C,MATCH(E43,CONFIGURACION!E:E,0)),""))
</f>
        <v/>
      </c>
      <c r="B43" s="22" t="str">
        <f t="array" ref="B43">IF(E43="","",IFERROR(INDEX(CONFIGURACION!D:D,MATCH(E43,CONFIGURACION!E:E,0)),""))
</f>
        <v/>
      </c>
      <c r="C43" s="31"/>
      <c r="D43" s="9"/>
      <c r="E43" s="6"/>
      <c r="F43" s="24"/>
      <c r="G43" s="9"/>
      <c r="H43" s="32"/>
      <c r="I43" s="33" t="str">
        <f>IFERROR(__xludf.DUMMYFUNCTION("IF(F43="""","""",LET(
  nombre, TRIM(F43),
  primer, REGEXEXTRACT(nombre, ""^\S+""),
  resto, TRIM(REGEXREPLACE(nombre, ""^\S+\s*"", """")),
  iniciales, IF(
    resto="""",
    """",
    TEXTJOIN("""",1,ARRAYFORMULA(LEFT(SPLIT(resto,"" ""),1) &amp; "".""))
 "&amp;" ),
  UPPER(primer) &amp; "" "" &amp; UPPER(iniciales)
))"),"")</f>
        <v/>
      </c>
      <c r="J43" s="33" t="str">
        <f>IFERROR(__xludf.DUMMYFUNCTION("IF(H43="""","""",IFERROR(
IF(REGEXMATCH(E43,""VELOCIDAD""),
   IF(H43&gt;=MAX(INDEX(BAREMOS!F:X,MATCH(1,(BAREMOS!A:A=A43)*(BAREMOS!B:B=B43)*(BAREMOS!C:C=C43)*(BAREMOS!D:D=D43),0),0)),1,
      IF(H43&lt;=MIN(INDEX(BAREMOS!F:X,MATCH(1,(BAREMOS!A:A=A43)*(BAREMOS!B"&amp;":B=B43)*(BAREMOS!C:C=C43)*(BAREMOS!D:D=D43),0),0)),19,
         MATCH(H43,INDEX(BAREMOS!F:X,MATCH(1,(BAREMOS!A:A=A43)*(BAREMOS!B:B=B43)*(BAREMOS!C:C=C43)*(BAREMOS!D:D=D43),0),0),-1)
      )
   ),
   IF(H43&lt;=MIN(INDEX(BAREMOS!F:X,MATCH(1,(BAREMOS!A:A=A43)*"&amp;"(BAREMOS!B:B=B43)*(BAREMOS!C:C=C43)*(BAREMOS!D:D=D43),0),0)),1,
      IF(H43&gt;=MAX(INDEX(BAREMOS!F:X,MATCH(1,(BAREMOS!A:A=A43)*(BAREMOS!B:B=B43)*(BAREMOS!C:C=C43)*(BAREMOS!D:D=D43),0),0)),19,
         MATCH(H43,INDEX(BAREMOS!F:X,MATCH(1,(BAREMOS!A:A=A43)*("&amp;"BAREMOS!B:B=B43)*(BAREMOS!C:C=C43)*(BAREMOS!D:D=D43),0),0),1)
      )
   )
)
,""""))
"),"")</f>
        <v/>
      </c>
      <c r="K43" s="34" t="str">
        <f t="shared" si="1"/>
        <v/>
      </c>
      <c r="L43" s="16"/>
      <c r="M43" s="16"/>
      <c r="N43" s="16"/>
      <c r="O43" s="16"/>
      <c r="P43" s="16"/>
      <c r="Q43" s="16"/>
      <c r="R43" s="16"/>
      <c r="S43" s="16"/>
      <c r="T43" s="16"/>
      <c r="U43" s="16"/>
      <c r="V43" s="16"/>
      <c r="W43" s="16"/>
      <c r="X43" s="16"/>
      <c r="Y43" s="16"/>
      <c r="Z43" s="16"/>
      <c r="AA43" s="16"/>
      <c r="AB43" s="16"/>
      <c r="AC43" s="16"/>
    </row>
    <row r="44">
      <c r="A44" s="22" t="str">
        <f t="array" ref="A44">IF(E44="","",IFERROR(INDEX(CONFIGURACION!C:C,MATCH(E44,CONFIGURACION!E:E,0)),""))
</f>
        <v/>
      </c>
      <c r="B44" s="22" t="str">
        <f t="array" ref="B44">IF(E44="","",IFERROR(INDEX(CONFIGURACION!D:D,MATCH(E44,CONFIGURACION!E:E,0)),""))
</f>
        <v/>
      </c>
      <c r="C44" s="31"/>
      <c r="D44" s="9"/>
      <c r="E44" s="6"/>
      <c r="F44" s="24"/>
      <c r="G44" s="9"/>
      <c r="H44" s="32"/>
      <c r="I44" s="33" t="str">
        <f>IFERROR(__xludf.DUMMYFUNCTION("IF(F44="""","""",LET(
  nombre, TRIM(F44),
  primer, REGEXEXTRACT(nombre, ""^\S+""),
  resto, TRIM(REGEXREPLACE(nombre, ""^\S+\s*"", """")),
  iniciales, IF(
    resto="""",
    """",
    TEXTJOIN("""",1,ARRAYFORMULA(LEFT(SPLIT(resto,"" ""),1) &amp; "".""))
 "&amp;" ),
  UPPER(primer) &amp; "" "" &amp; UPPER(iniciales)
))"),"")</f>
        <v/>
      </c>
      <c r="J44" s="33" t="str">
        <f>IFERROR(__xludf.DUMMYFUNCTION("IF(H44="""","""",IFERROR(
IF(REGEXMATCH(E44,""VELOCIDAD""),
   IF(H44&gt;=MAX(INDEX(BAREMOS!F:X,MATCH(1,(BAREMOS!A:A=A44)*(BAREMOS!B:B=B44)*(BAREMOS!C:C=C44)*(BAREMOS!D:D=D44),0),0)),1,
      IF(H44&lt;=MIN(INDEX(BAREMOS!F:X,MATCH(1,(BAREMOS!A:A=A44)*(BAREMOS!B"&amp;":B=B44)*(BAREMOS!C:C=C44)*(BAREMOS!D:D=D44),0),0)),19,
         MATCH(H44,INDEX(BAREMOS!F:X,MATCH(1,(BAREMOS!A:A=A44)*(BAREMOS!B:B=B44)*(BAREMOS!C:C=C44)*(BAREMOS!D:D=D44),0),0),-1)
      )
   ),
   IF(H44&lt;=MIN(INDEX(BAREMOS!F:X,MATCH(1,(BAREMOS!A:A=A44)*"&amp;"(BAREMOS!B:B=B44)*(BAREMOS!C:C=C44)*(BAREMOS!D:D=D44),0),0)),1,
      IF(H44&gt;=MAX(INDEX(BAREMOS!F:X,MATCH(1,(BAREMOS!A:A=A44)*(BAREMOS!B:B=B44)*(BAREMOS!C:C=C44)*(BAREMOS!D:D=D44),0),0)),19,
         MATCH(H44,INDEX(BAREMOS!F:X,MATCH(1,(BAREMOS!A:A=A44)*("&amp;"BAREMOS!B:B=B44)*(BAREMOS!C:C=C44)*(BAREMOS!D:D=D44),0),0),1)
      )
   )
)
,""""))
"),"")</f>
        <v/>
      </c>
      <c r="K44" s="34" t="str">
        <f t="shared" si="1"/>
        <v/>
      </c>
      <c r="L44" s="16"/>
      <c r="M44" s="16"/>
      <c r="N44" s="16"/>
      <c r="O44" s="16"/>
      <c r="P44" s="16"/>
      <c r="Q44" s="16"/>
      <c r="R44" s="16"/>
      <c r="S44" s="16"/>
      <c r="T44" s="16"/>
      <c r="U44" s="16"/>
      <c r="V44" s="16"/>
      <c r="W44" s="16"/>
      <c r="X44" s="16"/>
      <c r="Y44" s="16"/>
      <c r="Z44" s="16"/>
      <c r="AA44" s="16"/>
      <c r="AB44" s="16"/>
      <c r="AC44" s="16"/>
    </row>
    <row r="45">
      <c r="A45" s="22" t="str">
        <f t="array" ref="A45">IF(E45="","",IFERROR(INDEX(CONFIGURACION!C:C,MATCH(E45,CONFIGURACION!E:E,0)),""))
</f>
        <v/>
      </c>
      <c r="B45" s="22" t="str">
        <f t="array" ref="B45">IF(E45="","",IFERROR(INDEX(CONFIGURACION!D:D,MATCH(E45,CONFIGURACION!E:E,0)),""))
</f>
        <v/>
      </c>
      <c r="C45" s="31"/>
      <c r="D45" s="9"/>
      <c r="E45" s="6"/>
      <c r="F45" s="24"/>
      <c r="G45" s="9"/>
      <c r="H45" s="32"/>
      <c r="I45" s="33" t="str">
        <f>IFERROR(__xludf.DUMMYFUNCTION("IF(F45="""","""",LET(
  nombre, TRIM(F45),
  primer, REGEXEXTRACT(nombre, ""^\S+""),
  resto, TRIM(REGEXREPLACE(nombre, ""^\S+\s*"", """")),
  iniciales, IF(
    resto="""",
    """",
    TEXTJOIN("""",1,ARRAYFORMULA(LEFT(SPLIT(resto,"" ""),1) &amp; "".""))
 "&amp;" ),
  UPPER(primer) &amp; "" "" &amp; UPPER(iniciales)
))"),"")</f>
        <v/>
      </c>
      <c r="J45" s="33" t="str">
        <f>IFERROR(__xludf.DUMMYFUNCTION("IF(H45="""","""",IFERROR(
IF(REGEXMATCH(E45,""VELOCIDAD""),
   IF(H45&gt;=MAX(INDEX(BAREMOS!F:X,MATCH(1,(BAREMOS!A:A=A45)*(BAREMOS!B:B=B45)*(BAREMOS!C:C=C45)*(BAREMOS!D:D=D45),0),0)),1,
      IF(H45&lt;=MIN(INDEX(BAREMOS!F:X,MATCH(1,(BAREMOS!A:A=A45)*(BAREMOS!B"&amp;":B=B45)*(BAREMOS!C:C=C45)*(BAREMOS!D:D=D45),0),0)),19,
         MATCH(H45,INDEX(BAREMOS!F:X,MATCH(1,(BAREMOS!A:A=A45)*(BAREMOS!B:B=B45)*(BAREMOS!C:C=C45)*(BAREMOS!D:D=D45),0),0),-1)
      )
   ),
   IF(H45&lt;=MIN(INDEX(BAREMOS!F:X,MATCH(1,(BAREMOS!A:A=A45)*"&amp;"(BAREMOS!B:B=B45)*(BAREMOS!C:C=C45)*(BAREMOS!D:D=D45),0),0)),1,
      IF(H45&gt;=MAX(INDEX(BAREMOS!F:X,MATCH(1,(BAREMOS!A:A=A45)*(BAREMOS!B:B=B45)*(BAREMOS!C:C=C45)*(BAREMOS!D:D=D45),0),0)),19,
         MATCH(H45,INDEX(BAREMOS!F:X,MATCH(1,(BAREMOS!A:A=A45)*("&amp;"BAREMOS!B:B=B45)*(BAREMOS!C:C=C45)*(BAREMOS!D:D=D45),0),0),1)
      )
   )
)
,""""))
"),"")</f>
        <v/>
      </c>
      <c r="K45" s="34" t="str">
        <f t="shared" si="1"/>
        <v/>
      </c>
      <c r="L45" s="16"/>
      <c r="M45" s="16"/>
      <c r="N45" s="16"/>
      <c r="O45" s="16"/>
      <c r="P45" s="16"/>
      <c r="Q45" s="16"/>
      <c r="R45" s="16"/>
      <c r="S45" s="16"/>
      <c r="T45" s="16"/>
      <c r="U45" s="16"/>
      <c r="V45" s="16"/>
      <c r="W45" s="16"/>
      <c r="X45" s="16"/>
      <c r="Y45" s="16"/>
      <c r="Z45" s="16"/>
      <c r="AA45" s="16"/>
      <c r="AB45" s="16"/>
      <c r="AC45" s="16"/>
    </row>
    <row r="46">
      <c r="A46" s="22" t="str">
        <f t="array" ref="A46">IF(E46="","",IFERROR(INDEX(CONFIGURACION!C:C,MATCH(E46,CONFIGURACION!E:E,0)),""))
</f>
        <v/>
      </c>
      <c r="B46" s="22" t="str">
        <f t="array" ref="B46">IF(E46="","",IFERROR(INDEX(CONFIGURACION!D:D,MATCH(E46,CONFIGURACION!E:E,0)),""))
</f>
        <v/>
      </c>
      <c r="C46" s="31"/>
      <c r="D46" s="9"/>
      <c r="E46" s="6"/>
      <c r="F46" s="24"/>
      <c r="G46" s="9"/>
      <c r="H46" s="32"/>
      <c r="I46" s="33" t="str">
        <f>IFERROR(__xludf.DUMMYFUNCTION("IF(F46="""","""",LET(
  nombre, TRIM(F46),
  primer, REGEXEXTRACT(nombre, ""^\S+""),
  resto, TRIM(REGEXREPLACE(nombre, ""^\S+\s*"", """")),
  iniciales, IF(
    resto="""",
    """",
    TEXTJOIN("""",1,ARRAYFORMULA(LEFT(SPLIT(resto,"" ""),1) &amp; "".""))
 "&amp;" ),
  UPPER(primer) &amp; "" "" &amp; UPPER(iniciales)
))"),"")</f>
        <v/>
      </c>
      <c r="J46" s="33" t="str">
        <f>IFERROR(__xludf.DUMMYFUNCTION("IF(H46="""","""",IFERROR(
IF(REGEXMATCH(E46,""VELOCIDAD""),
   IF(H46&gt;=MAX(INDEX(BAREMOS!F:X,MATCH(1,(BAREMOS!A:A=A46)*(BAREMOS!B:B=B46)*(BAREMOS!C:C=C46)*(BAREMOS!D:D=D46),0),0)),1,
      IF(H46&lt;=MIN(INDEX(BAREMOS!F:X,MATCH(1,(BAREMOS!A:A=A46)*(BAREMOS!B"&amp;":B=B46)*(BAREMOS!C:C=C46)*(BAREMOS!D:D=D46),0),0)),19,
         MATCH(H46,INDEX(BAREMOS!F:X,MATCH(1,(BAREMOS!A:A=A46)*(BAREMOS!B:B=B46)*(BAREMOS!C:C=C46)*(BAREMOS!D:D=D46),0),0),-1)
      )
   ),
   IF(H46&lt;=MIN(INDEX(BAREMOS!F:X,MATCH(1,(BAREMOS!A:A=A46)*"&amp;"(BAREMOS!B:B=B46)*(BAREMOS!C:C=C46)*(BAREMOS!D:D=D46),0),0)),1,
      IF(H46&gt;=MAX(INDEX(BAREMOS!F:X,MATCH(1,(BAREMOS!A:A=A46)*(BAREMOS!B:B=B46)*(BAREMOS!C:C=C46)*(BAREMOS!D:D=D46),0),0)),19,
         MATCH(H46,INDEX(BAREMOS!F:X,MATCH(1,(BAREMOS!A:A=A46)*("&amp;"BAREMOS!B:B=B46)*(BAREMOS!C:C=C46)*(BAREMOS!D:D=D46),0),0),1)
      )
   )
)
,""""))
"),"")</f>
        <v/>
      </c>
      <c r="K46" s="34" t="str">
        <f t="shared" si="1"/>
        <v/>
      </c>
      <c r="L46" s="16"/>
      <c r="M46" s="16"/>
      <c r="N46" s="16"/>
      <c r="O46" s="16"/>
      <c r="P46" s="16"/>
      <c r="Q46" s="16"/>
      <c r="R46" s="16"/>
      <c r="S46" s="16"/>
      <c r="T46" s="16"/>
      <c r="U46" s="16"/>
      <c r="V46" s="16"/>
      <c r="W46" s="16"/>
      <c r="X46" s="16"/>
      <c r="Y46" s="16"/>
      <c r="Z46" s="16"/>
      <c r="AA46" s="16"/>
      <c r="AB46" s="16"/>
      <c r="AC46" s="16"/>
    </row>
    <row r="47">
      <c r="A47" s="22" t="str">
        <f t="array" ref="A47">IF(E47="","",IFERROR(INDEX(CONFIGURACION!C:C,MATCH(E47,CONFIGURACION!E:E,0)),""))
</f>
        <v/>
      </c>
      <c r="B47" s="22" t="str">
        <f t="array" ref="B47">IF(E47="","",IFERROR(INDEX(CONFIGURACION!D:D,MATCH(E47,CONFIGURACION!E:E,0)),""))
</f>
        <v/>
      </c>
      <c r="C47" s="31"/>
      <c r="D47" s="9"/>
      <c r="E47" s="6"/>
      <c r="F47" s="24"/>
      <c r="G47" s="9"/>
      <c r="H47" s="32"/>
      <c r="I47" s="33" t="str">
        <f>IFERROR(__xludf.DUMMYFUNCTION("IF(F47="""","""",LET(
  nombre, TRIM(F47),
  primer, REGEXEXTRACT(nombre, ""^\S+""),
  resto, TRIM(REGEXREPLACE(nombre, ""^\S+\s*"", """")),
  iniciales, IF(
    resto="""",
    """",
    TEXTJOIN("""",1,ARRAYFORMULA(LEFT(SPLIT(resto,"" ""),1) &amp; "".""))
 "&amp;" ),
  UPPER(primer) &amp; "" "" &amp; UPPER(iniciales)
))"),"")</f>
        <v/>
      </c>
      <c r="J47" s="33" t="str">
        <f>IFERROR(__xludf.DUMMYFUNCTION("IF(H47="""","""",IFERROR(
IF(REGEXMATCH(E47,""VELOCIDAD""),
   IF(H47&gt;=MAX(INDEX(BAREMOS!F:X,MATCH(1,(BAREMOS!A:A=A47)*(BAREMOS!B:B=B47)*(BAREMOS!C:C=C47)*(BAREMOS!D:D=D47),0),0)),1,
      IF(H47&lt;=MIN(INDEX(BAREMOS!F:X,MATCH(1,(BAREMOS!A:A=A47)*(BAREMOS!B"&amp;":B=B47)*(BAREMOS!C:C=C47)*(BAREMOS!D:D=D47),0),0)),19,
         MATCH(H47,INDEX(BAREMOS!F:X,MATCH(1,(BAREMOS!A:A=A47)*(BAREMOS!B:B=B47)*(BAREMOS!C:C=C47)*(BAREMOS!D:D=D47),0),0),-1)
      )
   ),
   IF(H47&lt;=MIN(INDEX(BAREMOS!F:X,MATCH(1,(BAREMOS!A:A=A47)*"&amp;"(BAREMOS!B:B=B47)*(BAREMOS!C:C=C47)*(BAREMOS!D:D=D47),0),0)),1,
      IF(H47&gt;=MAX(INDEX(BAREMOS!F:X,MATCH(1,(BAREMOS!A:A=A47)*(BAREMOS!B:B=B47)*(BAREMOS!C:C=C47)*(BAREMOS!D:D=D47),0),0)),19,
         MATCH(H47,INDEX(BAREMOS!F:X,MATCH(1,(BAREMOS!A:A=A47)*("&amp;"BAREMOS!B:B=B47)*(BAREMOS!C:C=C47)*(BAREMOS!D:D=D47),0),0),1)
      )
   )
)
,""""))
"),"")</f>
        <v/>
      </c>
      <c r="K47" s="34" t="str">
        <f t="shared" si="1"/>
        <v/>
      </c>
      <c r="L47" s="16"/>
      <c r="M47" s="16"/>
      <c r="N47" s="16"/>
      <c r="O47" s="16"/>
      <c r="P47" s="16"/>
      <c r="Q47" s="16"/>
      <c r="R47" s="16"/>
      <c r="S47" s="16"/>
      <c r="T47" s="16"/>
      <c r="U47" s="16"/>
      <c r="V47" s="16"/>
      <c r="W47" s="16"/>
      <c r="X47" s="16"/>
      <c r="Y47" s="16"/>
      <c r="Z47" s="16"/>
      <c r="AA47" s="16"/>
      <c r="AB47" s="16"/>
      <c r="AC47" s="16"/>
    </row>
    <row r="48">
      <c r="A48" s="22" t="str">
        <f t="array" ref="A48">IF(E48="","",IFERROR(INDEX(CONFIGURACION!C:C,MATCH(E48,CONFIGURACION!E:E,0)),""))
</f>
        <v/>
      </c>
      <c r="B48" s="22" t="str">
        <f t="array" ref="B48">IF(E48="","",IFERROR(INDEX(CONFIGURACION!D:D,MATCH(E48,CONFIGURACION!E:E,0)),""))
</f>
        <v/>
      </c>
      <c r="C48" s="31"/>
      <c r="D48" s="9"/>
      <c r="E48" s="6"/>
      <c r="F48" s="24"/>
      <c r="G48" s="9"/>
      <c r="H48" s="32"/>
      <c r="I48" s="33" t="str">
        <f>IFERROR(__xludf.DUMMYFUNCTION("IF(F48="""","""",LET(
  nombre, TRIM(F48),
  primer, REGEXEXTRACT(nombre, ""^\S+""),
  resto, TRIM(REGEXREPLACE(nombre, ""^\S+\s*"", """")),
  iniciales, IF(
    resto="""",
    """",
    TEXTJOIN("""",1,ARRAYFORMULA(LEFT(SPLIT(resto,"" ""),1) &amp; "".""))
 "&amp;" ),
  UPPER(primer) &amp; "" "" &amp; UPPER(iniciales)
))"),"")</f>
        <v/>
      </c>
      <c r="J48" s="33" t="str">
        <f>IFERROR(__xludf.DUMMYFUNCTION("IF(H48="""","""",IFERROR(
IF(REGEXMATCH(E48,""VELOCIDAD""),
   IF(H48&gt;=MAX(INDEX(BAREMOS!F:X,MATCH(1,(BAREMOS!A:A=A48)*(BAREMOS!B:B=B48)*(BAREMOS!C:C=C48)*(BAREMOS!D:D=D48),0),0)),1,
      IF(H48&lt;=MIN(INDEX(BAREMOS!F:X,MATCH(1,(BAREMOS!A:A=A48)*(BAREMOS!B"&amp;":B=B48)*(BAREMOS!C:C=C48)*(BAREMOS!D:D=D48),0),0)),19,
         MATCH(H48,INDEX(BAREMOS!F:X,MATCH(1,(BAREMOS!A:A=A48)*(BAREMOS!B:B=B48)*(BAREMOS!C:C=C48)*(BAREMOS!D:D=D48),0),0),-1)
      )
   ),
   IF(H48&lt;=MIN(INDEX(BAREMOS!F:X,MATCH(1,(BAREMOS!A:A=A48)*"&amp;"(BAREMOS!B:B=B48)*(BAREMOS!C:C=C48)*(BAREMOS!D:D=D48),0),0)),1,
      IF(H48&gt;=MAX(INDEX(BAREMOS!F:X,MATCH(1,(BAREMOS!A:A=A48)*(BAREMOS!B:B=B48)*(BAREMOS!C:C=C48)*(BAREMOS!D:D=D48),0),0)),19,
         MATCH(H48,INDEX(BAREMOS!F:X,MATCH(1,(BAREMOS!A:A=A48)*("&amp;"BAREMOS!B:B=B48)*(BAREMOS!C:C=C48)*(BAREMOS!D:D=D48),0),0),1)
      )
   )
)
,""""))
"),"")</f>
        <v/>
      </c>
      <c r="K48" s="34" t="str">
        <f t="shared" si="1"/>
        <v/>
      </c>
      <c r="L48" s="16"/>
      <c r="M48" s="16"/>
      <c r="N48" s="16"/>
      <c r="O48" s="16"/>
      <c r="P48" s="16"/>
      <c r="Q48" s="16"/>
      <c r="R48" s="16"/>
      <c r="S48" s="16"/>
      <c r="T48" s="16"/>
      <c r="U48" s="16"/>
      <c r="V48" s="16"/>
      <c r="W48" s="16"/>
      <c r="X48" s="16"/>
      <c r="Y48" s="16"/>
      <c r="Z48" s="16"/>
      <c r="AA48" s="16"/>
      <c r="AB48" s="16"/>
      <c r="AC48" s="16"/>
    </row>
    <row r="49">
      <c r="A49" s="22" t="str">
        <f t="array" ref="A49">IF(E49="","",IFERROR(INDEX(CONFIGURACION!C:C,MATCH(E49,CONFIGURACION!E:E,0)),""))
</f>
        <v/>
      </c>
      <c r="B49" s="22" t="str">
        <f t="array" ref="B49">IF(E49="","",IFERROR(INDEX(CONFIGURACION!D:D,MATCH(E49,CONFIGURACION!E:E,0)),""))
</f>
        <v/>
      </c>
      <c r="C49" s="31"/>
      <c r="D49" s="9"/>
      <c r="E49" s="6"/>
      <c r="F49" s="24"/>
      <c r="G49" s="9"/>
      <c r="H49" s="32"/>
      <c r="I49" s="33" t="str">
        <f>IFERROR(__xludf.DUMMYFUNCTION("IF(F49="""","""",LET(
  nombre, TRIM(F49),
  primer, REGEXEXTRACT(nombre, ""^\S+""),
  resto, TRIM(REGEXREPLACE(nombre, ""^\S+\s*"", """")),
  iniciales, IF(
    resto="""",
    """",
    TEXTJOIN("""",1,ARRAYFORMULA(LEFT(SPLIT(resto,"" ""),1) &amp; "".""))
 "&amp;" ),
  UPPER(primer) &amp; "" "" &amp; UPPER(iniciales)
))"),"")</f>
        <v/>
      </c>
      <c r="J49" s="33" t="str">
        <f>IFERROR(__xludf.DUMMYFUNCTION("IF(H49="""","""",IFERROR(
IF(REGEXMATCH(E49,""VELOCIDAD""),
   IF(H49&gt;=MAX(INDEX(BAREMOS!F:X,MATCH(1,(BAREMOS!A:A=A49)*(BAREMOS!B:B=B49)*(BAREMOS!C:C=C49)*(BAREMOS!D:D=D49),0),0)),1,
      IF(H49&lt;=MIN(INDEX(BAREMOS!F:X,MATCH(1,(BAREMOS!A:A=A49)*(BAREMOS!B"&amp;":B=B49)*(BAREMOS!C:C=C49)*(BAREMOS!D:D=D49),0),0)),19,
         MATCH(H49,INDEX(BAREMOS!F:X,MATCH(1,(BAREMOS!A:A=A49)*(BAREMOS!B:B=B49)*(BAREMOS!C:C=C49)*(BAREMOS!D:D=D49),0),0),-1)
      )
   ),
   IF(H49&lt;=MIN(INDEX(BAREMOS!F:X,MATCH(1,(BAREMOS!A:A=A49)*"&amp;"(BAREMOS!B:B=B49)*(BAREMOS!C:C=C49)*(BAREMOS!D:D=D49),0),0)),1,
      IF(H49&gt;=MAX(INDEX(BAREMOS!F:X,MATCH(1,(BAREMOS!A:A=A49)*(BAREMOS!B:B=B49)*(BAREMOS!C:C=C49)*(BAREMOS!D:D=D49),0),0)),19,
         MATCH(H49,INDEX(BAREMOS!F:X,MATCH(1,(BAREMOS!A:A=A49)*("&amp;"BAREMOS!B:B=B49)*(BAREMOS!C:C=C49)*(BAREMOS!D:D=D49),0),0),1)
      )
   )
)
,""""))
"),"")</f>
        <v/>
      </c>
      <c r="K49" s="34" t="str">
        <f t="shared" si="1"/>
        <v/>
      </c>
      <c r="L49" s="16"/>
      <c r="M49" s="16"/>
      <c r="N49" s="16"/>
      <c r="O49" s="16"/>
      <c r="P49" s="16"/>
      <c r="Q49" s="16"/>
      <c r="R49" s="16"/>
      <c r="S49" s="16"/>
      <c r="T49" s="16"/>
      <c r="U49" s="16"/>
      <c r="V49" s="16"/>
      <c r="W49" s="16"/>
      <c r="X49" s="16"/>
      <c r="Y49" s="16"/>
      <c r="Z49" s="16"/>
      <c r="AA49" s="16"/>
      <c r="AB49" s="16"/>
      <c r="AC49" s="16"/>
    </row>
    <row r="50">
      <c r="A50" s="22" t="str">
        <f t="array" ref="A50">IF(E50="","",IFERROR(INDEX(CONFIGURACION!C:C,MATCH(E50,CONFIGURACION!E:E,0)),""))
</f>
        <v/>
      </c>
      <c r="B50" s="22" t="str">
        <f t="array" ref="B50">IF(E50="","",IFERROR(INDEX(CONFIGURACION!D:D,MATCH(E50,CONFIGURACION!E:E,0)),""))
</f>
        <v/>
      </c>
      <c r="C50" s="31"/>
      <c r="D50" s="9"/>
      <c r="E50" s="6"/>
      <c r="F50" s="24"/>
      <c r="G50" s="9"/>
      <c r="H50" s="32"/>
      <c r="I50" s="33" t="str">
        <f>IFERROR(__xludf.DUMMYFUNCTION("IF(F50="""","""",LET(
  nombre, TRIM(F50),
  primer, REGEXEXTRACT(nombre, ""^\S+""),
  resto, TRIM(REGEXREPLACE(nombre, ""^\S+\s*"", """")),
  iniciales, IF(
    resto="""",
    """",
    TEXTJOIN("""",1,ARRAYFORMULA(LEFT(SPLIT(resto,"" ""),1) &amp; "".""))
 "&amp;" ),
  UPPER(primer) &amp; "" "" &amp; UPPER(iniciales)
))"),"")</f>
        <v/>
      </c>
      <c r="J50" s="33" t="str">
        <f>IFERROR(__xludf.DUMMYFUNCTION("IF(H50="""","""",IFERROR(
IF(REGEXMATCH(E50,""VELOCIDAD""),
   IF(H50&gt;=MAX(INDEX(BAREMOS!F:X,MATCH(1,(BAREMOS!A:A=A50)*(BAREMOS!B:B=B50)*(BAREMOS!C:C=C50)*(BAREMOS!D:D=D50),0),0)),1,
      IF(H50&lt;=MIN(INDEX(BAREMOS!F:X,MATCH(1,(BAREMOS!A:A=A50)*(BAREMOS!B"&amp;":B=B50)*(BAREMOS!C:C=C50)*(BAREMOS!D:D=D50),0),0)),19,
         MATCH(H50,INDEX(BAREMOS!F:X,MATCH(1,(BAREMOS!A:A=A50)*(BAREMOS!B:B=B50)*(BAREMOS!C:C=C50)*(BAREMOS!D:D=D50),0),0),-1)
      )
   ),
   IF(H50&lt;=MIN(INDEX(BAREMOS!F:X,MATCH(1,(BAREMOS!A:A=A50)*"&amp;"(BAREMOS!B:B=B50)*(BAREMOS!C:C=C50)*(BAREMOS!D:D=D50),0),0)),1,
      IF(H50&gt;=MAX(INDEX(BAREMOS!F:X,MATCH(1,(BAREMOS!A:A=A50)*(BAREMOS!B:B=B50)*(BAREMOS!C:C=C50)*(BAREMOS!D:D=D50),0),0)),19,
         MATCH(H50,INDEX(BAREMOS!F:X,MATCH(1,(BAREMOS!A:A=A50)*("&amp;"BAREMOS!B:B=B50)*(BAREMOS!C:C=C50)*(BAREMOS!D:D=D50),0),0),1)
      )
   )
)
,""""))
"),"")</f>
        <v/>
      </c>
      <c r="K50" s="34" t="str">
        <f t="shared" si="1"/>
        <v/>
      </c>
      <c r="L50" s="16"/>
      <c r="M50" s="16"/>
      <c r="N50" s="16"/>
      <c r="O50" s="16"/>
      <c r="P50" s="16"/>
      <c r="Q50" s="16"/>
      <c r="R50" s="16"/>
      <c r="S50" s="16"/>
      <c r="T50" s="16"/>
      <c r="U50" s="16"/>
      <c r="V50" s="16"/>
      <c r="W50" s="16"/>
      <c r="X50" s="16"/>
      <c r="Y50" s="16"/>
      <c r="Z50" s="16"/>
      <c r="AA50" s="16"/>
      <c r="AB50" s="16"/>
      <c r="AC50" s="16"/>
    </row>
    <row r="51">
      <c r="A51" s="22" t="str">
        <f t="array" ref="A51">IF(E51="","",IFERROR(INDEX(CONFIGURACION!C:C,MATCH(E51,CONFIGURACION!E:E,0)),""))
</f>
        <v/>
      </c>
      <c r="B51" s="22" t="str">
        <f t="array" ref="B51">IF(E51="","",IFERROR(INDEX(CONFIGURACION!D:D,MATCH(E51,CONFIGURACION!E:E,0)),""))
</f>
        <v/>
      </c>
      <c r="C51" s="31"/>
      <c r="D51" s="9"/>
      <c r="E51" s="6"/>
      <c r="F51" s="24"/>
      <c r="G51" s="9"/>
      <c r="H51" s="32"/>
      <c r="I51" s="33" t="str">
        <f>IFERROR(__xludf.DUMMYFUNCTION("IF(F51="""","""",LET(
  nombre, TRIM(F51),
  primer, REGEXEXTRACT(nombre, ""^\S+""),
  resto, TRIM(REGEXREPLACE(nombre, ""^\S+\s*"", """")),
  iniciales, IF(
    resto="""",
    """",
    TEXTJOIN("""",1,ARRAYFORMULA(LEFT(SPLIT(resto,"" ""),1) &amp; "".""))
 "&amp;" ),
  UPPER(primer) &amp; "" "" &amp; UPPER(iniciales)
))"),"")</f>
        <v/>
      </c>
      <c r="J51" s="33" t="str">
        <f>IFERROR(__xludf.DUMMYFUNCTION("IF(H51="""","""",IFERROR(
IF(REGEXMATCH(E51,""VELOCIDAD""),
   IF(H51&gt;=MAX(INDEX(BAREMOS!F:X,MATCH(1,(BAREMOS!A:A=A51)*(BAREMOS!B:B=B51)*(BAREMOS!C:C=C51)*(BAREMOS!D:D=D51),0),0)),1,
      IF(H51&lt;=MIN(INDEX(BAREMOS!F:X,MATCH(1,(BAREMOS!A:A=A51)*(BAREMOS!B"&amp;":B=B51)*(BAREMOS!C:C=C51)*(BAREMOS!D:D=D51),0),0)),19,
         MATCH(H51,INDEX(BAREMOS!F:X,MATCH(1,(BAREMOS!A:A=A51)*(BAREMOS!B:B=B51)*(BAREMOS!C:C=C51)*(BAREMOS!D:D=D51),0),0),-1)
      )
   ),
   IF(H51&lt;=MIN(INDEX(BAREMOS!F:X,MATCH(1,(BAREMOS!A:A=A51)*"&amp;"(BAREMOS!B:B=B51)*(BAREMOS!C:C=C51)*(BAREMOS!D:D=D51),0),0)),1,
      IF(H51&gt;=MAX(INDEX(BAREMOS!F:X,MATCH(1,(BAREMOS!A:A=A51)*(BAREMOS!B:B=B51)*(BAREMOS!C:C=C51)*(BAREMOS!D:D=D51),0),0)),19,
         MATCH(H51,INDEX(BAREMOS!F:X,MATCH(1,(BAREMOS!A:A=A51)*("&amp;"BAREMOS!B:B=B51)*(BAREMOS!C:C=C51)*(BAREMOS!D:D=D51),0),0),1)
      )
   )
)
,""""))
"),"")</f>
        <v/>
      </c>
      <c r="K51" s="34" t="str">
        <f t="shared" si="1"/>
        <v/>
      </c>
      <c r="L51" s="16"/>
      <c r="M51" s="16"/>
      <c r="N51" s="16"/>
      <c r="O51" s="16"/>
      <c r="P51" s="16"/>
      <c r="Q51" s="16"/>
      <c r="R51" s="16"/>
      <c r="S51" s="16"/>
      <c r="T51" s="16"/>
      <c r="U51" s="16"/>
      <c r="V51" s="16"/>
      <c r="W51" s="16"/>
      <c r="X51" s="16"/>
      <c r="Y51" s="16"/>
      <c r="Z51" s="16"/>
      <c r="AA51" s="16"/>
      <c r="AB51" s="16"/>
      <c r="AC51" s="16"/>
    </row>
    <row r="52">
      <c r="A52" s="22" t="str">
        <f t="array" ref="A52">IF(E52="","",IFERROR(INDEX(CONFIGURACION!C:C,MATCH(E52,CONFIGURACION!E:E,0)),""))
</f>
        <v/>
      </c>
      <c r="B52" s="22" t="str">
        <f t="array" ref="B52">IF(E52="","",IFERROR(INDEX(CONFIGURACION!D:D,MATCH(E52,CONFIGURACION!E:E,0)),""))
</f>
        <v/>
      </c>
      <c r="C52" s="31"/>
      <c r="D52" s="9"/>
      <c r="E52" s="6"/>
      <c r="F52" s="24"/>
      <c r="G52" s="9"/>
      <c r="H52" s="32"/>
      <c r="I52" s="33" t="str">
        <f>IFERROR(__xludf.DUMMYFUNCTION("IF(F52="""","""",LET(
  nombre, TRIM(F52),
  primer, REGEXEXTRACT(nombre, ""^\S+""),
  resto, TRIM(REGEXREPLACE(nombre, ""^\S+\s*"", """")),
  iniciales, IF(
    resto="""",
    """",
    TEXTJOIN("""",1,ARRAYFORMULA(LEFT(SPLIT(resto,"" ""),1) &amp; "".""))
 "&amp;" ),
  UPPER(primer) &amp; "" "" &amp; UPPER(iniciales)
))"),"")</f>
        <v/>
      </c>
      <c r="J52" s="33" t="str">
        <f>IFERROR(__xludf.DUMMYFUNCTION("IF(H52="""","""",IFERROR(
IF(REGEXMATCH(E52,""VELOCIDAD""),
   IF(H52&gt;=MAX(INDEX(BAREMOS!F:X,MATCH(1,(BAREMOS!A:A=A52)*(BAREMOS!B:B=B52)*(BAREMOS!C:C=C52)*(BAREMOS!D:D=D52),0),0)),1,
      IF(H52&lt;=MIN(INDEX(BAREMOS!F:X,MATCH(1,(BAREMOS!A:A=A52)*(BAREMOS!B"&amp;":B=B52)*(BAREMOS!C:C=C52)*(BAREMOS!D:D=D52),0),0)),19,
         MATCH(H52,INDEX(BAREMOS!F:X,MATCH(1,(BAREMOS!A:A=A52)*(BAREMOS!B:B=B52)*(BAREMOS!C:C=C52)*(BAREMOS!D:D=D52),0),0),-1)
      )
   ),
   IF(H52&lt;=MIN(INDEX(BAREMOS!F:X,MATCH(1,(BAREMOS!A:A=A52)*"&amp;"(BAREMOS!B:B=B52)*(BAREMOS!C:C=C52)*(BAREMOS!D:D=D52),0),0)),1,
      IF(H52&gt;=MAX(INDEX(BAREMOS!F:X,MATCH(1,(BAREMOS!A:A=A52)*(BAREMOS!B:B=B52)*(BAREMOS!C:C=C52)*(BAREMOS!D:D=D52),0),0)),19,
         MATCH(H52,INDEX(BAREMOS!F:X,MATCH(1,(BAREMOS!A:A=A52)*("&amp;"BAREMOS!B:B=B52)*(BAREMOS!C:C=C52)*(BAREMOS!D:D=D52),0),0),1)
      )
   )
)
,""""))
"),"")</f>
        <v/>
      </c>
      <c r="K52" s="34" t="str">
        <f t="shared" si="1"/>
        <v/>
      </c>
      <c r="L52" s="16"/>
      <c r="M52" s="16"/>
      <c r="N52" s="16"/>
      <c r="O52" s="16"/>
      <c r="P52" s="16"/>
      <c r="Q52" s="16"/>
      <c r="R52" s="16"/>
      <c r="S52" s="16"/>
      <c r="T52" s="16"/>
      <c r="U52" s="16"/>
      <c r="V52" s="16"/>
      <c r="W52" s="16"/>
      <c r="X52" s="16"/>
      <c r="Y52" s="16"/>
      <c r="Z52" s="16"/>
      <c r="AA52" s="16"/>
      <c r="AB52" s="16"/>
      <c r="AC52" s="16"/>
    </row>
    <row r="53">
      <c r="A53" s="22" t="str">
        <f t="array" ref="A53">IF(E53="","",IFERROR(INDEX(CONFIGURACION!C:C,MATCH(E53,CONFIGURACION!E:E,0)),""))
</f>
        <v/>
      </c>
      <c r="B53" s="22" t="str">
        <f t="array" ref="B53">IF(E53="","",IFERROR(INDEX(CONFIGURACION!D:D,MATCH(E53,CONFIGURACION!E:E,0)),""))
</f>
        <v/>
      </c>
      <c r="C53" s="31"/>
      <c r="D53" s="9"/>
      <c r="E53" s="6"/>
      <c r="F53" s="24"/>
      <c r="G53" s="9"/>
      <c r="H53" s="32"/>
      <c r="I53" s="33" t="str">
        <f>IFERROR(__xludf.DUMMYFUNCTION("IF(F53="""","""",LET(
  nombre, TRIM(F53),
  primer, REGEXEXTRACT(nombre, ""^\S+""),
  resto, TRIM(REGEXREPLACE(nombre, ""^\S+\s*"", """")),
  iniciales, IF(
    resto="""",
    """",
    TEXTJOIN("""",1,ARRAYFORMULA(LEFT(SPLIT(resto,"" ""),1) &amp; "".""))
 "&amp;" ),
  UPPER(primer) &amp; "" "" &amp; UPPER(iniciales)
))"),"")</f>
        <v/>
      </c>
      <c r="J53" s="33" t="str">
        <f>IFERROR(__xludf.DUMMYFUNCTION("IF(H53="""","""",IFERROR(
IF(REGEXMATCH(E53,""VELOCIDAD""),
   IF(H53&gt;=MAX(INDEX(BAREMOS!F:X,MATCH(1,(BAREMOS!A:A=A53)*(BAREMOS!B:B=B53)*(BAREMOS!C:C=C53)*(BAREMOS!D:D=D53),0),0)),1,
      IF(H53&lt;=MIN(INDEX(BAREMOS!F:X,MATCH(1,(BAREMOS!A:A=A53)*(BAREMOS!B"&amp;":B=B53)*(BAREMOS!C:C=C53)*(BAREMOS!D:D=D53),0),0)),19,
         MATCH(H53,INDEX(BAREMOS!F:X,MATCH(1,(BAREMOS!A:A=A53)*(BAREMOS!B:B=B53)*(BAREMOS!C:C=C53)*(BAREMOS!D:D=D53),0),0),-1)
      )
   ),
   IF(H53&lt;=MIN(INDEX(BAREMOS!F:X,MATCH(1,(BAREMOS!A:A=A53)*"&amp;"(BAREMOS!B:B=B53)*(BAREMOS!C:C=C53)*(BAREMOS!D:D=D53),0),0)),1,
      IF(H53&gt;=MAX(INDEX(BAREMOS!F:X,MATCH(1,(BAREMOS!A:A=A53)*(BAREMOS!B:B=B53)*(BAREMOS!C:C=C53)*(BAREMOS!D:D=D53),0),0)),19,
         MATCH(H53,INDEX(BAREMOS!F:X,MATCH(1,(BAREMOS!A:A=A53)*("&amp;"BAREMOS!B:B=B53)*(BAREMOS!C:C=C53)*(BAREMOS!D:D=D53),0),0),1)
      )
   )
)
,""""))
"),"")</f>
        <v/>
      </c>
      <c r="K53" s="34" t="str">
        <f t="shared" si="1"/>
        <v/>
      </c>
      <c r="L53" s="16"/>
      <c r="M53" s="16"/>
      <c r="N53" s="16"/>
      <c r="O53" s="16"/>
      <c r="P53" s="16"/>
      <c r="Q53" s="16"/>
      <c r="R53" s="16"/>
      <c r="S53" s="16"/>
      <c r="T53" s="16"/>
      <c r="U53" s="16"/>
      <c r="V53" s="16"/>
      <c r="W53" s="16"/>
      <c r="X53" s="16"/>
      <c r="Y53" s="16"/>
      <c r="Z53" s="16"/>
      <c r="AA53" s="16"/>
      <c r="AB53" s="16"/>
      <c r="AC53" s="16"/>
    </row>
    <row r="54">
      <c r="A54" s="22" t="str">
        <f t="array" ref="A54">IF(E54="","",IFERROR(INDEX(CONFIGURACION!C:C,MATCH(E54,CONFIGURACION!E:E,0)),""))
</f>
        <v/>
      </c>
      <c r="B54" s="22" t="str">
        <f t="array" ref="B54">IF(E54="","",IFERROR(INDEX(CONFIGURACION!D:D,MATCH(E54,CONFIGURACION!E:E,0)),""))
</f>
        <v/>
      </c>
      <c r="C54" s="31"/>
      <c r="D54" s="9"/>
      <c r="E54" s="6"/>
      <c r="F54" s="24"/>
      <c r="G54" s="9"/>
      <c r="H54" s="32"/>
      <c r="I54" s="33" t="str">
        <f>IFERROR(__xludf.DUMMYFUNCTION("IF(F54="""","""",LET(
  nombre, TRIM(F54),
  primer, REGEXEXTRACT(nombre, ""^\S+""),
  resto, TRIM(REGEXREPLACE(nombre, ""^\S+\s*"", """")),
  iniciales, IF(
    resto="""",
    """",
    TEXTJOIN("""",1,ARRAYFORMULA(LEFT(SPLIT(resto,"" ""),1) &amp; "".""))
 "&amp;" ),
  UPPER(primer) &amp; "" "" &amp; UPPER(iniciales)
))"),"")</f>
        <v/>
      </c>
      <c r="J54" s="33" t="str">
        <f>IFERROR(__xludf.DUMMYFUNCTION("IF(H54="""","""",IFERROR(
IF(REGEXMATCH(E54,""VELOCIDAD""),
   IF(H54&gt;=MAX(INDEX(BAREMOS!F:X,MATCH(1,(BAREMOS!A:A=A54)*(BAREMOS!B:B=B54)*(BAREMOS!C:C=C54)*(BAREMOS!D:D=D54),0),0)),1,
      IF(H54&lt;=MIN(INDEX(BAREMOS!F:X,MATCH(1,(BAREMOS!A:A=A54)*(BAREMOS!B"&amp;":B=B54)*(BAREMOS!C:C=C54)*(BAREMOS!D:D=D54),0),0)),19,
         MATCH(H54,INDEX(BAREMOS!F:X,MATCH(1,(BAREMOS!A:A=A54)*(BAREMOS!B:B=B54)*(BAREMOS!C:C=C54)*(BAREMOS!D:D=D54),0),0),-1)
      )
   ),
   IF(H54&lt;=MIN(INDEX(BAREMOS!F:X,MATCH(1,(BAREMOS!A:A=A54)*"&amp;"(BAREMOS!B:B=B54)*(BAREMOS!C:C=C54)*(BAREMOS!D:D=D54),0),0)),1,
      IF(H54&gt;=MAX(INDEX(BAREMOS!F:X,MATCH(1,(BAREMOS!A:A=A54)*(BAREMOS!B:B=B54)*(BAREMOS!C:C=C54)*(BAREMOS!D:D=D54),0),0)),19,
         MATCH(H54,INDEX(BAREMOS!F:X,MATCH(1,(BAREMOS!A:A=A54)*("&amp;"BAREMOS!B:B=B54)*(BAREMOS!C:C=C54)*(BAREMOS!D:D=D54),0),0),1)
      )
   )
)
,""""))
"),"")</f>
        <v/>
      </c>
      <c r="K54" s="34" t="str">
        <f t="shared" si="1"/>
        <v/>
      </c>
      <c r="L54" s="16"/>
      <c r="M54" s="16"/>
      <c r="N54" s="16"/>
      <c r="O54" s="16"/>
      <c r="P54" s="16"/>
      <c r="Q54" s="16"/>
      <c r="R54" s="16"/>
      <c r="S54" s="16"/>
      <c r="T54" s="16"/>
      <c r="U54" s="16"/>
      <c r="V54" s="16"/>
      <c r="W54" s="16"/>
      <c r="X54" s="16"/>
      <c r="Y54" s="16"/>
      <c r="Z54" s="16"/>
      <c r="AA54" s="16"/>
      <c r="AB54" s="16"/>
      <c r="AC54" s="16"/>
    </row>
    <row r="55">
      <c r="A55" s="22" t="str">
        <f t="array" ref="A55">IF(E55="","",IFERROR(INDEX(CONFIGURACION!C:C,MATCH(E55,CONFIGURACION!E:E,0)),""))
</f>
        <v/>
      </c>
      <c r="B55" s="22" t="str">
        <f t="array" ref="B55">IF(E55="","",IFERROR(INDEX(CONFIGURACION!D:D,MATCH(E55,CONFIGURACION!E:E,0)),""))
</f>
        <v/>
      </c>
      <c r="C55" s="31"/>
      <c r="D55" s="9"/>
      <c r="E55" s="6"/>
      <c r="F55" s="24"/>
      <c r="G55" s="9"/>
      <c r="H55" s="32"/>
      <c r="I55" s="33" t="str">
        <f>IFERROR(__xludf.DUMMYFUNCTION("IF(F55="""","""",LET(
  nombre, TRIM(F55),
  primer, REGEXEXTRACT(nombre, ""^\S+""),
  resto, TRIM(REGEXREPLACE(nombre, ""^\S+\s*"", """")),
  iniciales, IF(
    resto="""",
    """",
    TEXTJOIN("""",1,ARRAYFORMULA(LEFT(SPLIT(resto,"" ""),1) &amp; "".""))
 "&amp;" ),
  UPPER(primer) &amp; "" "" &amp; UPPER(iniciales)
))"),"")</f>
        <v/>
      </c>
      <c r="J55" s="33" t="str">
        <f>IFERROR(__xludf.DUMMYFUNCTION("IF(H55="""","""",IFERROR(
IF(REGEXMATCH(E55,""VELOCIDAD""),
   IF(H55&gt;=MAX(INDEX(BAREMOS!F:X,MATCH(1,(BAREMOS!A:A=A55)*(BAREMOS!B:B=B55)*(BAREMOS!C:C=C55)*(BAREMOS!D:D=D55),0),0)),1,
      IF(H55&lt;=MIN(INDEX(BAREMOS!F:X,MATCH(1,(BAREMOS!A:A=A55)*(BAREMOS!B"&amp;":B=B55)*(BAREMOS!C:C=C55)*(BAREMOS!D:D=D55),0),0)),19,
         MATCH(H55,INDEX(BAREMOS!F:X,MATCH(1,(BAREMOS!A:A=A55)*(BAREMOS!B:B=B55)*(BAREMOS!C:C=C55)*(BAREMOS!D:D=D55),0),0),-1)
      )
   ),
   IF(H55&lt;=MIN(INDEX(BAREMOS!F:X,MATCH(1,(BAREMOS!A:A=A55)*"&amp;"(BAREMOS!B:B=B55)*(BAREMOS!C:C=C55)*(BAREMOS!D:D=D55),0),0)),1,
      IF(H55&gt;=MAX(INDEX(BAREMOS!F:X,MATCH(1,(BAREMOS!A:A=A55)*(BAREMOS!B:B=B55)*(BAREMOS!C:C=C55)*(BAREMOS!D:D=D55),0),0)),19,
         MATCH(H55,INDEX(BAREMOS!F:X,MATCH(1,(BAREMOS!A:A=A55)*("&amp;"BAREMOS!B:B=B55)*(BAREMOS!C:C=C55)*(BAREMOS!D:D=D55),0),0),1)
      )
   )
)
,""""))
"),"")</f>
        <v/>
      </c>
      <c r="K55" s="34" t="str">
        <f t="shared" si="1"/>
        <v/>
      </c>
      <c r="L55" s="16"/>
      <c r="M55" s="16"/>
      <c r="N55" s="16"/>
      <c r="O55" s="16"/>
      <c r="P55" s="16"/>
      <c r="Q55" s="16"/>
      <c r="R55" s="16"/>
      <c r="S55" s="16"/>
      <c r="T55" s="16"/>
      <c r="U55" s="16"/>
      <c r="V55" s="16"/>
      <c r="W55" s="16"/>
      <c r="X55" s="16"/>
      <c r="Y55" s="16"/>
      <c r="Z55" s="16"/>
      <c r="AA55" s="16"/>
      <c r="AB55" s="16"/>
      <c r="AC55" s="16"/>
    </row>
    <row r="56">
      <c r="A56" s="22" t="str">
        <f t="array" ref="A56">IF(E56="","",IFERROR(INDEX(CONFIGURACION!C:C,MATCH(E56,CONFIGURACION!E:E,0)),""))
</f>
        <v/>
      </c>
      <c r="B56" s="22" t="str">
        <f t="array" ref="B56">IF(E56="","",IFERROR(INDEX(CONFIGURACION!D:D,MATCH(E56,CONFIGURACION!E:E,0)),""))
</f>
        <v/>
      </c>
      <c r="C56" s="31"/>
      <c r="D56" s="9"/>
      <c r="E56" s="6"/>
      <c r="F56" s="24"/>
      <c r="G56" s="9"/>
      <c r="H56" s="32"/>
      <c r="I56" s="33" t="str">
        <f>IFERROR(__xludf.DUMMYFUNCTION("IF(F56="""","""",LET(
  nombre, TRIM(F56),
  primer, REGEXEXTRACT(nombre, ""^\S+""),
  resto, TRIM(REGEXREPLACE(nombre, ""^\S+\s*"", """")),
  iniciales, IF(
    resto="""",
    """",
    TEXTJOIN("""",1,ARRAYFORMULA(LEFT(SPLIT(resto,"" ""),1) &amp; "".""))
 "&amp;" ),
  UPPER(primer) &amp; "" "" &amp; UPPER(iniciales)
))"),"")</f>
        <v/>
      </c>
      <c r="J56" s="33" t="str">
        <f>IFERROR(__xludf.DUMMYFUNCTION("IF(H56="""","""",IFERROR(
IF(REGEXMATCH(E56,""VELOCIDAD""),
   IF(H56&gt;=MAX(INDEX(BAREMOS!F:X,MATCH(1,(BAREMOS!A:A=A56)*(BAREMOS!B:B=B56)*(BAREMOS!C:C=C56)*(BAREMOS!D:D=D56),0),0)),1,
      IF(H56&lt;=MIN(INDEX(BAREMOS!F:X,MATCH(1,(BAREMOS!A:A=A56)*(BAREMOS!B"&amp;":B=B56)*(BAREMOS!C:C=C56)*(BAREMOS!D:D=D56),0),0)),19,
         MATCH(H56,INDEX(BAREMOS!F:X,MATCH(1,(BAREMOS!A:A=A56)*(BAREMOS!B:B=B56)*(BAREMOS!C:C=C56)*(BAREMOS!D:D=D56),0),0),-1)
      )
   ),
   IF(H56&lt;=MIN(INDEX(BAREMOS!F:X,MATCH(1,(BAREMOS!A:A=A56)*"&amp;"(BAREMOS!B:B=B56)*(BAREMOS!C:C=C56)*(BAREMOS!D:D=D56),0),0)),1,
      IF(H56&gt;=MAX(INDEX(BAREMOS!F:X,MATCH(1,(BAREMOS!A:A=A56)*(BAREMOS!B:B=B56)*(BAREMOS!C:C=C56)*(BAREMOS!D:D=D56),0),0)),19,
         MATCH(H56,INDEX(BAREMOS!F:X,MATCH(1,(BAREMOS!A:A=A56)*("&amp;"BAREMOS!B:B=B56)*(BAREMOS!C:C=C56)*(BAREMOS!D:D=D56),0),0),1)
      )
   )
)
,""""))
"),"")</f>
        <v/>
      </c>
      <c r="K56" s="34" t="str">
        <f t="shared" si="1"/>
        <v/>
      </c>
      <c r="L56" s="16"/>
      <c r="M56" s="16"/>
      <c r="N56" s="16"/>
      <c r="O56" s="16"/>
      <c r="P56" s="16"/>
      <c r="Q56" s="16"/>
      <c r="R56" s="16"/>
      <c r="S56" s="16"/>
      <c r="T56" s="16"/>
      <c r="U56" s="16"/>
      <c r="V56" s="16"/>
      <c r="W56" s="16"/>
      <c r="X56" s="16"/>
      <c r="Y56" s="16"/>
      <c r="Z56" s="16"/>
      <c r="AA56" s="16"/>
      <c r="AB56" s="16"/>
      <c r="AC56" s="16"/>
    </row>
    <row r="57">
      <c r="A57" s="22" t="str">
        <f t="array" ref="A57">IF(E57="","",IFERROR(INDEX(CONFIGURACION!C:C,MATCH(E57,CONFIGURACION!E:E,0)),""))
</f>
        <v/>
      </c>
      <c r="B57" s="22" t="str">
        <f t="array" ref="B57">IF(E57="","",IFERROR(INDEX(CONFIGURACION!D:D,MATCH(E57,CONFIGURACION!E:E,0)),""))
</f>
        <v/>
      </c>
      <c r="C57" s="31"/>
      <c r="D57" s="9"/>
      <c r="E57" s="6"/>
      <c r="F57" s="24"/>
      <c r="G57" s="9"/>
      <c r="H57" s="32"/>
      <c r="I57" s="33" t="str">
        <f>IFERROR(__xludf.DUMMYFUNCTION("IF(F57="""","""",LET(
  nombre, TRIM(F57),
  primer, REGEXEXTRACT(nombre, ""^\S+""),
  resto, TRIM(REGEXREPLACE(nombre, ""^\S+\s*"", """")),
  iniciales, IF(
    resto="""",
    """",
    TEXTJOIN("""",1,ARRAYFORMULA(LEFT(SPLIT(resto,"" ""),1) &amp; "".""))
 "&amp;" ),
  UPPER(primer) &amp; "" "" &amp; UPPER(iniciales)
))"),"")</f>
        <v/>
      </c>
      <c r="J57" s="33" t="str">
        <f>IFERROR(__xludf.DUMMYFUNCTION("IF(H57="""","""",IFERROR(
IF(REGEXMATCH(E57,""VELOCIDAD""),
   IF(H57&gt;=MAX(INDEX(BAREMOS!F:X,MATCH(1,(BAREMOS!A:A=A57)*(BAREMOS!B:B=B57)*(BAREMOS!C:C=C57)*(BAREMOS!D:D=D57),0),0)),1,
      IF(H57&lt;=MIN(INDEX(BAREMOS!F:X,MATCH(1,(BAREMOS!A:A=A57)*(BAREMOS!B"&amp;":B=B57)*(BAREMOS!C:C=C57)*(BAREMOS!D:D=D57),0),0)),19,
         MATCH(H57,INDEX(BAREMOS!F:X,MATCH(1,(BAREMOS!A:A=A57)*(BAREMOS!B:B=B57)*(BAREMOS!C:C=C57)*(BAREMOS!D:D=D57),0),0),-1)
      )
   ),
   IF(H57&lt;=MIN(INDEX(BAREMOS!F:X,MATCH(1,(BAREMOS!A:A=A57)*"&amp;"(BAREMOS!B:B=B57)*(BAREMOS!C:C=C57)*(BAREMOS!D:D=D57),0),0)),1,
      IF(H57&gt;=MAX(INDEX(BAREMOS!F:X,MATCH(1,(BAREMOS!A:A=A57)*(BAREMOS!B:B=B57)*(BAREMOS!C:C=C57)*(BAREMOS!D:D=D57),0),0)),19,
         MATCH(H57,INDEX(BAREMOS!F:X,MATCH(1,(BAREMOS!A:A=A57)*("&amp;"BAREMOS!B:B=B57)*(BAREMOS!C:C=C57)*(BAREMOS!D:D=D57),0),0),1)
      )
   )
)
,""""))
"),"")</f>
        <v/>
      </c>
      <c r="K57" s="34" t="str">
        <f t="shared" si="1"/>
        <v/>
      </c>
      <c r="L57" s="16"/>
      <c r="M57" s="16"/>
      <c r="N57" s="16"/>
      <c r="O57" s="16"/>
      <c r="P57" s="16"/>
      <c r="Q57" s="16"/>
      <c r="R57" s="16"/>
      <c r="S57" s="16"/>
      <c r="T57" s="16"/>
      <c r="U57" s="16"/>
      <c r="V57" s="16"/>
      <c r="W57" s="16"/>
      <c r="X57" s="16"/>
      <c r="Y57" s="16"/>
      <c r="Z57" s="16"/>
      <c r="AA57" s="16"/>
      <c r="AB57" s="16"/>
      <c r="AC57" s="16"/>
    </row>
    <row r="58">
      <c r="A58" s="22" t="str">
        <f t="array" ref="A58">IF(E58="","",IFERROR(INDEX(CONFIGURACION!C:C,MATCH(E58,CONFIGURACION!E:E,0)),""))
</f>
        <v/>
      </c>
      <c r="B58" s="22" t="str">
        <f t="array" ref="B58">IF(E58="","",IFERROR(INDEX(CONFIGURACION!D:D,MATCH(E58,CONFIGURACION!E:E,0)),""))
</f>
        <v/>
      </c>
      <c r="C58" s="31"/>
      <c r="D58" s="9"/>
      <c r="E58" s="6"/>
      <c r="F58" s="24"/>
      <c r="G58" s="9"/>
      <c r="H58" s="32"/>
      <c r="I58" s="33" t="str">
        <f>IFERROR(__xludf.DUMMYFUNCTION("IF(F58="""","""",LET(
  nombre, TRIM(F58),
  primer, REGEXEXTRACT(nombre, ""^\S+""),
  resto, TRIM(REGEXREPLACE(nombre, ""^\S+\s*"", """")),
  iniciales, IF(
    resto="""",
    """",
    TEXTJOIN("""",1,ARRAYFORMULA(LEFT(SPLIT(resto,"" ""),1) &amp; "".""))
 "&amp;" ),
  UPPER(primer) &amp; "" "" &amp; UPPER(iniciales)
))"),"")</f>
        <v/>
      </c>
      <c r="J58" s="33" t="str">
        <f>IFERROR(__xludf.DUMMYFUNCTION("IF(H58="""","""",IFERROR(
IF(REGEXMATCH(E58,""VELOCIDAD""),
   IF(H58&gt;=MAX(INDEX(BAREMOS!F:X,MATCH(1,(BAREMOS!A:A=A58)*(BAREMOS!B:B=B58)*(BAREMOS!C:C=C58)*(BAREMOS!D:D=D58),0),0)),1,
      IF(H58&lt;=MIN(INDEX(BAREMOS!F:X,MATCH(1,(BAREMOS!A:A=A58)*(BAREMOS!B"&amp;":B=B58)*(BAREMOS!C:C=C58)*(BAREMOS!D:D=D58),0),0)),19,
         MATCH(H58,INDEX(BAREMOS!F:X,MATCH(1,(BAREMOS!A:A=A58)*(BAREMOS!B:B=B58)*(BAREMOS!C:C=C58)*(BAREMOS!D:D=D58),0),0),-1)
      )
   ),
   IF(H58&lt;=MIN(INDEX(BAREMOS!F:X,MATCH(1,(BAREMOS!A:A=A58)*"&amp;"(BAREMOS!B:B=B58)*(BAREMOS!C:C=C58)*(BAREMOS!D:D=D58),0),0)),1,
      IF(H58&gt;=MAX(INDEX(BAREMOS!F:X,MATCH(1,(BAREMOS!A:A=A58)*(BAREMOS!B:B=B58)*(BAREMOS!C:C=C58)*(BAREMOS!D:D=D58),0),0)),19,
         MATCH(H58,INDEX(BAREMOS!F:X,MATCH(1,(BAREMOS!A:A=A58)*("&amp;"BAREMOS!B:B=B58)*(BAREMOS!C:C=C58)*(BAREMOS!D:D=D58),0),0),1)
      )
   )
)
,""""))
"),"")</f>
        <v/>
      </c>
      <c r="K58" s="34" t="str">
        <f t="shared" si="1"/>
        <v/>
      </c>
      <c r="L58" s="16"/>
      <c r="M58" s="16"/>
      <c r="N58" s="16"/>
      <c r="O58" s="16"/>
      <c r="P58" s="16"/>
      <c r="Q58" s="16"/>
      <c r="R58" s="16"/>
      <c r="S58" s="16"/>
      <c r="T58" s="16"/>
      <c r="U58" s="16"/>
      <c r="V58" s="16"/>
      <c r="W58" s="16"/>
      <c r="X58" s="16"/>
      <c r="Y58" s="16"/>
      <c r="Z58" s="16"/>
      <c r="AA58" s="16"/>
      <c r="AB58" s="16"/>
      <c r="AC58" s="16"/>
    </row>
    <row r="59">
      <c r="A59" s="22" t="str">
        <f t="array" ref="A59">IF(E59="","",IFERROR(INDEX(CONFIGURACION!C:C,MATCH(E59,CONFIGURACION!E:E,0)),""))
</f>
        <v/>
      </c>
      <c r="B59" s="22" t="str">
        <f t="array" ref="B59">IF(E59="","",IFERROR(INDEX(CONFIGURACION!D:D,MATCH(E59,CONFIGURACION!E:E,0)),""))
</f>
        <v/>
      </c>
      <c r="C59" s="31"/>
      <c r="D59" s="9"/>
      <c r="E59" s="6"/>
      <c r="F59" s="24"/>
      <c r="G59" s="9"/>
      <c r="H59" s="32"/>
      <c r="I59" s="33" t="str">
        <f>IFERROR(__xludf.DUMMYFUNCTION("IF(F59="""","""",LET(
  nombre, TRIM(F59),
  primer, REGEXEXTRACT(nombre, ""^\S+""),
  resto, TRIM(REGEXREPLACE(nombre, ""^\S+\s*"", """")),
  iniciales, IF(
    resto="""",
    """",
    TEXTJOIN("""",1,ARRAYFORMULA(LEFT(SPLIT(resto,"" ""),1) &amp; "".""))
 "&amp;" ),
  UPPER(primer) &amp; "" "" &amp; UPPER(iniciales)
))"),"")</f>
        <v/>
      </c>
      <c r="J59" s="33" t="str">
        <f>IFERROR(__xludf.DUMMYFUNCTION("IF(H59="""","""",IFERROR(
IF(REGEXMATCH(E59,""VELOCIDAD""),
   IF(H59&gt;=MAX(INDEX(BAREMOS!F:X,MATCH(1,(BAREMOS!A:A=A59)*(BAREMOS!B:B=B59)*(BAREMOS!C:C=C59)*(BAREMOS!D:D=D59),0),0)),1,
      IF(H59&lt;=MIN(INDEX(BAREMOS!F:X,MATCH(1,(BAREMOS!A:A=A59)*(BAREMOS!B"&amp;":B=B59)*(BAREMOS!C:C=C59)*(BAREMOS!D:D=D59),0),0)),19,
         MATCH(H59,INDEX(BAREMOS!F:X,MATCH(1,(BAREMOS!A:A=A59)*(BAREMOS!B:B=B59)*(BAREMOS!C:C=C59)*(BAREMOS!D:D=D59),0),0),-1)
      )
   ),
   IF(H59&lt;=MIN(INDEX(BAREMOS!F:X,MATCH(1,(BAREMOS!A:A=A59)*"&amp;"(BAREMOS!B:B=B59)*(BAREMOS!C:C=C59)*(BAREMOS!D:D=D59),0),0)),1,
      IF(H59&gt;=MAX(INDEX(BAREMOS!F:X,MATCH(1,(BAREMOS!A:A=A59)*(BAREMOS!B:B=B59)*(BAREMOS!C:C=C59)*(BAREMOS!D:D=D59),0),0)),19,
         MATCH(H59,INDEX(BAREMOS!F:X,MATCH(1,(BAREMOS!A:A=A59)*("&amp;"BAREMOS!B:B=B59)*(BAREMOS!C:C=C59)*(BAREMOS!D:D=D59),0),0),1)
      )
   )
)
,""""))
"),"")</f>
        <v/>
      </c>
      <c r="K59" s="34" t="str">
        <f t="shared" si="1"/>
        <v/>
      </c>
      <c r="L59" s="16"/>
      <c r="M59" s="16"/>
      <c r="N59" s="16"/>
      <c r="O59" s="16"/>
      <c r="P59" s="16"/>
      <c r="Q59" s="16"/>
      <c r="R59" s="16"/>
      <c r="S59" s="16"/>
      <c r="T59" s="16"/>
      <c r="U59" s="16"/>
      <c r="V59" s="16"/>
      <c r="W59" s="16"/>
      <c r="X59" s="16"/>
      <c r="Y59" s="16"/>
      <c r="Z59" s="16"/>
      <c r="AA59" s="16"/>
      <c r="AB59" s="16"/>
      <c r="AC59" s="16"/>
    </row>
    <row r="60">
      <c r="A60" s="22" t="str">
        <f t="array" ref="A60">IF(E60="","",IFERROR(INDEX(CONFIGURACION!C:C,MATCH(E60,CONFIGURACION!E:E,0)),""))
</f>
        <v/>
      </c>
      <c r="B60" s="22" t="str">
        <f t="array" ref="B60">IF(E60="","",IFERROR(INDEX(CONFIGURACION!D:D,MATCH(E60,CONFIGURACION!E:E,0)),""))
</f>
        <v/>
      </c>
      <c r="C60" s="31"/>
      <c r="D60" s="9"/>
      <c r="E60" s="6"/>
      <c r="F60" s="24"/>
      <c r="G60" s="9"/>
      <c r="H60" s="32"/>
      <c r="I60" s="33" t="str">
        <f>IFERROR(__xludf.DUMMYFUNCTION("IF(F60="""","""",LET(
  nombre, TRIM(F60),
  primer, REGEXEXTRACT(nombre, ""^\S+""),
  resto, TRIM(REGEXREPLACE(nombre, ""^\S+\s*"", """")),
  iniciales, IF(
    resto="""",
    """",
    TEXTJOIN("""",1,ARRAYFORMULA(LEFT(SPLIT(resto,"" ""),1) &amp; "".""))
 "&amp;" ),
  UPPER(primer) &amp; "" "" &amp; UPPER(iniciales)
))"),"")</f>
        <v/>
      </c>
      <c r="J60" s="33" t="str">
        <f>IFERROR(__xludf.DUMMYFUNCTION("IF(H60="""","""",IFERROR(
IF(REGEXMATCH(E60,""VELOCIDAD""),
   IF(H60&gt;=MAX(INDEX(BAREMOS!F:X,MATCH(1,(BAREMOS!A:A=A60)*(BAREMOS!B:B=B60)*(BAREMOS!C:C=C60)*(BAREMOS!D:D=D60),0),0)),1,
      IF(H60&lt;=MIN(INDEX(BAREMOS!F:X,MATCH(1,(BAREMOS!A:A=A60)*(BAREMOS!B"&amp;":B=B60)*(BAREMOS!C:C=C60)*(BAREMOS!D:D=D60),0),0)),19,
         MATCH(H60,INDEX(BAREMOS!F:X,MATCH(1,(BAREMOS!A:A=A60)*(BAREMOS!B:B=B60)*(BAREMOS!C:C=C60)*(BAREMOS!D:D=D60),0),0),-1)
      )
   ),
   IF(H60&lt;=MIN(INDEX(BAREMOS!F:X,MATCH(1,(BAREMOS!A:A=A60)*"&amp;"(BAREMOS!B:B=B60)*(BAREMOS!C:C=C60)*(BAREMOS!D:D=D60),0),0)),1,
      IF(H60&gt;=MAX(INDEX(BAREMOS!F:X,MATCH(1,(BAREMOS!A:A=A60)*(BAREMOS!B:B=B60)*(BAREMOS!C:C=C60)*(BAREMOS!D:D=D60),0),0)),19,
         MATCH(H60,INDEX(BAREMOS!F:X,MATCH(1,(BAREMOS!A:A=A60)*("&amp;"BAREMOS!B:B=B60)*(BAREMOS!C:C=C60)*(BAREMOS!D:D=D60),0),0),1)
      )
   )
)
,""""))
"),"")</f>
        <v/>
      </c>
      <c r="K60" s="34" t="str">
        <f t="shared" si="1"/>
        <v/>
      </c>
      <c r="L60" s="16"/>
      <c r="M60" s="16"/>
      <c r="N60" s="16"/>
      <c r="O60" s="16"/>
      <c r="P60" s="16"/>
      <c r="Q60" s="16"/>
      <c r="R60" s="16"/>
      <c r="S60" s="16"/>
      <c r="T60" s="16"/>
      <c r="U60" s="16"/>
      <c r="V60" s="16"/>
      <c r="W60" s="16"/>
      <c r="X60" s="16"/>
      <c r="Y60" s="16"/>
      <c r="Z60" s="16"/>
      <c r="AA60" s="16"/>
      <c r="AB60" s="16"/>
      <c r="AC60" s="16"/>
    </row>
    <row r="61">
      <c r="A61" s="22" t="str">
        <f t="array" ref="A61">IF(E61="","",IFERROR(INDEX(CONFIGURACION!C:C,MATCH(E61,CONFIGURACION!E:E,0)),""))
</f>
        <v/>
      </c>
      <c r="B61" s="22" t="str">
        <f t="array" ref="B61">IF(E61="","",IFERROR(INDEX(CONFIGURACION!D:D,MATCH(E61,CONFIGURACION!E:E,0)),""))
</f>
        <v/>
      </c>
      <c r="C61" s="31"/>
      <c r="D61" s="9"/>
      <c r="E61" s="6"/>
      <c r="F61" s="24"/>
      <c r="G61" s="9"/>
      <c r="H61" s="32"/>
      <c r="I61" s="33" t="str">
        <f>IFERROR(__xludf.DUMMYFUNCTION("IF(F61="""","""",LET(
  nombre, TRIM(F61),
  primer, REGEXEXTRACT(nombre, ""^\S+""),
  resto, TRIM(REGEXREPLACE(nombre, ""^\S+\s*"", """")),
  iniciales, IF(
    resto="""",
    """",
    TEXTJOIN("""",1,ARRAYFORMULA(LEFT(SPLIT(resto,"" ""),1) &amp; "".""))
 "&amp;" ),
  UPPER(primer) &amp; "" "" &amp; UPPER(iniciales)
))"),"")</f>
        <v/>
      </c>
      <c r="J61" s="33" t="str">
        <f>IFERROR(__xludf.DUMMYFUNCTION("IF(H61="""","""",IFERROR(
IF(REGEXMATCH(E61,""VELOCIDAD""),
   IF(H61&gt;=MAX(INDEX(BAREMOS!F:X,MATCH(1,(BAREMOS!A:A=A61)*(BAREMOS!B:B=B61)*(BAREMOS!C:C=C61)*(BAREMOS!D:D=D61),0),0)),1,
      IF(H61&lt;=MIN(INDEX(BAREMOS!F:X,MATCH(1,(BAREMOS!A:A=A61)*(BAREMOS!B"&amp;":B=B61)*(BAREMOS!C:C=C61)*(BAREMOS!D:D=D61),0),0)),19,
         MATCH(H61,INDEX(BAREMOS!F:X,MATCH(1,(BAREMOS!A:A=A61)*(BAREMOS!B:B=B61)*(BAREMOS!C:C=C61)*(BAREMOS!D:D=D61),0),0),-1)
      )
   ),
   IF(H61&lt;=MIN(INDEX(BAREMOS!F:X,MATCH(1,(BAREMOS!A:A=A61)*"&amp;"(BAREMOS!B:B=B61)*(BAREMOS!C:C=C61)*(BAREMOS!D:D=D61),0),0)),1,
      IF(H61&gt;=MAX(INDEX(BAREMOS!F:X,MATCH(1,(BAREMOS!A:A=A61)*(BAREMOS!B:B=B61)*(BAREMOS!C:C=C61)*(BAREMOS!D:D=D61),0),0)),19,
         MATCH(H61,INDEX(BAREMOS!F:X,MATCH(1,(BAREMOS!A:A=A61)*("&amp;"BAREMOS!B:B=B61)*(BAREMOS!C:C=C61)*(BAREMOS!D:D=D61),0),0),1)
      )
   )
)
,""""))
"),"")</f>
        <v/>
      </c>
      <c r="K61" s="34" t="str">
        <f t="shared" si="1"/>
        <v/>
      </c>
      <c r="L61" s="16"/>
      <c r="M61" s="16"/>
      <c r="N61" s="16"/>
      <c r="O61" s="16"/>
      <c r="P61" s="16"/>
      <c r="Q61" s="16"/>
      <c r="R61" s="16"/>
      <c r="S61" s="16"/>
      <c r="T61" s="16"/>
      <c r="U61" s="16"/>
      <c r="V61" s="16"/>
      <c r="W61" s="16"/>
      <c r="X61" s="16"/>
      <c r="Y61" s="16"/>
      <c r="Z61" s="16"/>
      <c r="AA61" s="16"/>
      <c r="AB61" s="16"/>
      <c r="AC61" s="16"/>
    </row>
    <row r="62">
      <c r="A62" s="22" t="str">
        <f t="array" ref="A62">IF(E62="","",IFERROR(INDEX(CONFIGURACION!C:C,MATCH(E62,CONFIGURACION!E:E,0)),""))
</f>
        <v/>
      </c>
      <c r="B62" s="22" t="str">
        <f t="array" ref="B62">IF(E62="","",IFERROR(INDEX(CONFIGURACION!D:D,MATCH(E62,CONFIGURACION!E:E,0)),""))
</f>
        <v/>
      </c>
      <c r="C62" s="31"/>
      <c r="D62" s="9"/>
      <c r="E62" s="6"/>
      <c r="F62" s="24"/>
      <c r="G62" s="9"/>
      <c r="H62" s="32"/>
      <c r="I62" s="33" t="str">
        <f>IFERROR(__xludf.DUMMYFUNCTION("IF(F62="""","""",LET(
  nombre, TRIM(F62),
  primer, REGEXEXTRACT(nombre, ""^\S+""),
  resto, TRIM(REGEXREPLACE(nombre, ""^\S+\s*"", """")),
  iniciales, IF(
    resto="""",
    """",
    TEXTJOIN("""",1,ARRAYFORMULA(LEFT(SPLIT(resto,"" ""),1) &amp; "".""))
 "&amp;" ),
  UPPER(primer) &amp; "" "" &amp; UPPER(iniciales)
))"),"")</f>
        <v/>
      </c>
      <c r="J62" s="33" t="str">
        <f>IFERROR(__xludf.DUMMYFUNCTION("IF(H62="""","""",IFERROR(
IF(REGEXMATCH(E62,""VELOCIDAD""),
   IF(H62&gt;=MAX(INDEX(BAREMOS!F:X,MATCH(1,(BAREMOS!A:A=A62)*(BAREMOS!B:B=B62)*(BAREMOS!C:C=C62)*(BAREMOS!D:D=D62),0),0)),1,
      IF(H62&lt;=MIN(INDEX(BAREMOS!F:X,MATCH(1,(BAREMOS!A:A=A62)*(BAREMOS!B"&amp;":B=B62)*(BAREMOS!C:C=C62)*(BAREMOS!D:D=D62),0),0)),19,
         MATCH(H62,INDEX(BAREMOS!F:X,MATCH(1,(BAREMOS!A:A=A62)*(BAREMOS!B:B=B62)*(BAREMOS!C:C=C62)*(BAREMOS!D:D=D62),0),0),-1)
      )
   ),
   IF(H62&lt;=MIN(INDEX(BAREMOS!F:X,MATCH(1,(BAREMOS!A:A=A62)*"&amp;"(BAREMOS!B:B=B62)*(BAREMOS!C:C=C62)*(BAREMOS!D:D=D62),0),0)),1,
      IF(H62&gt;=MAX(INDEX(BAREMOS!F:X,MATCH(1,(BAREMOS!A:A=A62)*(BAREMOS!B:B=B62)*(BAREMOS!C:C=C62)*(BAREMOS!D:D=D62),0),0)),19,
         MATCH(H62,INDEX(BAREMOS!F:X,MATCH(1,(BAREMOS!A:A=A62)*("&amp;"BAREMOS!B:B=B62)*(BAREMOS!C:C=C62)*(BAREMOS!D:D=D62),0),0),1)
      )
   )
)
,""""))
"),"")</f>
        <v/>
      </c>
      <c r="K62" s="34" t="str">
        <f t="shared" si="1"/>
        <v/>
      </c>
      <c r="L62" s="16"/>
      <c r="M62" s="16"/>
      <c r="N62" s="16"/>
      <c r="O62" s="16"/>
      <c r="P62" s="16"/>
      <c r="Q62" s="16"/>
      <c r="R62" s="16"/>
      <c r="S62" s="16"/>
      <c r="T62" s="16"/>
      <c r="U62" s="16"/>
      <c r="V62" s="16"/>
      <c r="W62" s="16"/>
      <c r="X62" s="16"/>
      <c r="Y62" s="16"/>
      <c r="Z62" s="16"/>
      <c r="AA62" s="16"/>
      <c r="AB62" s="16"/>
      <c r="AC62" s="16"/>
    </row>
    <row r="63">
      <c r="A63" s="22" t="str">
        <f t="array" ref="A63">IF(E63="","",IFERROR(INDEX(CONFIGURACION!C:C,MATCH(E63,CONFIGURACION!E:E,0)),""))
</f>
        <v/>
      </c>
      <c r="B63" s="22" t="str">
        <f t="array" ref="B63">IF(E63="","",IFERROR(INDEX(CONFIGURACION!D:D,MATCH(E63,CONFIGURACION!E:E,0)),""))
</f>
        <v/>
      </c>
      <c r="C63" s="31"/>
      <c r="D63" s="9"/>
      <c r="E63" s="6"/>
      <c r="F63" s="24"/>
      <c r="G63" s="9"/>
      <c r="H63" s="32"/>
      <c r="I63" s="33" t="str">
        <f>IFERROR(__xludf.DUMMYFUNCTION("IF(F63="""","""",LET(
  nombre, TRIM(F63),
  primer, REGEXEXTRACT(nombre, ""^\S+""),
  resto, TRIM(REGEXREPLACE(nombre, ""^\S+\s*"", """")),
  iniciales, IF(
    resto="""",
    """",
    TEXTJOIN("""",1,ARRAYFORMULA(LEFT(SPLIT(resto,"" ""),1) &amp; "".""))
 "&amp;" ),
  UPPER(primer) &amp; "" "" &amp; UPPER(iniciales)
))"),"")</f>
        <v/>
      </c>
      <c r="J63" s="33" t="str">
        <f>IFERROR(__xludf.DUMMYFUNCTION("IF(H63="""","""",IFERROR(
IF(REGEXMATCH(E63,""VELOCIDAD""),
   IF(H63&gt;=MAX(INDEX(BAREMOS!F:X,MATCH(1,(BAREMOS!A:A=A63)*(BAREMOS!B:B=B63)*(BAREMOS!C:C=C63)*(BAREMOS!D:D=D63),0),0)),1,
      IF(H63&lt;=MIN(INDEX(BAREMOS!F:X,MATCH(1,(BAREMOS!A:A=A63)*(BAREMOS!B"&amp;":B=B63)*(BAREMOS!C:C=C63)*(BAREMOS!D:D=D63),0),0)),19,
         MATCH(H63,INDEX(BAREMOS!F:X,MATCH(1,(BAREMOS!A:A=A63)*(BAREMOS!B:B=B63)*(BAREMOS!C:C=C63)*(BAREMOS!D:D=D63),0),0),-1)
      )
   ),
   IF(H63&lt;=MIN(INDEX(BAREMOS!F:X,MATCH(1,(BAREMOS!A:A=A63)*"&amp;"(BAREMOS!B:B=B63)*(BAREMOS!C:C=C63)*(BAREMOS!D:D=D63),0),0)),1,
      IF(H63&gt;=MAX(INDEX(BAREMOS!F:X,MATCH(1,(BAREMOS!A:A=A63)*(BAREMOS!B:B=B63)*(BAREMOS!C:C=C63)*(BAREMOS!D:D=D63),0),0)),19,
         MATCH(H63,INDEX(BAREMOS!F:X,MATCH(1,(BAREMOS!A:A=A63)*("&amp;"BAREMOS!B:B=B63)*(BAREMOS!C:C=C63)*(BAREMOS!D:D=D63),0),0),1)
      )
   )
)
,""""))
"),"")</f>
        <v/>
      </c>
      <c r="K63" s="34" t="str">
        <f t="shared" si="1"/>
        <v/>
      </c>
      <c r="L63" s="16"/>
      <c r="M63" s="16"/>
      <c r="N63" s="16"/>
      <c r="O63" s="16"/>
      <c r="P63" s="16"/>
      <c r="Q63" s="16"/>
      <c r="R63" s="16"/>
      <c r="S63" s="16"/>
      <c r="T63" s="16"/>
      <c r="U63" s="16"/>
      <c r="V63" s="16"/>
      <c r="W63" s="16"/>
      <c r="X63" s="16"/>
      <c r="Y63" s="16"/>
      <c r="Z63" s="16"/>
      <c r="AA63" s="16"/>
      <c r="AB63" s="16"/>
      <c r="AC63" s="16"/>
    </row>
    <row r="64">
      <c r="A64" s="22" t="str">
        <f t="array" ref="A64">IF(E64="","",IFERROR(INDEX(CONFIGURACION!C:C,MATCH(E64,CONFIGURACION!E:E,0)),""))
</f>
        <v/>
      </c>
      <c r="B64" s="22" t="str">
        <f t="array" ref="B64">IF(E64="","",IFERROR(INDEX(CONFIGURACION!D:D,MATCH(E64,CONFIGURACION!E:E,0)),""))
</f>
        <v/>
      </c>
      <c r="C64" s="31"/>
      <c r="D64" s="9"/>
      <c r="E64" s="6"/>
      <c r="F64" s="24"/>
      <c r="G64" s="9"/>
      <c r="H64" s="32"/>
      <c r="I64" s="33" t="str">
        <f>IFERROR(__xludf.DUMMYFUNCTION("IF(F64="""","""",LET(
  nombre, TRIM(F64),
  primer, REGEXEXTRACT(nombre, ""^\S+""),
  resto, TRIM(REGEXREPLACE(nombre, ""^\S+\s*"", """")),
  iniciales, IF(
    resto="""",
    """",
    TEXTJOIN("""",1,ARRAYFORMULA(LEFT(SPLIT(resto,"" ""),1) &amp; "".""))
 "&amp;" ),
  UPPER(primer) &amp; "" "" &amp; UPPER(iniciales)
))"),"")</f>
        <v/>
      </c>
      <c r="J64" s="33" t="str">
        <f>IFERROR(__xludf.DUMMYFUNCTION("IF(H64="""","""",IFERROR(
IF(REGEXMATCH(E64,""VELOCIDAD""),
   IF(H64&gt;=MAX(INDEX(BAREMOS!F:X,MATCH(1,(BAREMOS!A:A=A64)*(BAREMOS!B:B=B64)*(BAREMOS!C:C=C64)*(BAREMOS!D:D=D64),0),0)),1,
      IF(H64&lt;=MIN(INDEX(BAREMOS!F:X,MATCH(1,(BAREMOS!A:A=A64)*(BAREMOS!B"&amp;":B=B64)*(BAREMOS!C:C=C64)*(BAREMOS!D:D=D64),0),0)),19,
         MATCH(H64,INDEX(BAREMOS!F:X,MATCH(1,(BAREMOS!A:A=A64)*(BAREMOS!B:B=B64)*(BAREMOS!C:C=C64)*(BAREMOS!D:D=D64),0),0),-1)
      )
   ),
   IF(H64&lt;=MIN(INDEX(BAREMOS!F:X,MATCH(1,(BAREMOS!A:A=A64)*"&amp;"(BAREMOS!B:B=B64)*(BAREMOS!C:C=C64)*(BAREMOS!D:D=D64),0),0)),1,
      IF(H64&gt;=MAX(INDEX(BAREMOS!F:X,MATCH(1,(BAREMOS!A:A=A64)*(BAREMOS!B:B=B64)*(BAREMOS!C:C=C64)*(BAREMOS!D:D=D64),0),0)),19,
         MATCH(H64,INDEX(BAREMOS!F:X,MATCH(1,(BAREMOS!A:A=A64)*("&amp;"BAREMOS!B:B=B64)*(BAREMOS!C:C=C64)*(BAREMOS!D:D=D64),0),0),1)
      )
   )
)
,""""))
"),"")</f>
        <v/>
      </c>
      <c r="K64" s="34" t="str">
        <f t="shared" si="1"/>
        <v/>
      </c>
      <c r="L64" s="16"/>
      <c r="M64" s="16"/>
      <c r="N64" s="16"/>
      <c r="O64" s="16"/>
      <c r="P64" s="16"/>
      <c r="Q64" s="16"/>
      <c r="R64" s="16"/>
      <c r="S64" s="16"/>
      <c r="T64" s="16"/>
      <c r="U64" s="16"/>
      <c r="V64" s="16"/>
      <c r="W64" s="16"/>
      <c r="X64" s="16"/>
      <c r="Y64" s="16"/>
      <c r="Z64" s="16"/>
      <c r="AA64" s="16"/>
      <c r="AB64" s="16"/>
      <c r="AC64" s="16"/>
    </row>
    <row r="65">
      <c r="A65" s="22" t="str">
        <f t="array" ref="A65">IF(E65="","",IFERROR(INDEX(CONFIGURACION!C:C,MATCH(E65,CONFIGURACION!E:E,0)),""))
</f>
        <v/>
      </c>
      <c r="B65" s="22" t="str">
        <f t="array" ref="B65">IF(E65="","",IFERROR(INDEX(CONFIGURACION!D:D,MATCH(E65,CONFIGURACION!E:E,0)),""))
</f>
        <v/>
      </c>
      <c r="C65" s="31"/>
      <c r="D65" s="9"/>
      <c r="E65" s="6"/>
      <c r="F65" s="24"/>
      <c r="G65" s="9"/>
      <c r="H65" s="32"/>
      <c r="I65" s="33" t="str">
        <f>IFERROR(__xludf.DUMMYFUNCTION("IF(F65="""","""",LET(
  nombre, TRIM(F65),
  primer, REGEXEXTRACT(nombre, ""^\S+""),
  resto, TRIM(REGEXREPLACE(nombre, ""^\S+\s*"", """")),
  iniciales, IF(
    resto="""",
    """",
    TEXTJOIN("""",1,ARRAYFORMULA(LEFT(SPLIT(resto,"" ""),1) &amp; "".""))
 "&amp;" ),
  UPPER(primer) &amp; "" "" &amp; UPPER(iniciales)
))"),"")</f>
        <v/>
      </c>
      <c r="J65" s="33" t="str">
        <f>IFERROR(__xludf.DUMMYFUNCTION("IF(H65="""","""",IFERROR(
IF(REGEXMATCH(E65,""VELOCIDAD""),
   IF(H65&gt;=MAX(INDEX(BAREMOS!F:X,MATCH(1,(BAREMOS!A:A=A65)*(BAREMOS!B:B=B65)*(BAREMOS!C:C=C65)*(BAREMOS!D:D=D65),0),0)),1,
      IF(H65&lt;=MIN(INDEX(BAREMOS!F:X,MATCH(1,(BAREMOS!A:A=A65)*(BAREMOS!B"&amp;":B=B65)*(BAREMOS!C:C=C65)*(BAREMOS!D:D=D65),0),0)),19,
         MATCH(H65,INDEX(BAREMOS!F:X,MATCH(1,(BAREMOS!A:A=A65)*(BAREMOS!B:B=B65)*(BAREMOS!C:C=C65)*(BAREMOS!D:D=D65),0),0),-1)
      )
   ),
   IF(H65&lt;=MIN(INDEX(BAREMOS!F:X,MATCH(1,(BAREMOS!A:A=A65)*"&amp;"(BAREMOS!B:B=B65)*(BAREMOS!C:C=C65)*(BAREMOS!D:D=D65),0),0)),1,
      IF(H65&gt;=MAX(INDEX(BAREMOS!F:X,MATCH(1,(BAREMOS!A:A=A65)*(BAREMOS!B:B=B65)*(BAREMOS!C:C=C65)*(BAREMOS!D:D=D65),0),0)),19,
         MATCH(H65,INDEX(BAREMOS!F:X,MATCH(1,(BAREMOS!A:A=A65)*("&amp;"BAREMOS!B:B=B65)*(BAREMOS!C:C=C65)*(BAREMOS!D:D=D65),0),0),1)
      )
   )
)
,""""))
"),"")</f>
        <v/>
      </c>
      <c r="K65" s="34" t="str">
        <f t="shared" si="1"/>
        <v/>
      </c>
      <c r="L65" s="16"/>
      <c r="M65" s="16"/>
      <c r="N65" s="16"/>
      <c r="O65" s="16"/>
      <c r="P65" s="16"/>
      <c r="Q65" s="16"/>
      <c r="R65" s="16"/>
      <c r="S65" s="16"/>
      <c r="T65" s="16"/>
      <c r="U65" s="16"/>
      <c r="V65" s="16"/>
      <c r="W65" s="16"/>
      <c r="X65" s="16"/>
      <c r="Y65" s="16"/>
      <c r="Z65" s="16"/>
      <c r="AA65" s="16"/>
      <c r="AB65" s="16"/>
      <c r="AC65" s="16"/>
    </row>
    <row r="66">
      <c r="A66" s="22" t="str">
        <f t="array" ref="A66">IF(E66="","",IFERROR(INDEX(CONFIGURACION!C:C,MATCH(E66,CONFIGURACION!E:E,0)),""))
</f>
        <v/>
      </c>
      <c r="B66" s="22" t="str">
        <f t="array" ref="B66">IF(E66="","",IFERROR(INDEX(CONFIGURACION!D:D,MATCH(E66,CONFIGURACION!E:E,0)),""))
</f>
        <v/>
      </c>
      <c r="C66" s="31"/>
      <c r="D66" s="9"/>
      <c r="E66" s="6"/>
      <c r="F66" s="24"/>
      <c r="G66" s="9"/>
      <c r="H66" s="32"/>
      <c r="I66" s="33" t="str">
        <f>IFERROR(__xludf.DUMMYFUNCTION("IF(F66="""","""",LET(
  nombre, TRIM(F66),
  primer, REGEXEXTRACT(nombre, ""^\S+""),
  resto, TRIM(REGEXREPLACE(nombre, ""^\S+\s*"", """")),
  iniciales, IF(
    resto="""",
    """",
    TEXTJOIN("""",1,ARRAYFORMULA(LEFT(SPLIT(resto,"" ""),1) &amp; "".""))
 "&amp;" ),
  UPPER(primer) &amp; "" "" &amp; UPPER(iniciales)
))"),"")</f>
        <v/>
      </c>
      <c r="J66" s="33" t="str">
        <f>IFERROR(__xludf.DUMMYFUNCTION("IF(H66="""","""",IFERROR(
IF(REGEXMATCH(E66,""VELOCIDAD""),
   IF(H66&gt;=MAX(INDEX(BAREMOS!F:X,MATCH(1,(BAREMOS!A:A=A66)*(BAREMOS!B:B=B66)*(BAREMOS!C:C=C66)*(BAREMOS!D:D=D66),0),0)),1,
      IF(H66&lt;=MIN(INDEX(BAREMOS!F:X,MATCH(1,(BAREMOS!A:A=A66)*(BAREMOS!B"&amp;":B=B66)*(BAREMOS!C:C=C66)*(BAREMOS!D:D=D66),0),0)),19,
         MATCH(H66,INDEX(BAREMOS!F:X,MATCH(1,(BAREMOS!A:A=A66)*(BAREMOS!B:B=B66)*(BAREMOS!C:C=C66)*(BAREMOS!D:D=D66),0),0),-1)
      )
   ),
   IF(H66&lt;=MIN(INDEX(BAREMOS!F:X,MATCH(1,(BAREMOS!A:A=A66)*"&amp;"(BAREMOS!B:B=B66)*(BAREMOS!C:C=C66)*(BAREMOS!D:D=D66),0),0)),1,
      IF(H66&gt;=MAX(INDEX(BAREMOS!F:X,MATCH(1,(BAREMOS!A:A=A66)*(BAREMOS!B:B=B66)*(BAREMOS!C:C=C66)*(BAREMOS!D:D=D66),0),0)),19,
         MATCH(H66,INDEX(BAREMOS!F:X,MATCH(1,(BAREMOS!A:A=A66)*("&amp;"BAREMOS!B:B=B66)*(BAREMOS!C:C=C66)*(BAREMOS!D:D=D66),0),0),1)
      )
   )
)
,""""))
"),"")</f>
        <v/>
      </c>
      <c r="K66" s="34" t="str">
        <f t="shared" si="1"/>
        <v/>
      </c>
      <c r="L66" s="16"/>
      <c r="M66" s="16"/>
      <c r="N66" s="16"/>
      <c r="O66" s="16"/>
      <c r="P66" s="16"/>
      <c r="Q66" s="16"/>
      <c r="R66" s="16"/>
      <c r="S66" s="16"/>
      <c r="T66" s="16"/>
      <c r="U66" s="16"/>
      <c r="V66" s="16"/>
      <c r="W66" s="16"/>
      <c r="X66" s="16"/>
      <c r="Y66" s="16"/>
      <c r="Z66" s="16"/>
      <c r="AA66" s="16"/>
      <c r="AB66" s="16"/>
      <c r="AC66" s="16"/>
    </row>
    <row r="67">
      <c r="A67" s="22" t="str">
        <f t="array" ref="A67">IF(E67="","",IFERROR(INDEX(CONFIGURACION!C:C,MATCH(E67,CONFIGURACION!E:E,0)),""))
</f>
        <v/>
      </c>
      <c r="B67" s="22" t="str">
        <f t="array" ref="B67">IF(E67="","",IFERROR(INDEX(CONFIGURACION!D:D,MATCH(E67,CONFIGURACION!E:E,0)),""))
</f>
        <v/>
      </c>
      <c r="C67" s="31"/>
      <c r="D67" s="9"/>
      <c r="E67" s="6"/>
      <c r="F67" s="24"/>
      <c r="G67" s="9"/>
      <c r="H67" s="32"/>
      <c r="I67" s="33" t="str">
        <f>IFERROR(__xludf.DUMMYFUNCTION("IF(F67="""","""",LET(
  nombre, TRIM(F67),
  primer, REGEXEXTRACT(nombre, ""^\S+""),
  resto, TRIM(REGEXREPLACE(nombre, ""^\S+\s*"", """")),
  iniciales, IF(
    resto="""",
    """",
    TEXTJOIN("""",1,ARRAYFORMULA(LEFT(SPLIT(resto,"" ""),1) &amp; "".""))
 "&amp;" ),
  UPPER(primer) &amp; "" "" &amp; UPPER(iniciales)
))"),"")</f>
        <v/>
      </c>
      <c r="J67" s="33" t="str">
        <f>IFERROR(__xludf.DUMMYFUNCTION("IF(H67="""","""",IFERROR(
IF(REGEXMATCH(E67,""VELOCIDAD""),
   IF(H67&gt;=MAX(INDEX(BAREMOS!F:X,MATCH(1,(BAREMOS!A:A=A67)*(BAREMOS!B:B=B67)*(BAREMOS!C:C=C67)*(BAREMOS!D:D=D67),0),0)),1,
      IF(H67&lt;=MIN(INDEX(BAREMOS!F:X,MATCH(1,(BAREMOS!A:A=A67)*(BAREMOS!B"&amp;":B=B67)*(BAREMOS!C:C=C67)*(BAREMOS!D:D=D67),0),0)),19,
         MATCH(H67,INDEX(BAREMOS!F:X,MATCH(1,(BAREMOS!A:A=A67)*(BAREMOS!B:B=B67)*(BAREMOS!C:C=C67)*(BAREMOS!D:D=D67),0),0),-1)
      )
   ),
   IF(H67&lt;=MIN(INDEX(BAREMOS!F:X,MATCH(1,(BAREMOS!A:A=A67)*"&amp;"(BAREMOS!B:B=B67)*(BAREMOS!C:C=C67)*(BAREMOS!D:D=D67),0),0)),1,
      IF(H67&gt;=MAX(INDEX(BAREMOS!F:X,MATCH(1,(BAREMOS!A:A=A67)*(BAREMOS!B:B=B67)*(BAREMOS!C:C=C67)*(BAREMOS!D:D=D67),0),0)),19,
         MATCH(H67,INDEX(BAREMOS!F:X,MATCH(1,(BAREMOS!A:A=A67)*("&amp;"BAREMOS!B:B=B67)*(BAREMOS!C:C=C67)*(BAREMOS!D:D=D67),0),0),1)
      )
   )
)
,""""))
"),"")</f>
        <v/>
      </c>
      <c r="K67" s="34" t="str">
        <f t="shared" si="1"/>
        <v/>
      </c>
      <c r="L67" s="16"/>
      <c r="M67" s="16"/>
      <c r="N67" s="16"/>
      <c r="O67" s="16"/>
      <c r="P67" s="16"/>
      <c r="Q67" s="16"/>
      <c r="R67" s="16"/>
      <c r="S67" s="16"/>
      <c r="T67" s="16"/>
      <c r="U67" s="16"/>
      <c r="V67" s="16"/>
      <c r="W67" s="16"/>
      <c r="X67" s="16"/>
      <c r="Y67" s="16"/>
      <c r="Z67" s="16"/>
      <c r="AA67" s="16"/>
      <c r="AB67" s="16"/>
      <c r="AC67" s="16"/>
    </row>
    <row r="68">
      <c r="A68" s="22" t="str">
        <f t="array" ref="A68">IF(E68="","",IFERROR(INDEX(CONFIGURACION!C:C,MATCH(E68,CONFIGURACION!E:E,0)),""))
</f>
        <v/>
      </c>
      <c r="B68" s="22" t="str">
        <f t="array" ref="B68">IF(E68="","",IFERROR(INDEX(CONFIGURACION!D:D,MATCH(E68,CONFIGURACION!E:E,0)),""))
</f>
        <v/>
      </c>
      <c r="C68" s="31"/>
      <c r="D68" s="9"/>
      <c r="E68" s="6"/>
      <c r="F68" s="24"/>
      <c r="G68" s="9"/>
      <c r="H68" s="32"/>
      <c r="I68" s="33" t="str">
        <f>IFERROR(__xludf.DUMMYFUNCTION("IF(F68="""","""",LET(
  nombre, TRIM(F68),
  primer, REGEXEXTRACT(nombre, ""^\S+""),
  resto, TRIM(REGEXREPLACE(nombre, ""^\S+\s*"", """")),
  iniciales, IF(
    resto="""",
    """",
    TEXTJOIN("""",1,ARRAYFORMULA(LEFT(SPLIT(resto,"" ""),1) &amp; "".""))
 "&amp;" ),
  UPPER(primer) &amp; "" "" &amp; UPPER(iniciales)
))"),"")</f>
        <v/>
      </c>
      <c r="J68" s="33" t="str">
        <f>IFERROR(__xludf.DUMMYFUNCTION("IF(H68="""","""",IFERROR(
IF(REGEXMATCH(E68,""VELOCIDAD""),
   IF(H68&gt;=MAX(INDEX(BAREMOS!F:X,MATCH(1,(BAREMOS!A:A=A68)*(BAREMOS!B:B=B68)*(BAREMOS!C:C=C68)*(BAREMOS!D:D=D68),0),0)),1,
      IF(H68&lt;=MIN(INDEX(BAREMOS!F:X,MATCH(1,(BAREMOS!A:A=A68)*(BAREMOS!B"&amp;":B=B68)*(BAREMOS!C:C=C68)*(BAREMOS!D:D=D68),0),0)),19,
         MATCH(H68,INDEX(BAREMOS!F:X,MATCH(1,(BAREMOS!A:A=A68)*(BAREMOS!B:B=B68)*(BAREMOS!C:C=C68)*(BAREMOS!D:D=D68),0),0),-1)
      )
   ),
   IF(H68&lt;=MIN(INDEX(BAREMOS!F:X,MATCH(1,(BAREMOS!A:A=A68)*"&amp;"(BAREMOS!B:B=B68)*(BAREMOS!C:C=C68)*(BAREMOS!D:D=D68),0),0)),1,
      IF(H68&gt;=MAX(INDEX(BAREMOS!F:X,MATCH(1,(BAREMOS!A:A=A68)*(BAREMOS!B:B=B68)*(BAREMOS!C:C=C68)*(BAREMOS!D:D=D68),0),0)),19,
         MATCH(H68,INDEX(BAREMOS!F:X,MATCH(1,(BAREMOS!A:A=A68)*("&amp;"BAREMOS!B:B=B68)*(BAREMOS!C:C=C68)*(BAREMOS!D:D=D68),0),0),1)
      )
   )
)
,""""))
"),"")</f>
        <v/>
      </c>
      <c r="K68" s="34" t="str">
        <f t="shared" si="1"/>
        <v/>
      </c>
      <c r="L68" s="16"/>
      <c r="M68" s="16"/>
      <c r="N68" s="16"/>
      <c r="O68" s="16"/>
      <c r="P68" s="16"/>
      <c r="Q68" s="16"/>
      <c r="R68" s="16"/>
      <c r="S68" s="16"/>
      <c r="T68" s="16"/>
      <c r="U68" s="16"/>
      <c r="V68" s="16"/>
      <c r="W68" s="16"/>
      <c r="X68" s="16"/>
      <c r="Y68" s="16"/>
      <c r="Z68" s="16"/>
      <c r="AA68" s="16"/>
      <c r="AB68" s="16"/>
      <c r="AC68" s="16"/>
    </row>
    <row r="69">
      <c r="A69" s="22" t="str">
        <f t="array" ref="A69">IF(E69="","",IFERROR(INDEX(CONFIGURACION!C:C,MATCH(E69,CONFIGURACION!E:E,0)),""))
</f>
        <v/>
      </c>
      <c r="B69" s="22" t="str">
        <f t="array" ref="B69">IF(E69="","",IFERROR(INDEX(CONFIGURACION!D:D,MATCH(E69,CONFIGURACION!E:E,0)),""))
</f>
        <v/>
      </c>
      <c r="C69" s="31"/>
      <c r="D69" s="9"/>
      <c r="E69" s="6"/>
      <c r="F69" s="24"/>
      <c r="G69" s="9"/>
      <c r="H69" s="32"/>
      <c r="I69" s="33" t="str">
        <f>IFERROR(__xludf.DUMMYFUNCTION("IF(F69="""","""",LET(
  nombre, TRIM(F69),
  primer, REGEXEXTRACT(nombre, ""^\S+""),
  resto, TRIM(REGEXREPLACE(nombre, ""^\S+\s*"", """")),
  iniciales, IF(
    resto="""",
    """",
    TEXTJOIN("""",1,ARRAYFORMULA(LEFT(SPLIT(resto,"" ""),1) &amp; "".""))
 "&amp;" ),
  UPPER(primer) &amp; "" "" &amp; UPPER(iniciales)
))"),"")</f>
        <v/>
      </c>
      <c r="J69" s="33" t="str">
        <f>IFERROR(__xludf.DUMMYFUNCTION("IF(H69="""","""",IFERROR(
IF(REGEXMATCH(E69,""VELOCIDAD""),
   IF(H69&gt;=MAX(INDEX(BAREMOS!F:X,MATCH(1,(BAREMOS!A:A=A69)*(BAREMOS!B:B=B69)*(BAREMOS!C:C=C69)*(BAREMOS!D:D=D69),0),0)),1,
      IF(H69&lt;=MIN(INDEX(BAREMOS!F:X,MATCH(1,(BAREMOS!A:A=A69)*(BAREMOS!B"&amp;":B=B69)*(BAREMOS!C:C=C69)*(BAREMOS!D:D=D69),0),0)),19,
         MATCH(H69,INDEX(BAREMOS!F:X,MATCH(1,(BAREMOS!A:A=A69)*(BAREMOS!B:B=B69)*(BAREMOS!C:C=C69)*(BAREMOS!D:D=D69),0),0),-1)
      )
   ),
   IF(H69&lt;=MIN(INDEX(BAREMOS!F:X,MATCH(1,(BAREMOS!A:A=A69)*"&amp;"(BAREMOS!B:B=B69)*(BAREMOS!C:C=C69)*(BAREMOS!D:D=D69),0),0)),1,
      IF(H69&gt;=MAX(INDEX(BAREMOS!F:X,MATCH(1,(BAREMOS!A:A=A69)*(BAREMOS!B:B=B69)*(BAREMOS!C:C=C69)*(BAREMOS!D:D=D69),0),0)),19,
         MATCH(H69,INDEX(BAREMOS!F:X,MATCH(1,(BAREMOS!A:A=A69)*("&amp;"BAREMOS!B:B=B69)*(BAREMOS!C:C=C69)*(BAREMOS!D:D=D69),0),0),1)
      )
   )
)
,""""))
"),"")</f>
        <v/>
      </c>
      <c r="K69" s="34" t="str">
        <f t="shared" si="1"/>
        <v/>
      </c>
      <c r="L69" s="16"/>
      <c r="M69" s="16"/>
      <c r="N69" s="16"/>
      <c r="O69" s="16"/>
      <c r="P69" s="16"/>
      <c r="Q69" s="16"/>
      <c r="R69" s="16"/>
      <c r="S69" s="16"/>
      <c r="T69" s="16"/>
      <c r="U69" s="16"/>
      <c r="V69" s="16"/>
      <c r="W69" s="16"/>
      <c r="X69" s="16"/>
      <c r="Y69" s="16"/>
      <c r="Z69" s="16"/>
      <c r="AA69" s="16"/>
      <c r="AB69" s="16"/>
      <c r="AC69" s="16"/>
    </row>
    <row r="70">
      <c r="A70" s="22" t="str">
        <f t="array" ref="A70">IF(E70="","",IFERROR(INDEX(CONFIGURACION!C:C,MATCH(E70,CONFIGURACION!E:E,0)),""))
</f>
        <v/>
      </c>
      <c r="B70" s="22" t="str">
        <f t="array" ref="B70">IF(E70="","",IFERROR(INDEX(CONFIGURACION!D:D,MATCH(E70,CONFIGURACION!E:E,0)),""))
</f>
        <v/>
      </c>
      <c r="C70" s="31"/>
      <c r="D70" s="9"/>
      <c r="E70" s="6"/>
      <c r="F70" s="24"/>
      <c r="G70" s="9"/>
      <c r="H70" s="32"/>
      <c r="I70" s="33" t="str">
        <f>IFERROR(__xludf.DUMMYFUNCTION("IF(F70="""","""",LET(
  nombre, TRIM(F70),
  primer, REGEXEXTRACT(nombre, ""^\S+""),
  resto, TRIM(REGEXREPLACE(nombre, ""^\S+\s*"", """")),
  iniciales, IF(
    resto="""",
    """",
    TEXTJOIN("""",1,ARRAYFORMULA(LEFT(SPLIT(resto,"" ""),1) &amp; "".""))
 "&amp;" ),
  UPPER(primer) &amp; "" "" &amp; UPPER(iniciales)
))"),"")</f>
        <v/>
      </c>
      <c r="J70" s="33" t="str">
        <f>IFERROR(__xludf.DUMMYFUNCTION("IF(H70="""","""",IFERROR(
IF(REGEXMATCH(E70,""VELOCIDAD""),
   IF(H70&gt;=MAX(INDEX(BAREMOS!F:X,MATCH(1,(BAREMOS!A:A=A70)*(BAREMOS!B:B=B70)*(BAREMOS!C:C=C70)*(BAREMOS!D:D=D70),0),0)),1,
      IF(H70&lt;=MIN(INDEX(BAREMOS!F:X,MATCH(1,(BAREMOS!A:A=A70)*(BAREMOS!B"&amp;":B=B70)*(BAREMOS!C:C=C70)*(BAREMOS!D:D=D70),0),0)),19,
         MATCH(H70,INDEX(BAREMOS!F:X,MATCH(1,(BAREMOS!A:A=A70)*(BAREMOS!B:B=B70)*(BAREMOS!C:C=C70)*(BAREMOS!D:D=D70),0),0),-1)
      )
   ),
   IF(H70&lt;=MIN(INDEX(BAREMOS!F:X,MATCH(1,(BAREMOS!A:A=A70)*"&amp;"(BAREMOS!B:B=B70)*(BAREMOS!C:C=C70)*(BAREMOS!D:D=D70),0),0)),1,
      IF(H70&gt;=MAX(INDEX(BAREMOS!F:X,MATCH(1,(BAREMOS!A:A=A70)*(BAREMOS!B:B=B70)*(BAREMOS!C:C=C70)*(BAREMOS!D:D=D70),0),0)),19,
         MATCH(H70,INDEX(BAREMOS!F:X,MATCH(1,(BAREMOS!A:A=A70)*("&amp;"BAREMOS!B:B=B70)*(BAREMOS!C:C=C70)*(BAREMOS!D:D=D70),0),0),1)
      )
   )
)
,""""))
"),"")</f>
        <v/>
      </c>
      <c r="K70" s="34" t="str">
        <f t="shared" si="1"/>
        <v/>
      </c>
      <c r="L70" s="16"/>
      <c r="M70" s="16"/>
      <c r="N70" s="16"/>
      <c r="O70" s="16"/>
      <c r="P70" s="16"/>
      <c r="Q70" s="16"/>
      <c r="R70" s="16"/>
      <c r="S70" s="16"/>
      <c r="T70" s="16"/>
      <c r="U70" s="16"/>
      <c r="V70" s="16"/>
      <c r="W70" s="16"/>
      <c r="X70" s="16"/>
      <c r="Y70" s="16"/>
      <c r="Z70" s="16"/>
      <c r="AA70" s="16"/>
      <c r="AB70" s="16"/>
      <c r="AC70" s="16"/>
    </row>
    <row r="71">
      <c r="A71" s="22" t="str">
        <f t="array" ref="A71">IF(E71="","",IFERROR(INDEX(CONFIGURACION!C:C,MATCH(E71,CONFIGURACION!E:E,0)),""))
</f>
        <v/>
      </c>
      <c r="B71" s="22" t="str">
        <f t="array" ref="B71">IF(E71="","",IFERROR(INDEX(CONFIGURACION!D:D,MATCH(E71,CONFIGURACION!E:E,0)),""))
</f>
        <v/>
      </c>
      <c r="C71" s="31"/>
      <c r="D71" s="9"/>
      <c r="E71" s="6"/>
      <c r="F71" s="24"/>
      <c r="G71" s="9"/>
      <c r="H71" s="32"/>
      <c r="I71" s="33" t="str">
        <f>IFERROR(__xludf.DUMMYFUNCTION("IF(F71="""","""",LET(
  nombre, TRIM(F71),
  primer, REGEXEXTRACT(nombre, ""^\S+""),
  resto, TRIM(REGEXREPLACE(nombre, ""^\S+\s*"", """")),
  iniciales, IF(
    resto="""",
    """",
    TEXTJOIN("""",1,ARRAYFORMULA(LEFT(SPLIT(resto,"" ""),1) &amp; "".""))
 "&amp;" ),
  UPPER(primer) &amp; "" "" &amp; UPPER(iniciales)
))"),"")</f>
        <v/>
      </c>
      <c r="J71" s="33" t="str">
        <f>IFERROR(__xludf.DUMMYFUNCTION("IF(H71="""","""",IFERROR(
IF(REGEXMATCH(E71,""VELOCIDAD""),
   IF(H71&gt;=MAX(INDEX(BAREMOS!F:X,MATCH(1,(BAREMOS!A:A=A71)*(BAREMOS!B:B=B71)*(BAREMOS!C:C=C71)*(BAREMOS!D:D=D71),0),0)),1,
      IF(H71&lt;=MIN(INDEX(BAREMOS!F:X,MATCH(1,(BAREMOS!A:A=A71)*(BAREMOS!B"&amp;":B=B71)*(BAREMOS!C:C=C71)*(BAREMOS!D:D=D71),0),0)),19,
         MATCH(H71,INDEX(BAREMOS!F:X,MATCH(1,(BAREMOS!A:A=A71)*(BAREMOS!B:B=B71)*(BAREMOS!C:C=C71)*(BAREMOS!D:D=D71),0),0),-1)
      )
   ),
   IF(H71&lt;=MIN(INDEX(BAREMOS!F:X,MATCH(1,(BAREMOS!A:A=A71)*"&amp;"(BAREMOS!B:B=B71)*(BAREMOS!C:C=C71)*(BAREMOS!D:D=D71),0),0)),1,
      IF(H71&gt;=MAX(INDEX(BAREMOS!F:X,MATCH(1,(BAREMOS!A:A=A71)*(BAREMOS!B:B=B71)*(BAREMOS!C:C=C71)*(BAREMOS!D:D=D71),0),0)),19,
         MATCH(H71,INDEX(BAREMOS!F:X,MATCH(1,(BAREMOS!A:A=A71)*("&amp;"BAREMOS!B:B=B71)*(BAREMOS!C:C=C71)*(BAREMOS!D:D=D71),0),0),1)
      )
   )
)
,""""))
"),"")</f>
        <v/>
      </c>
      <c r="K71" s="34" t="str">
        <f t="shared" si="1"/>
        <v/>
      </c>
      <c r="L71" s="16"/>
      <c r="M71" s="16"/>
      <c r="N71" s="16"/>
      <c r="O71" s="16"/>
      <c r="P71" s="16"/>
      <c r="Q71" s="16"/>
      <c r="R71" s="16"/>
      <c r="S71" s="16"/>
      <c r="T71" s="16"/>
      <c r="U71" s="16"/>
      <c r="V71" s="16"/>
      <c r="W71" s="16"/>
      <c r="X71" s="16"/>
      <c r="Y71" s="16"/>
      <c r="Z71" s="16"/>
      <c r="AA71" s="16"/>
      <c r="AB71" s="16"/>
      <c r="AC71" s="16"/>
    </row>
    <row r="72">
      <c r="A72" s="22" t="str">
        <f t="array" ref="A72">IF(E72="","",IFERROR(INDEX(CONFIGURACION!C:C,MATCH(E72,CONFIGURACION!E:E,0)),""))
</f>
        <v/>
      </c>
      <c r="B72" s="22" t="str">
        <f t="array" ref="B72">IF(E72="","",IFERROR(INDEX(CONFIGURACION!D:D,MATCH(E72,CONFIGURACION!E:E,0)),""))
</f>
        <v/>
      </c>
      <c r="C72" s="31"/>
      <c r="D72" s="9"/>
      <c r="E72" s="6"/>
      <c r="F72" s="24"/>
      <c r="G72" s="9"/>
      <c r="H72" s="32"/>
      <c r="I72" s="33" t="str">
        <f>IFERROR(__xludf.DUMMYFUNCTION("IF(F72="""","""",LET(
  nombre, TRIM(F72),
  primer, REGEXEXTRACT(nombre, ""^\S+""),
  resto, TRIM(REGEXREPLACE(nombre, ""^\S+\s*"", """")),
  iniciales, IF(
    resto="""",
    """",
    TEXTJOIN("""",1,ARRAYFORMULA(LEFT(SPLIT(resto,"" ""),1) &amp; "".""))
 "&amp;" ),
  UPPER(primer) &amp; "" "" &amp; UPPER(iniciales)
))"),"")</f>
        <v/>
      </c>
      <c r="J72" s="33" t="str">
        <f>IFERROR(__xludf.DUMMYFUNCTION("IF(H72="""","""",IFERROR(
IF(REGEXMATCH(E72,""VELOCIDAD""),
   IF(H72&gt;=MAX(INDEX(BAREMOS!F:X,MATCH(1,(BAREMOS!A:A=A72)*(BAREMOS!B:B=B72)*(BAREMOS!C:C=C72)*(BAREMOS!D:D=D72),0),0)),1,
      IF(H72&lt;=MIN(INDEX(BAREMOS!F:X,MATCH(1,(BAREMOS!A:A=A72)*(BAREMOS!B"&amp;":B=B72)*(BAREMOS!C:C=C72)*(BAREMOS!D:D=D72),0),0)),19,
         MATCH(H72,INDEX(BAREMOS!F:X,MATCH(1,(BAREMOS!A:A=A72)*(BAREMOS!B:B=B72)*(BAREMOS!C:C=C72)*(BAREMOS!D:D=D72),0),0),-1)
      )
   ),
   IF(H72&lt;=MIN(INDEX(BAREMOS!F:X,MATCH(1,(BAREMOS!A:A=A72)*"&amp;"(BAREMOS!B:B=B72)*(BAREMOS!C:C=C72)*(BAREMOS!D:D=D72),0),0)),1,
      IF(H72&gt;=MAX(INDEX(BAREMOS!F:X,MATCH(1,(BAREMOS!A:A=A72)*(BAREMOS!B:B=B72)*(BAREMOS!C:C=C72)*(BAREMOS!D:D=D72),0),0)),19,
         MATCH(H72,INDEX(BAREMOS!F:X,MATCH(1,(BAREMOS!A:A=A72)*("&amp;"BAREMOS!B:B=B72)*(BAREMOS!C:C=C72)*(BAREMOS!D:D=D72),0),0),1)
      )
   )
)
,""""))
"),"")</f>
        <v/>
      </c>
      <c r="K72" s="34" t="str">
        <f t="shared" si="1"/>
        <v/>
      </c>
      <c r="L72" s="16"/>
      <c r="M72" s="16"/>
      <c r="N72" s="16"/>
      <c r="O72" s="16"/>
      <c r="P72" s="16"/>
      <c r="Q72" s="16"/>
      <c r="R72" s="16"/>
      <c r="S72" s="16"/>
      <c r="T72" s="16"/>
      <c r="U72" s="16"/>
      <c r="V72" s="16"/>
      <c r="W72" s="16"/>
      <c r="X72" s="16"/>
      <c r="Y72" s="16"/>
      <c r="Z72" s="16"/>
      <c r="AA72" s="16"/>
      <c r="AB72" s="16"/>
      <c r="AC72" s="16"/>
    </row>
    <row r="73">
      <c r="A73" s="22" t="str">
        <f t="array" ref="A73">IF(E73="","",IFERROR(INDEX(CONFIGURACION!C:C,MATCH(E73,CONFIGURACION!E:E,0)),""))
</f>
        <v/>
      </c>
      <c r="B73" s="22" t="str">
        <f t="array" ref="B73">IF(E73="","",IFERROR(INDEX(CONFIGURACION!D:D,MATCH(E73,CONFIGURACION!E:E,0)),""))
</f>
        <v/>
      </c>
      <c r="C73" s="31"/>
      <c r="D73" s="9"/>
      <c r="E73" s="6"/>
      <c r="F73" s="24"/>
      <c r="G73" s="9"/>
      <c r="H73" s="32"/>
      <c r="I73" s="33" t="str">
        <f>IFERROR(__xludf.DUMMYFUNCTION("IF(F73="""","""",LET(
  nombre, TRIM(F73),
  primer, REGEXEXTRACT(nombre, ""^\S+""),
  resto, TRIM(REGEXREPLACE(nombre, ""^\S+\s*"", """")),
  iniciales, IF(
    resto="""",
    """",
    TEXTJOIN("""",1,ARRAYFORMULA(LEFT(SPLIT(resto,"" ""),1) &amp; "".""))
 "&amp;" ),
  UPPER(primer) &amp; "" "" &amp; UPPER(iniciales)
))"),"")</f>
        <v/>
      </c>
      <c r="J73" s="33" t="str">
        <f>IFERROR(__xludf.DUMMYFUNCTION("IF(H73="""","""",IFERROR(
IF(REGEXMATCH(E73,""VELOCIDAD""),
   IF(H73&gt;=MAX(INDEX(BAREMOS!F:X,MATCH(1,(BAREMOS!A:A=A73)*(BAREMOS!B:B=B73)*(BAREMOS!C:C=C73)*(BAREMOS!D:D=D73),0),0)),1,
      IF(H73&lt;=MIN(INDEX(BAREMOS!F:X,MATCH(1,(BAREMOS!A:A=A73)*(BAREMOS!B"&amp;":B=B73)*(BAREMOS!C:C=C73)*(BAREMOS!D:D=D73),0),0)),19,
         MATCH(H73,INDEX(BAREMOS!F:X,MATCH(1,(BAREMOS!A:A=A73)*(BAREMOS!B:B=B73)*(BAREMOS!C:C=C73)*(BAREMOS!D:D=D73),0),0),-1)
      )
   ),
   IF(H73&lt;=MIN(INDEX(BAREMOS!F:X,MATCH(1,(BAREMOS!A:A=A73)*"&amp;"(BAREMOS!B:B=B73)*(BAREMOS!C:C=C73)*(BAREMOS!D:D=D73),0),0)),1,
      IF(H73&gt;=MAX(INDEX(BAREMOS!F:X,MATCH(1,(BAREMOS!A:A=A73)*(BAREMOS!B:B=B73)*(BAREMOS!C:C=C73)*(BAREMOS!D:D=D73),0),0)),19,
         MATCH(H73,INDEX(BAREMOS!F:X,MATCH(1,(BAREMOS!A:A=A73)*("&amp;"BAREMOS!B:B=B73)*(BAREMOS!C:C=C73)*(BAREMOS!D:D=D73),0),0),1)
      )
   )
)
,""""))
"),"")</f>
        <v/>
      </c>
      <c r="K73" s="34" t="str">
        <f t="shared" si="1"/>
        <v/>
      </c>
      <c r="L73" s="16"/>
      <c r="M73" s="16"/>
      <c r="N73" s="16"/>
      <c r="O73" s="16"/>
      <c r="P73" s="16"/>
      <c r="Q73" s="16"/>
      <c r="R73" s="16"/>
      <c r="S73" s="16"/>
      <c r="T73" s="16"/>
      <c r="U73" s="16"/>
      <c r="V73" s="16"/>
      <c r="W73" s="16"/>
      <c r="X73" s="16"/>
      <c r="Y73" s="16"/>
      <c r="Z73" s="16"/>
      <c r="AA73" s="16"/>
      <c r="AB73" s="16"/>
      <c r="AC73" s="16"/>
    </row>
    <row r="74">
      <c r="A74" s="22" t="str">
        <f t="array" ref="A74">IF(E74="","",IFERROR(INDEX(CONFIGURACION!C:C,MATCH(E74,CONFIGURACION!E:E,0)),""))
</f>
        <v/>
      </c>
      <c r="B74" s="22" t="str">
        <f t="array" ref="B74">IF(E74="","",IFERROR(INDEX(CONFIGURACION!D:D,MATCH(E74,CONFIGURACION!E:E,0)),""))
</f>
        <v/>
      </c>
      <c r="C74" s="31"/>
      <c r="D74" s="9"/>
      <c r="E74" s="6"/>
      <c r="F74" s="24"/>
      <c r="G74" s="9"/>
      <c r="H74" s="32"/>
      <c r="I74" s="33" t="str">
        <f>IFERROR(__xludf.DUMMYFUNCTION("IF(F74="""","""",LET(
  nombre, TRIM(F74),
  primer, REGEXEXTRACT(nombre, ""^\S+""),
  resto, TRIM(REGEXREPLACE(nombre, ""^\S+\s*"", """")),
  iniciales, IF(
    resto="""",
    """",
    TEXTJOIN("""",1,ARRAYFORMULA(LEFT(SPLIT(resto,"" ""),1) &amp; "".""))
 "&amp;" ),
  UPPER(primer) &amp; "" "" &amp; UPPER(iniciales)
))"),"")</f>
        <v/>
      </c>
      <c r="J74" s="33" t="str">
        <f>IFERROR(__xludf.DUMMYFUNCTION("IF(H74="""","""",IFERROR(
IF(REGEXMATCH(E74,""VELOCIDAD""),
   IF(H74&gt;=MAX(INDEX(BAREMOS!F:X,MATCH(1,(BAREMOS!A:A=A74)*(BAREMOS!B:B=B74)*(BAREMOS!C:C=C74)*(BAREMOS!D:D=D74),0),0)),1,
      IF(H74&lt;=MIN(INDEX(BAREMOS!F:X,MATCH(1,(BAREMOS!A:A=A74)*(BAREMOS!B"&amp;":B=B74)*(BAREMOS!C:C=C74)*(BAREMOS!D:D=D74),0),0)),19,
         MATCH(H74,INDEX(BAREMOS!F:X,MATCH(1,(BAREMOS!A:A=A74)*(BAREMOS!B:B=B74)*(BAREMOS!C:C=C74)*(BAREMOS!D:D=D74),0),0),-1)
      )
   ),
   IF(H74&lt;=MIN(INDEX(BAREMOS!F:X,MATCH(1,(BAREMOS!A:A=A74)*"&amp;"(BAREMOS!B:B=B74)*(BAREMOS!C:C=C74)*(BAREMOS!D:D=D74),0),0)),1,
      IF(H74&gt;=MAX(INDEX(BAREMOS!F:X,MATCH(1,(BAREMOS!A:A=A74)*(BAREMOS!B:B=B74)*(BAREMOS!C:C=C74)*(BAREMOS!D:D=D74),0),0)),19,
         MATCH(H74,INDEX(BAREMOS!F:X,MATCH(1,(BAREMOS!A:A=A74)*("&amp;"BAREMOS!B:B=B74)*(BAREMOS!C:C=C74)*(BAREMOS!D:D=D74),0),0),1)
      )
   )
)
,""""))
"),"")</f>
        <v/>
      </c>
      <c r="K74" s="34" t="str">
        <f t="shared" si="1"/>
        <v/>
      </c>
      <c r="L74" s="16"/>
      <c r="M74" s="16"/>
      <c r="N74" s="16"/>
      <c r="O74" s="16"/>
      <c r="P74" s="16"/>
      <c r="Q74" s="16"/>
      <c r="R74" s="16"/>
      <c r="S74" s="16"/>
      <c r="T74" s="16"/>
      <c r="U74" s="16"/>
      <c r="V74" s="16"/>
      <c r="W74" s="16"/>
      <c r="X74" s="16"/>
      <c r="Y74" s="16"/>
      <c r="Z74" s="16"/>
      <c r="AA74" s="16"/>
      <c r="AB74" s="16"/>
      <c r="AC74" s="16"/>
    </row>
    <row r="75">
      <c r="A75" s="22" t="str">
        <f t="array" ref="A75">IF(E75="","",IFERROR(INDEX(CONFIGURACION!C:C,MATCH(E75,CONFIGURACION!E:E,0)),""))
</f>
        <v/>
      </c>
      <c r="B75" s="22" t="str">
        <f t="array" ref="B75">IF(E75="","",IFERROR(INDEX(CONFIGURACION!D:D,MATCH(E75,CONFIGURACION!E:E,0)),""))
</f>
        <v/>
      </c>
      <c r="C75" s="31"/>
      <c r="D75" s="9"/>
      <c r="E75" s="6"/>
      <c r="F75" s="24"/>
      <c r="G75" s="9"/>
      <c r="H75" s="32"/>
      <c r="I75" s="33" t="str">
        <f>IFERROR(__xludf.DUMMYFUNCTION("IF(F75="""","""",LET(
  nombre, TRIM(F75),
  primer, REGEXEXTRACT(nombre, ""^\S+""),
  resto, TRIM(REGEXREPLACE(nombre, ""^\S+\s*"", """")),
  iniciales, IF(
    resto="""",
    """",
    TEXTJOIN("""",1,ARRAYFORMULA(LEFT(SPLIT(resto,"" ""),1) &amp; "".""))
 "&amp;" ),
  UPPER(primer) &amp; "" "" &amp; UPPER(iniciales)
))"),"")</f>
        <v/>
      </c>
      <c r="J75" s="33" t="str">
        <f>IFERROR(__xludf.DUMMYFUNCTION("IF(H75="""","""",IFERROR(
IF(REGEXMATCH(E75,""VELOCIDAD""),
   IF(H75&gt;=MAX(INDEX(BAREMOS!F:X,MATCH(1,(BAREMOS!A:A=A75)*(BAREMOS!B:B=B75)*(BAREMOS!C:C=C75)*(BAREMOS!D:D=D75),0),0)),1,
      IF(H75&lt;=MIN(INDEX(BAREMOS!F:X,MATCH(1,(BAREMOS!A:A=A75)*(BAREMOS!B"&amp;":B=B75)*(BAREMOS!C:C=C75)*(BAREMOS!D:D=D75),0),0)),19,
         MATCH(H75,INDEX(BAREMOS!F:X,MATCH(1,(BAREMOS!A:A=A75)*(BAREMOS!B:B=B75)*(BAREMOS!C:C=C75)*(BAREMOS!D:D=D75),0),0),-1)
      )
   ),
   IF(H75&lt;=MIN(INDEX(BAREMOS!F:X,MATCH(1,(BAREMOS!A:A=A75)*"&amp;"(BAREMOS!B:B=B75)*(BAREMOS!C:C=C75)*(BAREMOS!D:D=D75),0),0)),1,
      IF(H75&gt;=MAX(INDEX(BAREMOS!F:X,MATCH(1,(BAREMOS!A:A=A75)*(BAREMOS!B:B=B75)*(BAREMOS!C:C=C75)*(BAREMOS!D:D=D75),0),0)),19,
         MATCH(H75,INDEX(BAREMOS!F:X,MATCH(1,(BAREMOS!A:A=A75)*("&amp;"BAREMOS!B:B=B75)*(BAREMOS!C:C=C75)*(BAREMOS!D:D=D75),0),0),1)
      )
   )
)
,""""))
"),"")</f>
        <v/>
      </c>
      <c r="K75" s="34" t="str">
        <f t="shared" si="1"/>
        <v/>
      </c>
      <c r="L75" s="16"/>
      <c r="M75" s="16"/>
      <c r="N75" s="16"/>
      <c r="O75" s="16"/>
      <c r="P75" s="16"/>
      <c r="Q75" s="16"/>
      <c r="R75" s="16"/>
      <c r="S75" s="16"/>
      <c r="T75" s="16"/>
      <c r="U75" s="16"/>
      <c r="V75" s="16"/>
      <c r="W75" s="16"/>
      <c r="X75" s="16"/>
      <c r="Y75" s="16"/>
      <c r="Z75" s="16"/>
      <c r="AA75" s="16"/>
      <c r="AB75" s="16"/>
      <c r="AC75" s="16"/>
    </row>
    <row r="76">
      <c r="A76" s="22" t="str">
        <f t="array" ref="A76">IF(E76="","",IFERROR(INDEX(CONFIGURACION!C:C,MATCH(E76,CONFIGURACION!E:E,0)),""))
</f>
        <v/>
      </c>
      <c r="B76" s="22" t="str">
        <f t="array" ref="B76">IF(E76="","",IFERROR(INDEX(CONFIGURACION!D:D,MATCH(E76,CONFIGURACION!E:E,0)),""))
</f>
        <v/>
      </c>
      <c r="C76" s="31"/>
      <c r="D76" s="9"/>
      <c r="E76" s="6"/>
      <c r="F76" s="24"/>
      <c r="G76" s="9"/>
      <c r="H76" s="32"/>
      <c r="I76" s="33" t="str">
        <f>IFERROR(__xludf.DUMMYFUNCTION("IF(F76="""","""",LET(
  nombre, TRIM(F76),
  primer, REGEXEXTRACT(nombre, ""^\S+""),
  resto, TRIM(REGEXREPLACE(nombre, ""^\S+\s*"", """")),
  iniciales, IF(
    resto="""",
    """",
    TEXTJOIN("""",1,ARRAYFORMULA(LEFT(SPLIT(resto,"" ""),1) &amp; "".""))
 "&amp;" ),
  UPPER(primer) &amp; "" "" &amp; UPPER(iniciales)
))"),"")</f>
        <v/>
      </c>
      <c r="J76" s="33" t="str">
        <f>IFERROR(__xludf.DUMMYFUNCTION("IF(H76="""","""",IFERROR(
IF(REGEXMATCH(E76,""VELOCIDAD""),
   IF(H76&gt;=MAX(INDEX(BAREMOS!F:X,MATCH(1,(BAREMOS!A:A=A76)*(BAREMOS!B:B=B76)*(BAREMOS!C:C=C76)*(BAREMOS!D:D=D76),0),0)),1,
      IF(H76&lt;=MIN(INDEX(BAREMOS!F:X,MATCH(1,(BAREMOS!A:A=A76)*(BAREMOS!B"&amp;":B=B76)*(BAREMOS!C:C=C76)*(BAREMOS!D:D=D76),0),0)),19,
         MATCH(H76,INDEX(BAREMOS!F:X,MATCH(1,(BAREMOS!A:A=A76)*(BAREMOS!B:B=B76)*(BAREMOS!C:C=C76)*(BAREMOS!D:D=D76),0),0),-1)
      )
   ),
   IF(H76&lt;=MIN(INDEX(BAREMOS!F:X,MATCH(1,(BAREMOS!A:A=A76)*"&amp;"(BAREMOS!B:B=B76)*(BAREMOS!C:C=C76)*(BAREMOS!D:D=D76),0),0)),1,
      IF(H76&gt;=MAX(INDEX(BAREMOS!F:X,MATCH(1,(BAREMOS!A:A=A76)*(BAREMOS!B:B=B76)*(BAREMOS!C:C=C76)*(BAREMOS!D:D=D76),0),0)),19,
         MATCH(H76,INDEX(BAREMOS!F:X,MATCH(1,(BAREMOS!A:A=A76)*("&amp;"BAREMOS!B:B=B76)*(BAREMOS!C:C=C76)*(BAREMOS!D:D=D76),0),0),1)
      )
   )
)
,""""))
"),"")</f>
        <v/>
      </c>
      <c r="K76" s="34" t="str">
        <f t="shared" si="1"/>
        <v/>
      </c>
      <c r="L76" s="16"/>
      <c r="M76" s="16"/>
      <c r="N76" s="16"/>
      <c r="O76" s="16"/>
      <c r="P76" s="16"/>
      <c r="Q76" s="16"/>
      <c r="R76" s="16"/>
      <c r="S76" s="16"/>
      <c r="T76" s="16"/>
      <c r="U76" s="16"/>
      <c r="V76" s="16"/>
      <c r="W76" s="16"/>
      <c r="X76" s="16"/>
      <c r="Y76" s="16"/>
      <c r="Z76" s="16"/>
      <c r="AA76" s="16"/>
      <c r="AB76" s="16"/>
      <c r="AC76" s="16"/>
    </row>
    <row r="77">
      <c r="A77" s="22" t="str">
        <f t="array" ref="A77">IF(E77="","",IFERROR(INDEX(CONFIGURACION!C:C,MATCH(E77,CONFIGURACION!E:E,0)),""))
</f>
        <v/>
      </c>
      <c r="B77" s="22" t="str">
        <f t="array" ref="B77">IF(E77="","",IFERROR(INDEX(CONFIGURACION!D:D,MATCH(E77,CONFIGURACION!E:E,0)),""))
</f>
        <v/>
      </c>
      <c r="C77" s="31"/>
      <c r="D77" s="9"/>
      <c r="E77" s="6"/>
      <c r="F77" s="24"/>
      <c r="G77" s="9"/>
      <c r="H77" s="32"/>
      <c r="I77" s="33" t="str">
        <f>IFERROR(__xludf.DUMMYFUNCTION("IF(F77="""","""",LET(
  nombre, TRIM(F77),
  primer, REGEXEXTRACT(nombre, ""^\S+""),
  resto, TRIM(REGEXREPLACE(nombre, ""^\S+\s*"", """")),
  iniciales, IF(
    resto="""",
    """",
    TEXTJOIN("""",1,ARRAYFORMULA(LEFT(SPLIT(resto,"" ""),1) &amp; "".""))
 "&amp;" ),
  UPPER(primer) &amp; "" "" &amp; UPPER(iniciales)
))"),"")</f>
        <v/>
      </c>
      <c r="J77" s="33" t="str">
        <f>IFERROR(__xludf.DUMMYFUNCTION("IF(H77="""","""",IFERROR(
IF(REGEXMATCH(E77,""VELOCIDAD""),
   IF(H77&gt;=MAX(INDEX(BAREMOS!F:X,MATCH(1,(BAREMOS!A:A=A77)*(BAREMOS!B:B=B77)*(BAREMOS!C:C=C77)*(BAREMOS!D:D=D77),0),0)),1,
      IF(H77&lt;=MIN(INDEX(BAREMOS!F:X,MATCH(1,(BAREMOS!A:A=A77)*(BAREMOS!B"&amp;":B=B77)*(BAREMOS!C:C=C77)*(BAREMOS!D:D=D77),0),0)),19,
         MATCH(H77,INDEX(BAREMOS!F:X,MATCH(1,(BAREMOS!A:A=A77)*(BAREMOS!B:B=B77)*(BAREMOS!C:C=C77)*(BAREMOS!D:D=D77),0),0),-1)
      )
   ),
   IF(H77&lt;=MIN(INDEX(BAREMOS!F:X,MATCH(1,(BAREMOS!A:A=A77)*"&amp;"(BAREMOS!B:B=B77)*(BAREMOS!C:C=C77)*(BAREMOS!D:D=D77),0),0)),1,
      IF(H77&gt;=MAX(INDEX(BAREMOS!F:X,MATCH(1,(BAREMOS!A:A=A77)*(BAREMOS!B:B=B77)*(BAREMOS!C:C=C77)*(BAREMOS!D:D=D77),0),0)),19,
         MATCH(H77,INDEX(BAREMOS!F:X,MATCH(1,(BAREMOS!A:A=A77)*("&amp;"BAREMOS!B:B=B77)*(BAREMOS!C:C=C77)*(BAREMOS!D:D=D77),0),0),1)
      )
   )
)
,""""))
"),"")</f>
        <v/>
      </c>
      <c r="K77" s="34" t="str">
        <f t="shared" si="1"/>
        <v/>
      </c>
      <c r="L77" s="16"/>
      <c r="M77" s="16"/>
      <c r="N77" s="16"/>
      <c r="O77" s="16"/>
      <c r="P77" s="16"/>
      <c r="Q77" s="16"/>
      <c r="R77" s="16"/>
      <c r="S77" s="16"/>
      <c r="T77" s="16"/>
      <c r="U77" s="16"/>
      <c r="V77" s="16"/>
      <c r="W77" s="16"/>
      <c r="X77" s="16"/>
      <c r="Y77" s="16"/>
      <c r="Z77" s="16"/>
      <c r="AA77" s="16"/>
      <c r="AB77" s="16"/>
      <c r="AC77" s="16"/>
    </row>
    <row r="78">
      <c r="A78" s="22" t="str">
        <f t="array" ref="A78">IF(E78="","",IFERROR(INDEX(CONFIGURACION!C:C,MATCH(E78,CONFIGURACION!E:E,0)),""))
</f>
        <v/>
      </c>
      <c r="B78" s="22" t="str">
        <f t="array" ref="B78">IF(E78="","",IFERROR(INDEX(CONFIGURACION!D:D,MATCH(E78,CONFIGURACION!E:E,0)),""))
</f>
        <v/>
      </c>
      <c r="C78" s="31"/>
      <c r="D78" s="9"/>
      <c r="E78" s="6"/>
      <c r="F78" s="24"/>
      <c r="G78" s="9"/>
      <c r="H78" s="32"/>
      <c r="I78" s="33" t="str">
        <f>IFERROR(__xludf.DUMMYFUNCTION("IF(F78="""","""",LET(
  nombre, TRIM(F78),
  primer, REGEXEXTRACT(nombre, ""^\S+""),
  resto, TRIM(REGEXREPLACE(nombre, ""^\S+\s*"", """")),
  iniciales, IF(
    resto="""",
    """",
    TEXTJOIN("""",1,ARRAYFORMULA(LEFT(SPLIT(resto,"" ""),1) &amp; "".""))
 "&amp;" ),
  UPPER(primer) &amp; "" "" &amp; UPPER(iniciales)
))"),"")</f>
        <v/>
      </c>
      <c r="J78" s="33" t="str">
        <f>IFERROR(__xludf.DUMMYFUNCTION("IF(H78="""","""",IFERROR(
IF(REGEXMATCH(E78,""VELOCIDAD""),
   IF(H78&gt;=MAX(INDEX(BAREMOS!F:X,MATCH(1,(BAREMOS!A:A=A78)*(BAREMOS!B:B=B78)*(BAREMOS!C:C=C78)*(BAREMOS!D:D=D78),0),0)),1,
      IF(H78&lt;=MIN(INDEX(BAREMOS!F:X,MATCH(1,(BAREMOS!A:A=A78)*(BAREMOS!B"&amp;":B=B78)*(BAREMOS!C:C=C78)*(BAREMOS!D:D=D78),0),0)),19,
         MATCH(H78,INDEX(BAREMOS!F:X,MATCH(1,(BAREMOS!A:A=A78)*(BAREMOS!B:B=B78)*(BAREMOS!C:C=C78)*(BAREMOS!D:D=D78),0),0),-1)
      )
   ),
   IF(H78&lt;=MIN(INDEX(BAREMOS!F:X,MATCH(1,(BAREMOS!A:A=A78)*"&amp;"(BAREMOS!B:B=B78)*(BAREMOS!C:C=C78)*(BAREMOS!D:D=D78),0),0)),1,
      IF(H78&gt;=MAX(INDEX(BAREMOS!F:X,MATCH(1,(BAREMOS!A:A=A78)*(BAREMOS!B:B=B78)*(BAREMOS!C:C=C78)*(BAREMOS!D:D=D78),0),0)),19,
         MATCH(H78,INDEX(BAREMOS!F:X,MATCH(1,(BAREMOS!A:A=A78)*("&amp;"BAREMOS!B:B=B78)*(BAREMOS!C:C=C78)*(BAREMOS!D:D=D78),0),0),1)
      )
   )
)
,""""))
"),"")</f>
        <v/>
      </c>
      <c r="K78" s="34" t="str">
        <f t="shared" si="1"/>
        <v/>
      </c>
      <c r="L78" s="16"/>
      <c r="M78" s="16"/>
      <c r="N78" s="16"/>
      <c r="O78" s="16"/>
      <c r="P78" s="16"/>
      <c r="Q78" s="16"/>
      <c r="R78" s="16"/>
      <c r="S78" s="16"/>
      <c r="T78" s="16"/>
      <c r="U78" s="16"/>
      <c r="V78" s="16"/>
      <c r="W78" s="16"/>
      <c r="X78" s="16"/>
      <c r="Y78" s="16"/>
      <c r="Z78" s="16"/>
      <c r="AA78" s="16"/>
      <c r="AB78" s="16"/>
      <c r="AC78" s="16"/>
    </row>
    <row r="79">
      <c r="A79" s="22" t="str">
        <f t="array" ref="A79">IF(E79="","",IFERROR(INDEX(CONFIGURACION!C:C,MATCH(E79,CONFIGURACION!E:E,0)),""))
</f>
        <v/>
      </c>
      <c r="B79" s="22" t="str">
        <f t="array" ref="B79">IF(E79="","",IFERROR(INDEX(CONFIGURACION!D:D,MATCH(E79,CONFIGURACION!E:E,0)),""))
</f>
        <v/>
      </c>
      <c r="C79" s="31"/>
      <c r="D79" s="9"/>
      <c r="E79" s="6"/>
      <c r="F79" s="24"/>
      <c r="G79" s="9"/>
      <c r="H79" s="32"/>
      <c r="I79" s="33" t="str">
        <f>IFERROR(__xludf.DUMMYFUNCTION("IF(F79="""","""",LET(
  nombre, TRIM(F79),
  primer, REGEXEXTRACT(nombre, ""^\S+""),
  resto, TRIM(REGEXREPLACE(nombre, ""^\S+\s*"", """")),
  iniciales, IF(
    resto="""",
    """",
    TEXTJOIN("""",1,ARRAYFORMULA(LEFT(SPLIT(resto,"" ""),1) &amp; "".""))
 "&amp;" ),
  UPPER(primer) &amp; "" "" &amp; UPPER(iniciales)
))"),"")</f>
        <v/>
      </c>
      <c r="J79" s="33" t="str">
        <f>IFERROR(__xludf.DUMMYFUNCTION("IF(H79="""","""",IFERROR(
IF(REGEXMATCH(E79,""VELOCIDAD""),
   IF(H79&gt;=MAX(INDEX(BAREMOS!F:X,MATCH(1,(BAREMOS!A:A=A79)*(BAREMOS!B:B=B79)*(BAREMOS!C:C=C79)*(BAREMOS!D:D=D79),0),0)),1,
      IF(H79&lt;=MIN(INDEX(BAREMOS!F:X,MATCH(1,(BAREMOS!A:A=A79)*(BAREMOS!B"&amp;":B=B79)*(BAREMOS!C:C=C79)*(BAREMOS!D:D=D79),0),0)),19,
         MATCH(H79,INDEX(BAREMOS!F:X,MATCH(1,(BAREMOS!A:A=A79)*(BAREMOS!B:B=B79)*(BAREMOS!C:C=C79)*(BAREMOS!D:D=D79),0),0),-1)
      )
   ),
   IF(H79&lt;=MIN(INDEX(BAREMOS!F:X,MATCH(1,(BAREMOS!A:A=A79)*"&amp;"(BAREMOS!B:B=B79)*(BAREMOS!C:C=C79)*(BAREMOS!D:D=D79),0),0)),1,
      IF(H79&gt;=MAX(INDEX(BAREMOS!F:X,MATCH(1,(BAREMOS!A:A=A79)*(BAREMOS!B:B=B79)*(BAREMOS!C:C=C79)*(BAREMOS!D:D=D79),0),0)),19,
         MATCH(H79,INDEX(BAREMOS!F:X,MATCH(1,(BAREMOS!A:A=A79)*("&amp;"BAREMOS!B:B=B79)*(BAREMOS!C:C=C79)*(BAREMOS!D:D=D79),0),0),1)
      )
   )
)
,""""))
"),"")</f>
        <v/>
      </c>
      <c r="K79" s="34" t="str">
        <f t="shared" si="1"/>
        <v/>
      </c>
      <c r="L79" s="16"/>
      <c r="M79" s="16"/>
      <c r="N79" s="16"/>
      <c r="O79" s="16"/>
      <c r="P79" s="16"/>
      <c r="Q79" s="16"/>
      <c r="R79" s="16"/>
      <c r="S79" s="16"/>
      <c r="T79" s="16"/>
      <c r="U79" s="16"/>
      <c r="V79" s="16"/>
      <c r="W79" s="16"/>
      <c r="X79" s="16"/>
      <c r="Y79" s="16"/>
      <c r="Z79" s="16"/>
      <c r="AA79" s="16"/>
      <c r="AB79" s="16"/>
      <c r="AC79" s="16"/>
    </row>
    <row r="80">
      <c r="A80" s="22" t="str">
        <f t="array" ref="A80">IF(E80="","",IFERROR(INDEX(CONFIGURACION!C:C,MATCH(E80,CONFIGURACION!E:E,0)),""))
</f>
        <v/>
      </c>
      <c r="B80" s="22" t="str">
        <f t="array" ref="B80">IF(E80="","",IFERROR(INDEX(CONFIGURACION!D:D,MATCH(E80,CONFIGURACION!E:E,0)),""))
</f>
        <v/>
      </c>
      <c r="C80" s="31"/>
      <c r="D80" s="9"/>
      <c r="E80" s="6"/>
      <c r="F80" s="24"/>
      <c r="G80" s="9"/>
      <c r="H80" s="32"/>
      <c r="I80" s="33" t="str">
        <f>IFERROR(__xludf.DUMMYFUNCTION("IF(F80="""","""",LET(
  nombre, TRIM(F80),
  primer, REGEXEXTRACT(nombre, ""^\S+""),
  resto, TRIM(REGEXREPLACE(nombre, ""^\S+\s*"", """")),
  iniciales, IF(
    resto="""",
    """",
    TEXTJOIN("""",1,ARRAYFORMULA(LEFT(SPLIT(resto,"" ""),1) &amp; "".""))
 "&amp;" ),
  UPPER(primer) &amp; "" "" &amp; UPPER(iniciales)
))"),"")</f>
        <v/>
      </c>
      <c r="J80" s="33" t="str">
        <f>IFERROR(__xludf.DUMMYFUNCTION("IF(H80="""","""",IFERROR(
IF(REGEXMATCH(E80,""VELOCIDAD""),
   IF(H80&gt;=MAX(INDEX(BAREMOS!F:X,MATCH(1,(BAREMOS!A:A=A80)*(BAREMOS!B:B=B80)*(BAREMOS!C:C=C80)*(BAREMOS!D:D=D80),0),0)),1,
      IF(H80&lt;=MIN(INDEX(BAREMOS!F:X,MATCH(1,(BAREMOS!A:A=A80)*(BAREMOS!B"&amp;":B=B80)*(BAREMOS!C:C=C80)*(BAREMOS!D:D=D80),0),0)),19,
         MATCH(H80,INDEX(BAREMOS!F:X,MATCH(1,(BAREMOS!A:A=A80)*(BAREMOS!B:B=B80)*(BAREMOS!C:C=C80)*(BAREMOS!D:D=D80),0),0),-1)
      )
   ),
   IF(H80&lt;=MIN(INDEX(BAREMOS!F:X,MATCH(1,(BAREMOS!A:A=A80)*"&amp;"(BAREMOS!B:B=B80)*(BAREMOS!C:C=C80)*(BAREMOS!D:D=D80),0),0)),1,
      IF(H80&gt;=MAX(INDEX(BAREMOS!F:X,MATCH(1,(BAREMOS!A:A=A80)*(BAREMOS!B:B=B80)*(BAREMOS!C:C=C80)*(BAREMOS!D:D=D80),0),0)),19,
         MATCH(H80,INDEX(BAREMOS!F:X,MATCH(1,(BAREMOS!A:A=A80)*("&amp;"BAREMOS!B:B=B80)*(BAREMOS!C:C=C80)*(BAREMOS!D:D=D80),0),0),1)
      )
   )
)
,""""))
"),"")</f>
        <v/>
      </c>
      <c r="K80" s="34" t="str">
        <f t="shared" si="1"/>
        <v/>
      </c>
      <c r="L80" s="16"/>
      <c r="M80" s="16"/>
      <c r="N80" s="16"/>
      <c r="O80" s="16"/>
      <c r="P80" s="16"/>
      <c r="Q80" s="16"/>
      <c r="R80" s="16"/>
      <c r="S80" s="16"/>
      <c r="T80" s="16"/>
      <c r="U80" s="16"/>
      <c r="V80" s="16"/>
      <c r="W80" s="16"/>
      <c r="X80" s="16"/>
      <c r="Y80" s="16"/>
      <c r="Z80" s="16"/>
      <c r="AA80" s="16"/>
      <c r="AB80" s="16"/>
      <c r="AC80" s="16"/>
    </row>
    <row r="81">
      <c r="A81" s="22" t="str">
        <f t="array" ref="A81">IF(E81="","",IFERROR(INDEX(CONFIGURACION!C:C,MATCH(E81,CONFIGURACION!E:E,0)),""))
</f>
        <v/>
      </c>
      <c r="B81" s="22" t="str">
        <f t="array" ref="B81">IF(E81="","",IFERROR(INDEX(CONFIGURACION!D:D,MATCH(E81,CONFIGURACION!E:E,0)),""))
</f>
        <v/>
      </c>
      <c r="C81" s="31"/>
      <c r="D81" s="9"/>
      <c r="E81" s="6"/>
      <c r="F81" s="24"/>
      <c r="G81" s="9"/>
      <c r="H81" s="32"/>
      <c r="I81" s="33" t="str">
        <f>IFERROR(__xludf.DUMMYFUNCTION("IF(F81="""","""",LET(
  nombre, TRIM(F81),
  primer, REGEXEXTRACT(nombre, ""^\S+""),
  resto, TRIM(REGEXREPLACE(nombre, ""^\S+\s*"", """")),
  iniciales, IF(
    resto="""",
    """",
    TEXTJOIN("""",1,ARRAYFORMULA(LEFT(SPLIT(resto,"" ""),1) &amp; "".""))
 "&amp;" ),
  UPPER(primer) &amp; "" "" &amp; UPPER(iniciales)
))"),"")</f>
        <v/>
      </c>
      <c r="J81" s="33" t="str">
        <f>IFERROR(__xludf.DUMMYFUNCTION("IF(H81="""","""",IFERROR(
IF(REGEXMATCH(E81,""VELOCIDAD""),
   IF(H81&gt;=MAX(INDEX(BAREMOS!F:X,MATCH(1,(BAREMOS!A:A=A81)*(BAREMOS!B:B=B81)*(BAREMOS!C:C=C81)*(BAREMOS!D:D=D81),0),0)),1,
      IF(H81&lt;=MIN(INDEX(BAREMOS!F:X,MATCH(1,(BAREMOS!A:A=A81)*(BAREMOS!B"&amp;":B=B81)*(BAREMOS!C:C=C81)*(BAREMOS!D:D=D81),0),0)),19,
         MATCH(H81,INDEX(BAREMOS!F:X,MATCH(1,(BAREMOS!A:A=A81)*(BAREMOS!B:B=B81)*(BAREMOS!C:C=C81)*(BAREMOS!D:D=D81),0),0),-1)
      )
   ),
   IF(H81&lt;=MIN(INDEX(BAREMOS!F:X,MATCH(1,(BAREMOS!A:A=A81)*"&amp;"(BAREMOS!B:B=B81)*(BAREMOS!C:C=C81)*(BAREMOS!D:D=D81),0),0)),1,
      IF(H81&gt;=MAX(INDEX(BAREMOS!F:X,MATCH(1,(BAREMOS!A:A=A81)*(BAREMOS!B:B=B81)*(BAREMOS!C:C=C81)*(BAREMOS!D:D=D81),0),0)),19,
         MATCH(H81,INDEX(BAREMOS!F:X,MATCH(1,(BAREMOS!A:A=A81)*("&amp;"BAREMOS!B:B=B81)*(BAREMOS!C:C=C81)*(BAREMOS!D:D=D81),0),0),1)
      )
   )
)
,""""))
"),"")</f>
        <v/>
      </c>
      <c r="K81" s="34" t="str">
        <f t="shared" si="1"/>
        <v/>
      </c>
      <c r="L81" s="16"/>
      <c r="M81" s="16"/>
      <c r="N81" s="16"/>
      <c r="O81" s="16"/>
      <c r="P81" s="16"/>
      <c r="Q81" s="16"/>
      <c r="R81" s="16"/>
      <c r="S81" s="16"/>
      <c r="T81" s="16"/>
      <c r="U81" s="16"/>
      <c r="V81" s="16"/>
      <c r="W81" s="16"/>
      <c r="X81" s="16"/>
      <c r="Y81" s="16"/>
      <c r="Z81" s="16"/>
      <c r="AA81" s="16"/>
      <c r="AB81" s="16"/>
      <c r="AC81" s="16"/>
    </row>
    <row r="82">
      <c r="A82" s="22" t="str">
        <f t="array" ref="A82">IF(E82="","",IFERROR(INDEX(CONFIGURACION!C:C,MATCH(E82,CONFIGURACION!E:E,0)),""))
</f>
        <v/>
      </c>
      <c r="B82" s="22" t="str">
        <f t="array" ref="B82">IF(E82="","",IFERROR(INDEX(CONFIGURACION!D:D,MATCH(E82,CONFIGURACION!E:E,0)),""))
</f>
        <v/>
      </c>
      <c r="C82" s="31"/>
      <c r="D82" s="9"/>
      <c r="E82" s="6"/>
      <c r="F82" s="24"/>
      <c r="G82" s="9"/>
      <c r="H82" s="32"/>
      <c r="I82" s="33" t="str">
        <f>IFERROR(__xludf.DUMMYFUNCTION("IF(F82="""","""",LET(
  nombre, TRIM(F82),
  primer, REGEXEXTRACT(nombre, ""^\S+""),
  resto, TRIM(REGEXREPLACE(nombre, ""^\S+\s*"", """")),
  iniciales, IF(
    resto="""",
    """",
    TEXTJOIN("""",1,ARRAYFORMULA(LEFT(SPLIT(resto,"" ""),1) &amp; "".""))
 "&amp;" ),
  UPPER(primer) &amp; "" "" &amp; UPPER(iniciales)
))"),"")</f>
        <v/>
      </c>
      <c r="J82" s="33" t="str">
        <f>IFERROR(__xludf.DUMMYFUNCTION("IF(H82="""","""",IFERROR(
IF(REGEXMATCH(E82,""VELOCIDAD""),
   IF(H82&gt;=MAX(INDEX(BAREMOS!F:X,MATCH(1,(BAREMOS!A:A=A82)*(BAREMOS!B:B=B82)*(BAREMOS!C:C=C82)*(BAREMOS!D:D=D82),0),0)),1,
      IF(H82&lt;=MIN(INDEX(BAREMOS!F:X,MATCH(1,(BAREMOS!A:A=A82)*(BAREMOS!B"&amp;":B=B82)*(BAREMOS!C:C=C82)*(BAREMOS!D:D=D82),0),0)),19,
         MATCH(H82,INDEX(BAREMOS!F:X,MATCH(1,(BAREMOS!A:A=A82)*(BAREMOS!B:B=B82)*(BAREMOS!C:C=C82)*(BAREMOS!D:D=D82),0),0),-1)
      )
   ),
   IF(H82&lt;=MIN(INDEX(BAREMOS!F:X,MATCH(1,(BAREMOS!A:A=A82)*"&amp;"(BAREMOS!B:B=B82)*(BAREMOS!C:C=C82)*(BAREMOS!D:D=D82),0),0)),1,
      IF(H82&gt;=MAX(INDEX(BAREMOS!F:X,MATCH(1,(BAREMOS!A:A=A82)*(BAREMOS!B:B=B82)*(BAREMOS!C:C=C82)*(BAREMOS!D:D=D82),0),0)),19,
         MATCH(H82,INDEX(BAREMOS!F:X,MATCH(1,(BAREMOS!A:A=A82)*("&amp;"BAREMOS!B:B=B82)*(BAREMOS!C:C=C82)*(BAREMOS!D:D=D82),0),0),1)
      )
   )
)
,""""))
"),"")</f>
        <v/>
      </c>
      <c r="K82" s="34" t="str">
        <f t="shared" si="1"/>
        <v/>
      </c>
      <c r="L82" s="16"/>
      <c r="M82" s="16"/>
      <c r="N82" s="16"/>
      <c r="O82" s="16"/>
      <c r="P82" s="16"/>
      <c r="Q82" s="16"/>
      <c r="R82" s="16"/>
      <c r="S82" s="16"/>
      <c r="T82" s="16"/>
      <c r="U82" s="16"/>
      <c r="V82" s="16"/>
      <c r="W82" s="16"/>
      <c r="X82" s="16"/>
      <c r="Y82" s="16"/>
      <c r="Z82" s="16"/>
      <c r="AA82" s="16"/>
      <c r="AB82" s="16"/>
      <c r="AC82" s="16"/>
    </row>
    <row r="83">
      <c r="A83" s="22" t="str">
        <f t="array" ref="A83">IF(E83="","",IFERROR(INDEX(CONFIGURACION!C:C,MATCH(E83,CONFIGURACION!E:E,0)),""))
</f>
        <v/>
      </c>
      <c r="B83" s="22" t="str">
        <f t="array" ref="B83">IF(E83="","",IFERROR(INDEX(CONFIGURACION!D:D,MATCH(E83,CONFIGURACION!E:E,0)),""))
</f>
        <v/>
      </c>
      <c r="C83" s="31"/>
      <c r="D83" s="9"/>
      <c r="E83" s="6"/>
      <c r="F83" s="24"/>
      <c r="G83" s="9"/>
      <c r="H83" s="32"/>
      <c r="I83" s="33" t="str">
        <f>IFERROR(__xludf.DUMMYFUNCTION("IF(F83="""","""",LET(
  nombre, TRIM(F83),
  primer, REGEXEXTRACT(nombre, ""^\S+""),
  resto, TRIM(REGEXREPLACE(nombre, ""^\S+\s*"", """")),
  iniciales, IF(
    resto="""",
    """",
    TEXTJOIN("""",1,ARRAYFORMULA(LEFT(SPLIT(resto,"" ""),1) &amp; "".""))
 "&amp;" ),
  UPPER(primer) &amp; "" "" &amp; UPPER(iniciales)
))"),"")</f>
        <v/>
      </c>
      <c r="J83" s="33" t="str">
        <f>IFERROR(__xludf.DUMMYFUNCTION("IF(H83="""","""",IFERROR(
IF(REGEXMATCH(E83,""VELOCIDAD""),
   IF(H83&gt;=MAX(INDEX(BAREMOS!F:X,MATCH(1,(BAREMOS!A:A=A83)*(BAREMOS!B:B=B83)*(BAREMOS!C:C=C83)*(BAREMOS!D:D=D83),0),0)),1,
      IF(H83&lt;=MIN(INDEX(BAREMOS!F:X,MATCH(1,(BAREMOS!A:A=A83)*(BAREMOS!B"&amp;":B=B83)*(BAREMOS!C:C=C83)*(BAREMOS!D:D=D83),0),0)),19,
         MATCH(H83,INDEX(BAREMOS!F:X,MATCH(1,(BAREMOS!A:A=A83)*(BAREMOS!B:B=B83)*(BAREMOS!C:C=C83)*(BAREMOS!D:D=D83),0),0),-1)
      )
   ),
   IF(H83&lt;=MIN(INDEX(BAREMOS!F:X,MATCH(1,(BAREMOS!A:A=A83)*"&amp;"(BAREMOS!B:B=B83)*(BAREMOS!C:C=C83)*(BAREMOS!D:D=D83),0),0)),1,
      IF(H83&gt;=MAX(INDEX(BAREMOS!F:X,MATCH(1,(BAREMOS!A:A=A83)*(BAREMOS!B:B=B83)*(BAREMOS!C:C=C83)*(BAREMOS!D:D=D83),0),0)),19,
         MATCH(H83,INDEX(BAREMOS!F:X,MATCH(1,(BAREMOS!A:A=A83)*("&amp;"BAREMOS!B:B=B83)*(BAREMOS!C:C=C83)*(BAREMOS!D:D=D83),0),0),1)
      )
   )
)
,""""))
"),"")</f>
        <v/>
      </c>
      <c r="K83" s="34" t="str">
        <f t="shared" si="1"/>
        <v/>
      </c>
      <c r="L83" s="16"/>
      <c r="M83" s="16"/>
      <c r="N83" s="16"/>
      <c r="O83" s="16"/>
      <c r="P83" s="16"/>
      <c r="Q83" s="16"/>
      <c r="R83" s="16"/>
      <c r="S83" s="16"/>
      <c r="T83" s="16"/>
      <c r="U83" s="16"/>
      <c r="V83" s="16"/>
      <c r="W83" s="16"/>
      <c r="X83" s="16"/>
      <c r="Y83" s="16"/>
      <c r="Z83" s="16"/>
      <c r="AA83" s="16"/>
      <c r="AB83" s="16"/>
      <c r="AC83" s="16"/>
    </row>
    <row r="84">
      <c r="A84" s="22" t="str">
        <f t="array" ref="A84">IF(E84="","",IFERROR(INDEX(CONFIGURACION!C:C,MATCH(E84,CONFIGURACION!E:E,0)),""))
</f>
        <v/>
      </c>
      <c r="B84" s="22" t="str">
        <f t="array" ref="B84">IF(E84="","",IFERROR(INDEX(CONFIGURACION!D:D,MATCH(E84,CONFIGURACION!E:E,0)),""))
</f>
        <v/>
      </c>
      <c r="C84" s="31"/>
      <c r="D84" s="9"/>
      <c r="E84" s="6"/>
      <c r="F84" s="24"/>
      <c r="G84" s="9"/>
      <c r="H84" s="32"/>
      <c r="I84" s="33" t="str">
        <f>IFERROR(__xludf.DUMMYFUNCTION("IF(F84="""","""",LET(
  nombre, TRIM(F84),
  primer, REGEXEXTRACT(nombre, ""^\S+""),
  resto, TRIM(REGEXREPLACE(nombre, ""^\S+\s*"", """")),
  iniciales, IF(
    resto="""",
    """",
    TEXTJOIN("""",1,ARRAYFORMULA(LEFT(SPLIT(resto,"" ""),1) &amp; "".""))
 "&amp;" ),
  UPPER(primer) &amp; "" "" &amp; UPPER(iniciales)
))"),"")</f>
        <v/>
      </c>
      <c r="J84" s="33" t="str">
        <f>IFERROR(__xludf.DUMMYFUNCTION("IF(H84="""","""",IFERROR(
IF(REGEXMATCH(E84,""VELOCIDAD""),
   IF(H84&gt;=MAX(INDEX(BAREMOS!F:X,MATCH(1,(BAREMOS!A:A=A84)*(BAREMOS!B:B=B84)*(BAREMOS!C:C=C84)*(BAREMOS!D:D=D84),0),0)),1,
      IF(H84&lt;=MIN(INDEX(BAREMOS!F:X,MATCH(1,(BAREMOS!A:A=A84)*(BAREMOS!B"&amp;":B=B84)*(BAREMOS!C:C=C84)*(BAREMOS!D:D=D84),0),0)),19,
         MATCH(H84,INDEX(BAREMOS!F:X,MATCH(1,(BAREMOS!A:A=A84)*(BAREMOS!B:B=B84)*(BAREMOS!C:C=C84)*(BAREMOS!D:D=D84),0),0),-1)
      )
   ),
   IF(H84&lt;=MIN(INDEX(BAREMOS!F:X,MATCH(1,(BAREMOS!A:A=A84)*"&amp;"(BAREMOS!B:B=B84)*(BAREMOS!C:C=C84)*(BAREMOS!D:D=D84),0),0)),1,
      IF(H84&gt;=MAX(INDEX(BAREMOS!F:X,MATCH(1,(BAREMOS!A:A=A84)*(BAREMOS!B:B=B84)*(BAREMOS!C:C=C84)*(BAREMOS!D:D=D84),0),0)),19,
         MATCH(H84,INDEX(BAREMOS!F:X,MATCH(1,(BAREMOS!A:A=A84)*("&amp;"BAREMOS!B:B=B84)*(BAREMOS!C:C=C84)*(BAREMOS!D:D=D84),0),0),1)
      )
   )
)
,""""))
"),"")</f>
        <v/>
      </c>
      <c r="K84" s="34" t="str">
        <f t="shared" si="1"/>
        <v/>
      </c>
      <c r="L84" s="16"/>
      <c r="M84" s="16"/>
      <c r="N84" s="16"/>
      <c r="O84" s="16"/>
      <c r="P84" s="16"/>
      <c r="Q84" s="16"/>
      <c r="R84" s="16"/>
      <c r="S84" s="16"/>
      <c r="T84" s="16"/>
      <c r="U84" s="16"/>
      <c r="V84" s="16"/>
      <c r="W84" s="16"/>
      <c r="X84" s="16"/>
      <c r="Y84" s="16"/>
      <c r="Z84" s="16"/>
      <c r="AA84" s="16"/>
      <c r="AB84" s="16"/>
      <c r="AC84" s="16"/>
    </row>
    <row r="85">
      <c r="A85" s="22" t="str">
        <f t="array" ref="A85">IF(E85="","",IFERROR(INDEX(CONFIGURACION!C:C,MATCH(E85,CONFIGURACION!E:E,0)),""))
</f>
        <v/>
      </c>
      <c r="B85" s="22" t="str">
        <f t="array" ref="B85">IF(E85="","",IFERROR(INDEX(CONFIGURACION!D:D,MATCH(E85,CONFIGURACION!E:E,0)),""))
</f>
        <v/>
      </c>
      <c r="C85" s="31"/>
      <c r="D85" s="9"/>
      <c r="E85" s="6"/>
      <c r="F85" s="24"/>
      <c r="G85" s="9"/>
      <c r="H85" s="32"/>
      <c r="I85" s="33" t="str">
        <f>IFERROR(__xludf.DUMMYFUNCTION("IF(F85="""","""",LET(
  nombre, TRIM(F85),
  primer, REGEXEXTRACT(nombre, ""^\S+""),
  resto, TRIM(REGEXREPLACE(nombre, ""^\S+\s*"", """")),
  iniciales, IF(
    resto="""",
    """",
    TEXTJOIN("""",1,ARRAYFORMULA(LEFT(SPLIT(resto,"" ""),1) &amp; "".""))
 "&amp;" ),
  UPPER(primer) &amp; "" "" &amp; UPPER(iniciales)
))"),"")</f>
        <v/>
      </c>
      <c r="J85" s="33" t="str">
        <f>IFERROR(__xludf.DUMMYFUNCTION("IF(H85="""","""",IFERROR(
IF(REGEXMATCH(E85,""VELOCIDAD""),
   IF(H85&gt;=MAX(INDEX(BAREMOS!F:X,MATCH(1,(BAREMOS!A:A=A85)*(BAREMOS!B:B=B85)*(BAREMOS!C:C=C85)*(BAREMOS!D:D=D85),0),0)),1,
      IF(H85&lt;=MIN(INDEX(BAREMOS!F:X,MATCH(1,(BAREMOS!A:A=A85)*(BAREMOS!B"&amp;":B=B85)*(BAREMOS!C:C=C85)*(BAREMOS!D:D=D85),0),0)),19,
         MATCH(H85,INDEX(BAREMOS!F:X,MATCH(1,(BAREMOS!A:A=A85)*(BAREMOS!B:B=B85)*(BAREMOS!C:C=C85)*(BAREMOS!D:D=D85),0),0),-1)
      )
   ),
   IF(H85&lt;=MIN(INDEX(BAREMOS!F:X,MATCH(1,(BAREMOS!A:A=A85)*"&amp;"(BAREMOS!B:B=B85)*(BAREMOS!C:C=C85)*(BAREMOS!D:D=D85),0),0)),1,
      IF(H85&gt;=MAX(INDEX(BAREMOS!F:X,MATCH(1,(BAREMOS!A:A=A85)*(BAREMOS!B:B=B85)*(BAREMOS!C:C=C85)*(BAREMOS!D:D=D85),0),0)),19,
         MATCH(H85,INDEX(BAREMOS!F:X,MATCH(1,(BAREMOS!A:A=A85)*("&amp;"BAREMOS!B:B=B85)*(BAREMOS!C:C=C85)*(BAREMOS!D:D=D85),0),0),1)
      )
   )
)
,""""))
"),"")</f>
        <v/>
      </c>
      <c r="K85" s="34" t="str">
        <f t="shared" si="1"/>
        <v/>
      </c>
      <c r="L85" s="16"/>
      <c r="M85" s="16"/>
      <c r="N85" s="16"/>
      <c r="O85" s="16"/>
      <c r="P85" s="16"/>
      <c r="Q85" s="16"/>
      <c r="R85" s="16"/>
      <c r="S85" s="16"/>
      <c r="T85" s="16"/>
      <c r="U85" s="16"/>
      <c r="V85" s="16"/>
      <c r="W85" s="16"/>
      <c r="X85" s="16"/>
      <c r="Y85" s="16"/>
      <c r="Z85" s="16"/>
      <c r="AA85" s="16"/>
      <c r="AB85" s="16"/>
      <c r="AC85" s="16"/>
    </row>
    <row r="86">
      <c r="A86" s="22" t="str">
        <f t="array" ref="A86">IF(E86="","",IFERROR(INDEX(CONFIGURACION!C:C,MATCH(E86,CONFIGURACION!E:E,0)),""))
</f>
        <v/>
      </c>
      <c r="B86" s="22" t="str">
        <f t="array" ref="B86">IF(E86="","",IFERROR(INDEX(CONFIGURACION!D:D,MATCH(E86,CONFIGURACION!E:E,0)),""))
</f>
        <v/>
      </c>
      <c r="C86" s="31"/>
      <c r="D86" s="9"/>
      <c r="E86" s="6"/>
      <c r="F86" s="24"/>
      <c r="G86" s="9"/>
      <c r="H86" s="32"/>
      <c r="I86" s="33" t="str">
        <f>IFERROR(__xludf.DUMMYFUNCTION("IF(F86="""","""",LET(
  nombre, TRIM(F86),
  primer, REGEXEXTRACT(nombre, ""^\S+""),
  resto, TRIM(REGEXREPLACE(nombre, ""^\S+\s*"", """")),
  iniciales, IF(
    resto="""",
    """",
    TEXTJOIN("""",1,ARRAYFORMULA(LEFT(SPLIT(resto,"" ""),1) &amp; "".""))
 "&amp;" ),
  UPPER(primer) &amp; "" "" &amp; UPPER(iniciales)
))"),"")</f>
        <v/>
      </c>
      <c r="J86" s="33" t="str">
        <f>IFERROR(__xludf.DUMMYFUNCTION("IF(H86="""","""",IFERROR(
IF(REGEXMATCH(E86,""VELOCIDAD""),
   IF(H86&gt;=MAX(INDEX(BAREMOS!F:X,MATCH(1,(BAREMOS!A:A=A86)*(BAREMOS!B:B=B86)*(BAREMOS!C:C=C86)*(BAREMOS!D:D=D86),0),0)),1,
      IF(H86&lt;=MIN(INDEX(BAREMOS!F:X,MATCH(1,(BAREMOS!A:A=A86)*(BAREMOS!B"&amp;":B=B86)*(BAREMOS!C:C=C86)*(BAREMOS!D:D=D86),0),0)),19,
         MATCH(H86,INDEX(BAREMOS!F:X,MATCH(1,(BAREMOS!A:A=A86)*(BAREMOS!B:B=B86)*(BAREMOS!C:C=C86)*(BAREMOS!D:D=D86),0),0),-1)
      )
   ),
   IF(H86&lt;=MIN(INDEX(BAREMOS!F:X,MATCH(1,(BAREMOS!A:A=A86)*"&amp;"(BAREMOS!B:B=B86)*(BAREMOS!C:C=C86)*(BAREMOS!D:D=D86),0),0)),1,
      IF(H86&gt;=MAX(INDEX(BAREMOS!F:X,MATCH(1,(BAREMOS!A:A=A86)*(BAREMOS!B:B=B86)*(BAREMOS!C:C=C86)*(BAREMOS!D:D=D86),0),0)),19,
         MATCH(H86,INDEX(BAREMOS!F:X,MATCH(1,(BAREMOS!A:A=A86)*("&amp;"BAREMOS!B:B=B86)*(BAREMOS!C:C=C86)*(BAREMOS!D:D=D86),0),0),1)
      )
   )
)
,""""))
"),"")</f>
        <v/>
      </c>
      <c r="K86" s="34" t="str">
        <f t="shared" si="1"/>
        <v/>
      </c>
      <c r="L86" s="16"/>
      <c r="M86" s="16"/>
      <c r="N86" s="16"/>
      <c r="O86" s="16"/>
      <c r="P86" s="16"/>
      <c r="Q86" s="16"/>
      <c r="R86" s="16"/>
      <c r="S86" s="16"/>
      <c r="T86" s="16"/>
      <c r="U86" s="16"/>
      <c r="V86" s="16"/>
      <c r="W86" s="16"/>
      <c r="X86" s="16"/>
      <c r="Y86" s="16"/>
      <c r="Z86" s="16"/>
      <c r="AA86" s="16"/>
      <c r="AB86" s="16"/>
      <c r="AC86" s="16"/>
    </row>
    <row r="87">
      <c r="A87" s="22" t="str">
        <f t="array" ref="A87">IF(E87="","",IFERROR(INDEX(CONFIGURACION!C:C,MATCH(E87,CONFIGURACION!E:E,0)),""))
</f>
        <v/>
      </c>
      <c r="B87" s="22" t="str">
        <f t="array" ref="B87">IF(E87="","",IFERROR(INDEX(CONFIGURACION!D:D,MATCH(E87,CONFIGURACION!E:E,0)),""))
</f>
        <v/>
      </c>
      <c r="C87" s="31"/>
      <c r="D87" s="9"/>
      <c r="E87" s="6"/>
      <c r="F87" s="24"/>
      <c r="G87" s="9"/>
      <c r="H87" s="32"/>
      <c r="I87" s="33" t="str">
        <f>IFERROR(__xludf.DUMMYFUNCTION("IF(F87="""","""",LET(
  nombre, TRIM(F87),
  primer, REGEXEXTRACT(nombre, ""^\S+""),
  resto, TRIM(REGEXREPLACE(nombre, ""^\S+\s*"", """")),
  iniciales, IF(
    resto="""",
    """",
    TEXTJOIN("""",1,ARRAYFORMULA(LEFT(SPLIT(resto,"" ""),1) &amp; "".""))
 "&amp;" ),
  UPPER(primer) &amp; "" "" &amp; UPPER(iniciales)
))"),"")</f>
        <v/>
      </c>
      <c r="J87" s="33" t="str">
        <f>IFERROR(__xludf.DUMMYFUNCTION("IF(H87="""","""",IFERROR(
IF(REGEXMATCH(E87,""VELOCIDAD""),
   IF(H87&gt;=MAX(INDEX(BAREMOS!F:X,MATCH(1,(BAREMOS!A:A=A87)*(BAREMOS!B:B=B87)*(BAREMOS!C:C=C87)*(BAREMOS!D:D=D87),0),0)),1,
      IF(H87&lt;=MIN(INDEX(BAREMOS!F:X,MATCH(1,(BAREMOS!A:A=A87)*(BAREMOS!B"&amp;":B=B87)*(BAREMOS!C:C=C87)*(BAREMOS!D:D=D87),0),0)),19,
         MATCH(H87,INDEX(BAREMOS!F:X,MATCH(1,(BAREMOS!A:A=A87)*(BAREMOS!B:B=B87)*(BAREMOS!C:C=C87)*(BAREMOS!D:D=D87),0),0),-1)
      )
   ),
   IF(H87&lt;=MIN(INDEX(BAREMOS!F:X,MATCH(1,(BAREMOS!A:A=A87)*"&amp;"(BAREMOS!B:B=B87)*(BAREMOS!C:C=C87)*(BAREMOS!D:D=D87),0),0)),1,
      IF(H87&gt;=MAX(INDEX(BAREMOS!F:X,MATCH(1,(BAREMOS!A:A=A87)*(BAREMOS!B:B=B87)*(BAREMOS!C:C=C87)*(BAREMOS!D:D=D87),0),0)),19,
         MATCH(H87,INDEX(BAREMOS!F:X,MATCH(1,(BAREMOS!A:A=A87)*("&amp;"BAREMOS!B:B=B87)*(BAREMOS!C:C=C87)*(BAREMOS!D:D=D87),0),0),1)
      )
   )
)
,""""))
"),"")</f>
        <v/>
      </c>
      <c r="K87" s="34" t="str">
        <f t="shared" si="1"/>
        <v/>
      </c>
      <c r="L87" s="16"/>
      <c r="M87" s="16"/>
      <c r="N87" s="16"/>
      <c r="O87" s="16"/>
      <c r="P87" s="16"/>
      <c r="Q87" s="16"/>
      <c r="R87" s="16"/>
      <c r="S87" s="16"/>
      <c r="T87" s="16"/>
      <c r="U87" s="16"/>
      <c r="V87" s="16"/>
      <c r="W87" s="16"/>
      <c r="X87" s="16"/>
      <c r="Y87" s="16"/>
      <c r="Z87" s="16"/>
      <c r="AA87" s="16"/>
      <c r="AB87" s="16"/>
      <c r="AC87" s="16"/>
    </row>
    <row r="88">
      <c r="A88" s="22" t="str">
        <f t="array" ref="A88">IF(E88="","",IFERROR(INDEX(CONFIGURACION!C:C,MATCH(E88,CONFIGURACION!E:E,0)),""))
</f>
        <v/>
      </c>
      <c r="B88" s="22" t="str">
        <f t="array" ref="B88">IF(E88="","",IFERROR(INDEX(CONFIGURACION!D:D,MATCH(E88,CONFIGURACION!E:E,0)),""))
</f>
        <v/>
      </c>
      <c r="C88" s="31"/>
      <c r="D88" s="9"/>
      <c r="E88" s="6"/>
      <c r="F88" s="24"/>
      <c r="G88" s="9"/>
      <c r="H88" s="32"/>
      <c r="I88" s="33" t="str">
        <f>IFERROR(__xludf.DUMMYFUNCTION("IF(F88="""","""",LET(
  nombre, TRIM(F88),
  primer, REGEXEXTRACT(nombre, ""^\S+""),
  resto, TRIM(REGEXREPLACE(nombre, ""^\S+\s*"", """")),
  iniciales, IF(
    resto="""",
    """",
    TEXTJOIN("""",1,ARRAYFORMULA(LEFT(SPLIT(resto,"" ""),1) &amp; "".""))
 "&amp;" ),
  UPPER(primer) &amp; "" "" &amp; UPPER(iniciales)
))"),"")</f>
        <v/>
      </c>
      <c r="J88" s="33" t="str">
        <f>IFERROR(__xludf.DUMMYFUNCTION("IF(H88="""","""",IFERROR(
IF(REGEXMATCH(E88,""VELOCIDAD""),
   IF(H88&gt;=MAX(INDEX(BAREMOS!F:X,MATCH(1,(BAREMOS!A:A=A88)*(BAREMOS!B:B=B88)*(BAREMOS!C:C=C88)*(BAREMOS!D:D=D88),0),0)),1,
      IF(H88&lt;=MIN(INDEX(BAREMOS!F:X,MATCH(1,(BAREMOS!A:A=A88)*(BAREMOS!B"&amp;":B=B88)*(BAREMOS!C:C=C88)*(BAREMOS!D:D=D88),0),0)),19,
         MATCH(H88,INDEX(BAREMOS!F:X,MATCH(1,(BAREMOS!A:A=A88)*(BAREMOS!B:B=B88)*(BAREMOS!C:C=C88)*(BAREMOS!D:D=D88),0),0),-1)
      )
   ),
   IF(H88&lt;=MIN(INDEX(BAREMOS!F:X,MATCH(1,(BAREMOS!A:A=A88)*"&amp;"(BAREMOS!B:B=B88)*(BAREMOS!C:C=C88)*(BAREMOS!D:D=D88),0),0)),1,
      IF(H88&gt;=MAX(INDEX(BAREMOS!F:X,MATCH(1,(BAREMOS!A:A=A88)*(BAREMOS!B:B=B88)*(BAREMOS!C:C=C88)*(BAREMOS!D:D=D88),0),0)),19,
         MATCH(H88,INDEX(BAREMOS!F:X,MATCH(1,(BAREMOS!A:A=A88)*("&amp;"BAREMOS!B:B=B88)*(BAREMOS!C:C=C88)*(BAREMOS!D:D=D88),0),0),1)
      )
   )
)
,""""))
"),"")</f>
        <v/>
      </c>
      <c r="K88" s="34" t="str">
        <f t="shared" si="1"/>
        <v/>
      </c>
      <c r="L88" s="16"/>
      <c r="M88" s="16"/>
      <c r="N88" s="16"/>
      <c r="O88" s="16"/>
      <c r="P88" s="16"/>
      <c r="Q88" s="16"/>
      <c r="R88" s="16"/>
      <c r="S88" s="16"/>
      <c r="T88" s="16"/>
      <c r="U88" s="16"/>
      <c r="V88" s="16"/>
      <c r="W88" s="16"/>
      <c r="X88" s="16"/>
      <c r="Y88" s="16"/>
      <c r="Z88" s="16"/>
      <c r="AA88" s="16"/>
      <c r="AB88" s="16"/>
      <c r="AC88" s="16"/>
    </row>
    <row r="89">
      <c r="A89" s="22" t="str">
        <f t="array" ref="A89">IF(E89="","",IFERROR(INDEX(CONFIGURACION!C:C,MATCH(E89,CONFIGURACION!E:E,0)),""))
</f>
        <v/>
      </c>
      <c r="B89" s="22" t="str">
        <f t="array" ref="B89">IF(E89="","",IFERROR(INDEX(CONFIGURACION!D:D,MATCH(E89,CONFIGURACION!E:E,0)),""))
</f>
        <v/>
      </c>
      <c r="C89" s="31"/>
      <c r="D89" s="9"/>
      <c r="E89" s="6"/>
      <c r="F89" s="24"/>
      <c r="G89" s="9"/>
      <c r="H89" s="32"/>
      <c r="I89" s="33" t="str">
        <f>IFERROR(__xludf.DUMMYFUNCTION("IF(F89="""","""",LET(
  nombre, TRIM(F89),
  primer, REGEXEXTRACT(nombre, ""^\S+""),
  resto, TRIM(REGEXREPLACE(nombre, ""^\S+\s*"", """")),
  iniciales, IF(
    resto="""",
    """",
    TEXTJOIN("""",1,ARRAYFORMULA(LEFT(SPLIT(resto,"" ""),1) &amp; "".""))
 "&amp;" ),
  UPPER(primer) &amp; "" "" &amp; UPPER(iniciales)
))"),"")</f>
        <v/>
      </c>
      <c r="J89" s="33" t="str">
        <f>IFERROR(__xludf.DUMMYFUNCTION("IF(H89="""","""",IFERROR(
IF(REGEXMATCH(E89,""VELOCIDAD""),
   IF(H89&gt;=MAX(INDEX(BAREMOS!F:X,MATCH(1,(BAREMOS!A:A=A89)*(BAREMOS!B:B=B89)*(BAREMOS!C:C=C89)*(BAREMOS!D:D=D89),0),0)),1,
      IF(H89&lt;=MIN(INDEX(BAREMOS!F:X,MATCH(1,(BAREMOS!A:A=A89)*(BAREMOS!B"&amp;":B=B89)*(BAREMOS!C:C=C89)*(BAREMOS!D:D=D89),0),0)),19,
         MATCH(H89,INDEX(BAREMOS!F:X,MATCH(1,(BAREMOS!A:A=A89)*(BAREMOS!B:B=B89)*(BAREMOS!C:C=C89)*(BAREMOS!D:D=D89),0),0),-1)
      )
   ),
   IF(H89&lt;=MIN(INDEX(BAREMOS!F:X,MATCH(1,(BAREMOS!A:A=A89)*"&amp;"(BAREMOS!B:B=B89)*(BAREMOS!C:C=C89)*(BAREMOS!D:D=D89),0),0)),1,
      IF(H89&gt;=MAX(INDEX(BAREMOS!F:X,MATCH(1,(BAREMOS!A:A=A89)*(BAREMOS!B:B=B89)*(BAREMOS!C:C=C89)*(BAREMOS!D:D=D89),0),0)),19,
         MATCH(H89,INDEX(BAREMOS!F:X,MATCH(1,(BAREMOS!A:A=A89)*("&amp;"BAREMOS!B:B=B89)*(BAREMOS!C:C=C89)*(BAREMOS!D:D=D89),0),0),1)
      )
   )
)
,""""))
"),"")</f>
        <v/>
      </c>
      <c r="K89" s="34" t="str">
        <f t="shared" si="1"/>
        <v/>
      </c>
      <c r="L89" s="16"/>
      <c r="M89" s="16"/>
      <c r="N89" s="16"/>
      <c r="O89" s="16"/>
      <c r="P89" s="16"/>
      <c r="Q89" s="16"/>
      <c r="R89" s="16"/>
      <c r="S89" s="16"/>
      <c r="T89" s="16"/>
      <c r="U89" s="16"/>
      <c r="V89" s="16"/>
      <c r="W89" s="16"/>
      <c r="X89" s="16"/>
      <c r="Y89" s="16"/>
      <c r="Z89" s="16"/>
      <c r="AA89" s="16"/>
      <c r="AB89" s="16"/>
      <c r="AC89" s="16"/>
    </row>
    <row r="90">
      <c r="A90" s="22" t="str">
        <f t="array" ref="A90">IF(E90="","",IFERROR(INDEX(CONFIGURACION!C:C,MATCH(E90,CONFIGURACION!E:E,0)),""))
</f>
        <v/>
      </c>
      <c r="B90" s="22" t="str">
        <f t="array" ref="B90">IF(E90="","",IFERROR(INDEX(CONFIGURACION!D:D,MATCH(E90,CONFIGURACION!E:E,0)),""))
</f>
        <v/>
      </c>
      <c r="C90" s="31"/>
      <c r="D90" s="9"/>
      <c r="E90" s="6"/>
      <c r="F90" s="24"/>
      <c r="G90" s="9"/>
      <c r="H90" s="32"/>
      <c r="I90" s="33" t="str">
        <f>IFERROR(__xludf.DUMMYFUNCTION("IF(F90="""","""",LET(
  nombre, TRIM(F90),
  primer, REGEXEXTRACT(nombre, ""^\S+""),
  resto, TRIM(REGEXREPLACE(nombre, ""^\S+\s*"", """")),
  iniciales, IF(
    resto="""",
    """",
    TEXTJOIN("""",1,ARRAYFORMULA(LEFT(SPLIT(resto,"" ""),1) &amp; "".""))
 "&amp;" ),
  UPPER(primer) &amp; "" "" &amp; UPPER(iniciales)
))"),"")</f>
        <v/>
      </c>
      <c r="J90" s="33" t="str">
        <f>IFERROR(__xludf.DUMMYFUNCTION("IF(H90="""","""",IFERROR(
IF(REGEXMATCH(E90,""VELOCIDAD""),
   IF(H90&gt;=MAX(INDEX(BAREMOS!F:X,MATCH(1,(BAREMOS!A:A=A90)*(BAREMOS!B:B=B90)*(BAREMOS!C:C=C90)*(BAREMOS!D:D=D90),0),0)),1,
      IF(H90&lt;=MIN(INDEX(BAREMOS!F:X,MATCH(1,(BAREMOS!A:A=A90)*(BAREMOS!B"&amp;":B=B90)*(BAREMOS!C:C=C90)*(BAREMOS!D:D=D90),0),0)),19,
         MATCH(H90,INDEX(BAREMOS!F:X,MATCH(1,(BAREMOS!A:A=A90)*(BAREMOS!B:B=B90)*(BAREMOS!C:C=C90)*(BAREMOS!D:D=D90),0),0),-1)
      )
   ),
   IF(H90&lt;=MIN(INDEX(BAREMOS!F:X,MATCH(1,(BAREMOS!A:A=A90)*"&amp;"(BAREMOS!B:B=B90)*(BAREMOS!C:C=C90)*(BAREMOS!D:D=D90),0),0)),1,
      IF(H90&gt;=MAX(INDEX(BAREMOS!F:X,MATCH(1,(BAREMOS!A:A=A90)*(BAREMOS!B:B=B90)*(BAREMOS!C:C=C90)*(BAREMOS!D:D=D90),0),0)),19,
         MATCH(H90,INDEX(BAREMOS!F:X,MATCH(1,(BAREMOS!A:A=A90)*("&amp;"BAREMOS!B:B=B90)*(BAREMOS!C:C=C90)*(BAREMOS!D:D=D90),0),0),1)
      )
   )
)
,""""))
"),"")</f>
        <v/>
      </c>
      <c r="K90" s="34" t="str">
        <f t="shared" si="1"/>
        <v/>
      </c>
      <c r="L90" s="16"/>
      <c r="M90" s="16"/>
      <c r="N90" s="16"/>
      <c r="O90" s="16"/>
      <c r="P90" s="16"/>
      <c r="Q90" s="16"/>
      <c r="R90" s="16"/>
      <c r="S90" s="16"/>
      <c r="T90" s="16"/>
      <c r="U90" s="16"/>
      <c r="V90" s="16"/>
      <c r="W90" s="16"/>
      <c r="X90" s="16"/>
      <c r="Y90" s="16"/>
      <c r="Z90" s="16"/>
      <c r="AA90" s="16"/>
      <c r="AB90" s="16"/>
      <c r="AC90" s="16"/>
    </row>
    <row r="91">
      <c r="A91" s="22" t="str">
        <f t="array" ref="A91">IF(E91="","",IFERROR(INDEX(CONFIGURACION!C:C,MATCH(E91,CONFIGURACION!E:E,0)),""))
</f>
        <v/>
      </c>
      <c r="B91" s="22" t="str">
        <f t="array" ref="B91">IF(E91="","",IFERROR(INDEX(CONFIGURACION!D:D,MATCH(E91,CONFIGURACION!E:E,0)),""))
</f>
        <v/>
      </c>
      <c r="C91" s="31"/>
      <c r="D91" s="9"/>
      <c r="E91" s="6"/>
      <c r="F91" s="24"/>
      <c r="G91" s="9"/>
      <c r="H91" s="32"/>
      <c r="I91" s="33" t="str">
        <f>IFERROR(__xludf.DUMMYFUNCTION("IF(F91="""","""",LET(
  nombre, TRIM(F91),
  primer, REGEXEXTRACT(nombre, ""^\S+""),
  resto, TRIM(REGEXREPLACE(nombre, ""^\S+\s*"", """")),
  iniciales, IF(
    resto="""",
    """",
    TEXTJOIN("""",1,ARRAYFORMULA(LEFT(SPLIT(resto,"" ""),1) &amp; "".""))
 "&amp;" ),
  UPPER(primer) &amp; "" "" &amp; UPPER(iniciales)
))"),"")</f>
        <v/>
      </c>
      <c r="J91" s="33" t="str">
        <f>IFERROR(__xludf.DUMMYFUNCTION("IF(H91="""","""",IFERROR(
IF(REGEXMATCH(E91,""VELOCIDAD""),
   IF(H91&gt;=MAX(INDEX(BAREMOS!F:X,MATCH(1,(BAREMOS!A:A=A91)*(BAREMOS!B:B=B91)*(BAREMOS!C:C=C91)*(BAREMOS!D:D=D91),0),0)),1,
      IF(H91&lt;=MIN(INDEX(BAREMOS!F:X,MATCH(1,(BAREMOS!A:A=A91)*(BAREMOS!B"&amp;":B=B91)*(BAREMOS!C:C=C91)*(BAREMOS!D:D=D91),0),0)),19,
         MATCH(H91,INDEX(BAREMOS!F:X,MATCH(1,(BAREMOS!A:A=A91)*(BAREMOS!B:B=B91)*(BAREMOS!C:C=C91)*(BAREMOS!D:D=D91),0),0),-1)
      )
   ),
   IF(H91&lt;=MIN(INDEX(BAREMOS!F:X,MATCH(1,(BAREMOS!A:A=A91)*"&amp;"(BAREMOS!B:B=B91)*(BAREMOS!C:C=C91)*(BAREMOS!D:D=D91),0),0)),1,
      IF(H91&gt;=MAX(INDEX(BAREMOS!F:X,MATCH(1,(BAREMOS!A:A=A91)*(BAREMOS!B:B=B91)*(BAREMOS!C:C=C91)*(BAREMOS!D:D=D91),0),0)),19,
         MATCH(H91,INDEX(BAREMOS!F:X,MATCH(1,(BAREMOS!A:A=A91)*("&amp;"BAREMOS!B:B=B91)*(BAREMOS!C:C=C91)*(BAREMOS!D:D=D91),0),0),1)
      )
   )
)
,""""))
"),"")</f>
        <v/>
      </c>
      <c r="K91" s="34" t="str">
        <f t="shared" si="1"/>
        <v/>
      </c>
      <c r="L91" s="16"/>
      <c r="M91" s="16"/>
      <c r="N91" s="16"/>
      <c r="O91" s="16"/>
      <c r="P91" s="16"/>
      <c r="Q91" s="16"/>
      <c r="R91" s="16"/>
      <c r="S91" s="16"/>
      <c r="T91" s="16"/>
      <c r="U91" s="16"/>
      <c r="V91" s="16"/>
      <c r="W91" s="16"/>
      <c r="X91" s="16"/>
      <c r="Y91" s="16"/>
      <c r="Z91" s="16"/>
      <c r="AA91" s="16"/>
      <c r="AB91" s="16"/>
      <c r="AC91" s="16"/>
    </row>
    <row r="92">
      <c r="A92" s="22" t="str">
        <f t="array" ref="A92">IF(E92="","",IFERROR(INDEX(CONFIGURACION!C:C,MATCH(E92,CONFIGURACION!E:E,0)),""))
</f>
        <v/>
      </c>
      <c r="B92" s="22" t="str">
        <f t="array" ref="B92">IF(E92="","",IFERROR(INDEX(CONFIGURACION!D:D,MATCH(E92,CONFIGURACION!E:E,0)),""))
</f>
        <v/>
      </c>
      <c r="C92" s="31"/>
      <c r="D92" s="9"/>
      <c r="E92" s="6"/>
      <c r="F92" s="24"/>
      <c r="G92" s="9"/>
      <c r="H92" s="32"/>
      <c r="I92" s="33" t="str">
        <f>IFERROR(__xludf.DUMMYFUNCTION("IF(F92="""","""",LET(
  nombre, TRIM(F92),
  primer, REGEXEXTRACT(nombre, ""^\S+""),
  resto, TRIM(REGEXREPLACE(nombre, ""^\S+\s*"", """")),
  iniciales, IF(
    resto="""",
    """",
    TEXTJOIN("""",1,ARRAYFORMULA(LEFT(SPLIT(resto,"" ""),1) &amp; "".""))
 "&amp;" ),
  UPPER(primer) &amp; "" "" &amp; UPPER(iniciales)
))"),"")</f>
        <v/>
      </c>
      <c r="J92" s="33" t="str">
        <f>IFERROR(__xludf.DUMMYFUNCTION("IF(H92="""","""",IFERROR(
IF(REGEXMATCH(E92,""VELOCIDAD""),
   IF(H92&gt;=MAX(INDEX(BAREMOS!F:X,MATCH(1,(BAREMOS!A:A=A92)*(BAREMOS!B:B=B92)*(BAREMOS!C:C=C92)*(BAREMOS!D:D=D92),0),0)),1,
      IF(H92&lt;=MIN(INDEX(BAREMOS!F:X,MATCH(1,(BAREMOS!A:A=A92)*(BAREMOS!B"&amp;":B=B92)*(BAREMOS!C:C=C92)*(BAREMOS!D:D=D92),0),0)),19,
         MATCH(H92,INDEX(BAREMOS!F:X,MATCH(1,(BAREMOS!A:A=A92)*(BAREMOS!B:B=B92)*(BAREMOS!C:C=C92)*(BAREMOS!D:D=D92),0),0),-1)
      )
   ),
   IF(H92&lt;=MIN(INDEX(BAREMOS!F:X,MATCH(1,(BAREMOS!A:A=A92)*"&amp;"(BAREMOS!B:B=B92)*(BAREMOS!C:C=C92)*(BAREMOS!D:D=D92),0),0)),1,
      IF(H92&gt;=MAX(INDEX(BAREMOS!F:X,MATCH(1,(BAREMOS!A:A=A92)*(BAREMOS!B:B=B92)*(BAREMOS!C:C=C92)*(BAREMOS!D:D=D92),0),0)),19,
         MATCH(H92,INDEX(BAREMOS!F:X,MATCH(1,(BAREMOS!A:A=A92)*("&amp;"BAREMOS!B:B=B92)*(BAREMOS!C:C=C92)*(BAREMOS!D:D=D92),0),0),1)
      )
   )
)
,""""))
"),"")</f>
        <v/>
      </c>
      <c r="K92" s="34" t="str">
        <f t="shared" si="1"/>
        <v/>
      </c>
      <c r="L92" s="16"/>
      <c r="M92" s="16"/>
      <c r="N92" s="16"/>
      <c r="O92" s="16"/>
      <c r="P92" s="16"/>
      <c r="Q92" s="16"/>
      <c r="R92" s="16"/>
      <c r="S92" s="16"/>
      <c r="T92" s="16"/>
      <c r="U92" s="16"/>
      <c r="V92" s="16"/>
      <c r="W92" s="16"/>
      <c r="X92" s="16"/>
      <c r="Y92" s="16"/>
      <c r="Z92" s="16"/>
      <c r="AA92" s="16"/>
      <c r="AB92" s="16"/>
      <c r="AC92" s="16"/>
    </row>
    <row r="93">
      <c r="A93" s="22" t="str">
        <f t="array" ref="A93">IF(E93="","",IFERROR(INDEX(CONFIGURACION!C:C,MATCH(E93,CONFIGURACION!E:E,0)),""))
</f>
        <v/>
      </c>
      <c r="B93" s="22" t="str">
        <f t="array" ref="B93">IF(E93="","",IFERROR(INDEX(CONFIGURACION!D:D,MATCH(E93,CONFIGURACION!E:E,0)),""))
</f>
        <v/>
      </c>
      <c r="C93" s="31"/>
      <c r="D93" s="9"/>
      <c r="E93" s="6"/>
      <c r="F93" s="24"/>
      <c r="G93" s="9"/>
      <c r="H93" s="32"/>
      <c r="I93" s="33" t="str">
        <f>IFERROR(__xludf.DUMMYFUNCTION("IF(F93="""","""",LET(
  nombre, TRIM(F93),
  primer, REGEXEXTRACT(nombre, ""^\S+""),
  resto, TRIM(REGEXREPLACE(nombre, ""^\S+\s*"", """")),
  iniciales, IF(
    resto="""",
    """",
    TEXTJOIN("""",1,ARRAYFORMULA(LEFT(SPLIT(resto,"" ""),1) &amp; "".""))
 "&amp;" ),
  UPPER(primer) &amp; "" "" &amp; UPPER(iniciales)
))"),"")</f>
        <v/>
      </c>
      <c r="J93" s="33" t="str">
        <f>IFERROR(__xludf.DUMMYFUNCTION("IF(H93="""","""",IFERROR(
IF(REGEXMATCH(E93,""VELOCIDAD""),
   IF(H93&gt;=MAX(INDEX(BAREMOS!F:X,MATCH(1,(BAREMOS!A:A=A93)*(BAREMOS!B:B=B93)*(BAREMOS!C:C=C93)*(BAREMOS!D:D=D93),0),0)),1,
      IF(H93&lt;=MIN(INDEX(BAREMOS!F:X,MATCH(1,(BAREMOS!A:A=A93)*(BAREMOS!B"&amp;":B=B93)*(BAREMOS!C:C=C93)*(BAREMOS!D:D=D93),0),0)),19,
         MATCH(H93,INDEX(BAREMOS!F:X,MATCH(1,(BAREMOS!A:A=A93)*(BAREMOS!B:B=B93)*(BAREMOS!C:C=C93)*(BAREMOS!D:D=D93),0),0),-1)
      )
   ),
   IF(H93&lt;=MIN(INDEX(BAREMOS!F:X,MATCH(1,(BAREMOS!A:A=A93)*"&amp;"(BAREMOS!B:B=B93)*(BAREMOS!C:C=C93)*(BAREMOS!D:D=D93),0),0)),1,
      IF(H93&gt;=MAX(INDEX(BAREMOS!F:X,MATCH(1,(BAREMOS!A:A=A93)*(BAREMOS!B:B=B93)*(BAREMOS!C:C=C93)*(BAREMOS!D:D=D93),0),0)),19,
         MATCH(H93,INDEX(BAREMOS!F:X,MATCH(1,(BAREMOS!A:A=A93)*("&amp;"BAREMOS!B:B=B93)*(BAREMOS!C:C=C93)*(BAREMOS!D:D=D93),0),0),1)
      )
   )
)
,""""))
"),"")</f>
        <v/>
      </c>
      <c r="K93" s="34" t="str">
        <f t="shared" si="1"/>
        <v/>
      </c>
      <c r="L93" s="16"/>
      <c r="M93" s="16"/>
      <c r="N93" s="16"/>
      <c r="O93" s="16"/>
      <c r="P93" s="16"/>
      <c r="Q93" s="16"/>
      <c r="R93" s="16"/>
      <c r="S93" s="16"/>
      <c r="T93" s="16"/>
      <c r="U93" s="16"/>
      <c r="V93" s="16"/>
      <c r="W93" s="16"/>
      <c r="X93" s="16"/>
      <c r="Y93" s="16"/>
      <c r="Z93" s="16"/>
      <c r="AA93" s="16"/>
      <c r="AB93" s="16"/>
      <c r="AC93" s="16"/>
    </row>
    <row r="94">
      <c r="A94" s="22" t="str">
        <f t="array" ref="A94">IF(E94="","",IFERROR(INDEX(CONFIGURACION!C:C,MATCH(E94,CONFIGURACION!E:E,0)),""))
</f>
        <v/>
      </c>
      <c r="B94" s="22" t="str">
        <f t="array" ref="B94">IF(E94="","",IFERROR(INDEX(CONFIGURACION!D:D,MATCH(E94,CONFIGURACION!E:E,0)),""))
</f>
        <v/>
      </c>
      <c r="C94" s="31"/>
      <c r="D94" s="9"/>
      <c r="E94" s="6"/>
      <c r="F94" s="24"/>
      <c r="G94" s="9"/>
      <c r="H94" s="32"/>
      <c r="I94" s="33" t="str">
        <f>IFERROR(__xludf.DUMMYFUNCTION("IF(F94="""","""",LET(
  nombre, TRIM(F94),
  primer, REGEXEXTRACT(nombre, ""^\S+""),
  resto, TRIM(REGEXREPLACE(nombre, ""^\S+\s*"", """")),
  iniciales, IF(
    resto="""",
    """",
    TEXTJOIN("""",1,ARRAYFORMULA(LEFT(SPLIT(resto,"" ""),1) &amp; "".""))
 "&amp;" ),
  UPPER(primer) &amp; "" "" &amp; UPPER(iniciales)
))"),"")</f>
        <v/>
      </c>
      <c r="J94" s="33" t="str">
        <f>IFERROR(__xludf.DUMMYFUNCTION("IF(H94="""","""",IFERROR(
IF(REGEXMATCH(E94,""VELOCIDAD""),
   IF(H94&gt;=MAX(INDEX(BAREMOS!F:X,MATCH(1,(BAREMOS!A:A=A94)*(BAREMOS!B:B=B94)*(BAREMOS!C:C=C94)*(BAREMOS!D:D=D94),0),0)),1,
      IF(H94&lt;=MIN(INDEX(BAREMOS!F:X,MATCH(1,(BAREMOS!A:A=A94)*(BAREMOS!B"&amp;":B=B94)*(BAREMOS!C:C=C94)*(BAREMOS!D:D=D94),0),0)),19,
         MATCH(H94,INDEX(BAREMOS!F:X,MATCH(1,(BAREMOS!A:A=A94)*(BAREMOS!B:B=B94)*(BAREMOS!C:C=C94)*(BAREMOS!D:D=D94),0),0),-1)
      )
   ),
   IF(H94&lt;=MIN(INDEX(BAREMOS!F:X,MATCH(1,(BAREMOS!A:A=A94)*"&amp;"(BAREMOS!B:B=B94)*(BAREMOS!C:C=C94)*(BAREMOS!D:D=D94),0),0)),1,
      IF(H94&gt;=MAX(INDEX(BAREMOS!F:X,MATCH(1,(BAREMOS!A:A=A94)*(BAREMOS!B:B=B94)*(BAREMOS!C:C=C94)*(BAREMOS!D:D=D94),0),0)),19,
         MATCH(H94,INDEX(BAREMOS!F:X,MATCH(1,(BAREMOS!A:A=A94)*("&amp;"BAREMOS!B:B=B94)*(BAREMOS!C:C=C94)*(BAREMOS!D:D=D94),0),0),1)
      )
   )
)
,""""))
"),"")</f>
        <v/>
      </c>
      <c r="K94" s="34" t="str">
        <f t="shared" si="1"/>
        <v/>
      </c>
      <c r="L94" s="16"/>
      <c r="M94" s="16"/>
      <c r="N94" s="16"/>
      <c r="O94" s="16"/>
      <c r="P94" s="16"/>
      <c r="Q94" s="16"/>
      <c r="R94" s="16"/>
      <c r="S94" s="16"/>
      <c r="T94" s="16"/>
      <c r="U94" s="16"/>
      <c r="V94" s="16"/>
      <c r="W94" s="16"/>
      <c r="X94" s="16"/>
      <c r="Y94" s="16"/>
      <c r="Z94" s="16"/>
      <c r="AA94" s="16"/>
      <c r="AB94" s="16"/>
      <c r="AC94" s="16"/>
    </row>
    <row r="95">
      <c r="A95" s="22" t="str">
        <f t="array" ref="A95">IF(E95="","",IFERROR(INDEX(CONFIGURACION!C:C,MATCH(E95,CONFIGURACION!E:E,0)),""))
</f>
        <v/>
      </c>
      <c r="B95" s="22" t="str">
        <f t="array" ref="B95">IF(E95="","",IFERROR(INDEX(CONFIGURACION!D:D,MATCH(E95,CONFIGURACION!E:E,0)),""))
</f>
        <v/>
      </c>
      <c r="C95" s="31"/>
      <c r="D95" s="9"/>
      <c r="E95" s="6"/>
      <c r="F95" s="24"/>
      <c r="G95" s="9"/>
      <c r="H95" s="32"/>
      <c r="I95" s="33" t="str">
        <f>IFERROR(__xludf.DUMMYFUNCTION("IF(F95="""","""",LET(
  nombre, TRIM(F95),
  primer, REGEXEXTRACT(nombre, ""^\S+""),
  resto, TRIM(REGEXREPLACE(nombre, ""^\S+\s*"", """")),
  iniciales, IF(
    resto="""",
    """",
    TEXTJOIN("""",1,ARRAYFORMULA(LEFT(SPLIT(resto,"" ""),1) &amp; "".""))
 "&amp;" ),
  UPPER(primer) &amp; "" "" &amp; UPPER(iniciales)
))"),"")</f>
        <v/>
      </c>
      <c r="J95" s="33" t="str">
        <f>IFERROR(__xludf.DUMMYFUNCTION("IF(H95="""","""",IFERROR(
IF(REGEXMATCH(E95,""VELOCIDAD""),
   IF(H95&gt;=MAX(INDEX(BAREMOS!F:X,MATCH(1,(BAREMOS!A:A=A95)*(BAREMOS!B:B=B95)*(BAREMOS!C:C=C95)*(BAREMOS!D:D=D95),0),0)),1,
      IF(H95&lt;=MIN(INDEX(BAREMOS!F:X,MATCH(1,(BAREMOS!A:A=A95)*(BAREMOS!B"&amp;":B=B95)*(BAREMOS!C:C=C95)*(BAREMOS!D:D=D95),0),0)),19,
         MATCH(H95,INDEX(BAREMOS!F:X,MATCH(1,(BAREMOS!A:A=A95)*(BAREMOS!B:B=B95)*(BAREMOS!C:C=C95)*(BAREMOS!D:D=D95),0),0),-1)
      )
   ),
   IF(H95&lt;=MIN(INDEX(BAREMOS!F:X,MATCH(1,(BAREMOS!A:A=A95)*"&amp;"(BAREMOS!B:B=B95)*(BAREMOS!C:C=C95)*(BAREMOS!D:D=D95),0),0)),1,
      IF(H95&gt;=MAX(INDEX(BAREMOS!F:X,MATCH(1,(BAREMOS!A:A=A95)*(BAREMOS!B:B=B95)*(BAREMOS!C:C=C95)*(BAREMOS!D:D=D95),0),0)),19,
         MATCH(H95,INDEX(BAREMOS!F:X,MATCH(1,(BAREMOS!A:A=A95)*("&amp;"BAREMOS!B:B=B95)*(BAREMOS!C:C=C95)*(BAREMOS!D:D=D95),0),0),1)
      )
   )
)
,""""))
"),"")</f>
        <v/>
      </c>
      <c r="K95" s="34" t="str">
        <f t="shared" si="1"/>
        <v/>
      </c>
      <c r="L95" s="16"/>
      <c r="M95" s="16"/>
      <c r="N95" s="16"/>
      <c r="O95" s="16"/>
      <c r="P95" s="16"/>
      <c r="Q95" s="16"/>
      <c r="R95" s="16"/>
      <c r="S95" s="16"/>
      <c r="T95" s="16"/>
      <c r="U95" s="16"/>
      <c r="V95" s="16"/>
      <c r="W95" s="16"/>
      <c r="X95" s="16"/>
      <c r="Y95" s="16"/>
      <c r="Z95" s="16"/>
      <c r="AA95" s="16"/>
      <c r="AB95" s="16"/>
      <c r="AC95" s="16"/>
    </row>
    <row r="96">
      <c r="A96" s="22" t="str">
        <f t="array" ref="A96">IF(E96="","",IFERROR(INDEX(CONFIGURACION!C:C,MATCH(E96,CONFIGURACION!E:E,0)),""))
</f>
        <v/>
      </c>
      <c r="B96" s="22" t="str">
        <f t="array" ref="B96">IF(E96="","",IFERROR(INDEX(CONFIGURACION!D:D,MATCH(E96,CONFIGURACION!E:E,0)),""))
</f>
        <v/>
      </c>
      <c r="C96" s="31"/>
      <c r="D96" s="9"/>
      <c r="E96" s="6"/>
      <c r="F96" s="24"/>
      <c r="G96" s="9"/>
      <c r="H96" s="32"/>
      <c r="I96" s="33" t="str">
        <f>IFERROR(__xludf.DUMMYFUNCTION("IF(F96="""","""",LET(
  nombre, TRIM(F96),
  primer, REGEXEXTRACT(nombre, ""^\S+""),
  resto, TRIM(REGEXREPLACE(nombre, ""^\S+\s*"", """")),
  iniciales, IF(
    resto="""",
    """",
    TEXTJOIN("""",1,ARRAYFORMULA(LEFT(SPLIT(resto,"" ""),1) &amp; "".""))
 "&amp;" ),
  UPPER(primer) &amp; "" "" &amp; UPPER(iniciales)
))"),"")</f>
        <v/>
      </c>
      <c r="J96" s="33" t="str">
        <f>IFERROR(__xludf.DUMMYFUNCTION("IF(H96="""","""",IFERROR(
IF(REGEXMATCH(E96,""VELOCIDAD""),
   IF(H96&gt;=MAX(INDEX(BAREMOS!F:X,MATCH(1,(BAREMOS!A:A=A96)*(BAREMOS!B:B=B96)*(BAREMOS!C:C=C96)*(BAREMOS!D:D=D96),0),0)),1,
      IF(H96&lt;=MIN(INDEX(BAREMOS!F:X,MATCH(1,(BAREMOS!A:A=A96)*(BAREMOS!B"&amp;":B=B96)*(BAREMOS!C:C=C96)*(BAREMOS!D:D=D96),0),0)),19,
         MATCH(H96,INDEX(BAREMOS!F:X,MATCH(1,(BAREMOS!A:A=A96)*(BAREMOS!B:B=B96)*(BAREMOS!C:C=C96)*(BAREMOS!D:D=D96),0),0),-1)
      )
   ),
   IF(H96&lt;=MIN(INDEX(BAREMOS!F:X,MATCH(1,(BAREMOS!A:A=A96)*"&amp;"(BAREMOS!B:B=B96)*(BAREMOS!C:C=C96)*(BAREMOS!D:D=D96),0),0)),1,
      IF(H96&gt;=MAX(INDEX(BAREMOS!F:X,MATCH(1,(BAREMOS!A:A=A96)*(BAREMOS!B:B=B96)*(BAREMOS!C:C=C96)*(BAREMOS!D:D=D96),0),0)),19,
         MATCH(H96,INDEX(BAREMOS!F:X,MATCH(1,(BAREMOS!A:A=A96)*("&amp;"BAREMOS!B:B=B96)*(BAREMOS!C:C=C96)*(BAREMOS!D:D=D96),0),0),1)
      )
   )
)
,""""))
"),"")</f>
        <v/>
      </c>
      <c r="K96" s="34" t="str">
        <f t="shared" si="1"/>
        <v/>
      </c>
      <c r="L96" s="16"/>
      <c r="M96" s="16"/>
      <c r="N96" s="16"/>
      <c r="O96" s="16"/>
      <c r="P96" s="16"/>
      <c r="Q96" s="16"/>
      <c r="R96" s="16"/>
      <c r="S96" s="16"/>
      <c r="T96" s="16"/>
      <c r="U96" s="16"/>
      <c r="V96" s="16"/>
      <c r="W96" s="16"/>
      <c r="X96" s="16"/>
      <c r="Y96" s="16"/>
      <c r="Z96" s="16"/>
      <c r="AA96" s="16"/>
      <c r="AB96" s="16"/>
      <c r="AC96" s="16"/>
    </row>
    <row r="97">
      <c r="A97" s="22" t="str">
        <f t="array" ref="A97">IF(E97="","",IFERROR(INDEX(CONFIGURACION!C:C,MATCH(E97,CONFIGURACION!E:E,0)),""))
</f>
        <v/>
      </c>
      <c r="B97" s="22" t="str">
        <f t="array" ref="B97">IF(E97="","",IFERROR(INDEX(CONFIGURACION!D:D,MATCH(E97,CONFIGURACION!E:E,0)),""))
</f>
        <v/>
      </c>
      <c r="C97" s="31"/>
      <c r="D97" s="9"/>
      <c r="E97" s="6"/>
      <c r="F97" s="24"/>
      <c r="G97" s="9"/>
      <c r="H97" s="32"/>
      <c r="I97" s="33" t="str">
        <f>IFERROR(__xludf.DUMMYFUNCTION("IF(F97="""","""",LET(
  nombre, TRIM(F97),
  primer, REGEXEXTRACT(nombre, ""^\S+""),
  resto, TRIM(REGEXREPLACE(nombre, ""^\S+\s*"", """")),
  iniciales, IF(
    resto="""",
    """",
    TEXTJOIN("""",1,ARRAYFORMULA(LEFT(SPLIT(resto,"" ""),1) &amp; "".""))
 "&amp;" ),
  UPPER(primer) &amp; "" "" &amp; UPPER(iniciales)
))"),"")</f>
        <v/>
      </c>
      <c r="J97" s="33" t="str">
        <f>IFERROR(__xludf.DUMMYFUNCTION("IF(H97="""","""",IFERROR(
IF(REGEXMATCH(E97,""VELOCIDAD""),
   IF(H97&gt;=MAX(INDEX(BAREMOS!F:X,MATCH(1,(BAREMOS!A:A=A97)*(BAREMOS!B:B=B97)*(BAREMOS!C:C=C97)*(BAREMOS!D:D=D97),0),0)),1,
      IF(H97&lt;=MIN(INDEX(BAREMOS!F:X,MATCH(1,(BAREMOS!A:A=A97)*(BAREMOS!B"&amp;":B=B97)*(BAREMOS!C:C=C97)*(BAREMOS!D:D=D97),0),0)),19,
         MATCH(H97,INDEX(BAREMOS!F:X,MATCH(1,(BAREMOS!A:A=A97)*(BAREMOS!B:B=B97)*(BAREMOS!C:C=C97)*(BAREMOS!D:D=D97),0),0),-1)
      )
   ),
   IF(H97&lt;=MIN(INDEX(BAREMOS!F:X,MATCH(1,(BAREMOS!A:A=A97)*"&amp;"(BAREMOS!B:B=B97)*(BAREMOS!C:C=C97)*(BAREMOS!D:D=D97),0),0)),1,
      IF(H97&gt;=MAX(INDEX(BAREMOS!F:X,MATCH(1,(BAREMOS!A:A=A97)*(BAREMOS!B:B=B97)*(BAREMOS!C:C=C97)*(BAREMOS!D:D=D97),0),0)),19,
         MATCH(H97,INDEX(BAREMOS!F:X,MATCH(1,(BAREMOS!A:A=A97)*("&amp;"BAREMOS!B:B=B97)*(BAREMOS!C:C=C97)*(BAREMOS!D:D=D97),0),0),1)
      )
   )
)
,""""))
"),"")</f>
        <v/>
      </c>
      <c r="K97" s="34" t="str">
        <f t="shared" si="1"/>
        <v/>
      </c>
      <c r="L97" s="16"/>
      <c r="M97" s="16"/>
      <c r="N97" s="16"/>
      <c r="O97" s="16"/>
      <c r="P97" s="16"/>
      <c r="Q97" s="16"/>
      <c r="R97" s="16"/>
      <c r="S97" s="16"/>
      <c r="T97" s="16"/>
      <c r="U97" s="16"/>
      <c r="V97" s="16"/>
      <c r="W97" s="16"/>
      <c r="X97" s="16"/>
      <c r="Y97" s="16"/>
      <c r="Z97" s="16"/>
      <c r="AA97" s="16"/>
      <c r="AB97" s="16"/>
      <c r="AC97" s="16"/>
    </row>
    <row r="98">
      <c r="A98" s="22" t="str">
        <f t="array" ref="A98">IF(E98="","",IFERROR(INDEX(CONFIGURACION!C:C,MATCH(E98,CONFIGURACION!E:E,0)),""))
</f>
        <v/>
      </c>
      <c r="B98" s="22" t="str">
        <f t="array" ref="B98">IF(E98="","",IFERROR(INDEX(CONFIGURACION!D:D,MATCH(E98,CONFIGURACION!E:E,0)),""))
</f>
        <v/>
      </c>
      <c r="C98" s="31"/>
      <c r="D98" s="9"/>
      <c r="E98" s="6"/>
      <c r="F98" s="24"/>
      <c r="G98" s="9"/>
      <c r="H98" s="32"/>
      <c r="I98" s="33" t="str">
        <f>IFERROR(__xludf.DUMMYFUNCTION("IF(F98="""","""",LET(
  nombre, TRIM(F98),
  primer, REGEXEXTRACT(nombre, ""^\S+""),
  resto, TRIM(REGEXREPLACE(nombre, ""^\S+\s*"", """")),
  iniciales, IF(
    resto="""",
    """",
    TEXTJOIN("""",1,ARRAYFORMULA(LEFT(SPLIT(resto,"" ""),1) &amp; "".""))
 "&amp;" ),
  UPPER(primer) &amp; "" "" &amp; UPPER(iniciales)
))"),"")</f>
        <v/>
      </c>
      <c r="J98" s="33" t="str">
        <f>IFERROR(__xludf.DUMMYFUNCTION("IF(H98="""","""",IFERROR(
IF(REGEXMATCH(E98,""VELOCIDAD""),
   IF(H98&gt;=MAX(INDEX(BAREMOS!F:X,MATCH(1,(BAREMOS!A:A=A98)*(BAREMOS!B:B=B98)*(BAREMOS!C:C=C98)*(BAREMOS!D:D=D98),0),0)),1,
      IF(H98&lt;=MIN(INDEX(BAREMOS!F:X,MATCH(1,(BAREMOS!A:A=A98)*(BAREMOS!B"&amp;":B=B98)*(BAREMOS!C:C=C98)*(BAREMOS!D:D=D98),0),0)),19,
         MATCH(H98,INDEX(BAREMOS!F:X,MATCH(1,(BAREMOS!A:A=A98)*(BAREMOS!B:B=B98)*(BAREMOS!C:C=C98)*(BAREMOS!D:D=D98),0),0),-1)
      )
   ),
   IF(H98&lt;=MIN(INDEX(BAREMOS!F:X,MATCH(1,(BAREMOS!A:A=A98)*"&amp;"(BAREMOS!B:B=B98)*(BAREMOS!C:C=C98)*(BAREMOS!D:D=D98),0),0)),1,
      IF(H98&gt;=MAX(INDEX(BAREMOS!F:X,MATCH(1,(BAREMOS!A:A=A98)*(BAREMOS!B:B=B98)*(BAREMOS!C:C=C98)*(BAREMOS!D:D=D98),0),0)),19,
         MATCH(H98,INDEX(BAREMOS!F:X,MATCH(1,(BAREMOS!A:A=A98)*("&amp;"BAREMOS!B:B=B98)*(BAREMOS!C:C=C98)*(BAREMOS!D:D=D98),0),0),1)
      )
   )
)
,""""))
"),"")</f>
        <v/>
      </c>
      <c r="K98" s="34" t="str">
        <f t="shared" si="1"/>
        <v/>
      </c>
      <c r="L98" s="16"/>
      <c r="M98" s="16"/>
      <c r="N98" s="16"/>
      <c r="O98" s="16"/>
      <c r="P98" s="16"/>
      <c r="Q98" s="16"/>
      <c r="R98" s="16"/>
      <c r="S98" s="16"/>
      <c r="T98" s="16"/>
      <c r="U98" s="16"/>
      <c r="V98" s="16"/>
      <c r="W98" s="16"/>
      <c r="X98" s="16"/>
      <c r="Y98" s="16"/>
      <c r="Z98" s="16"/>
      <c r="AA98" s="16"/>
      <c r="AB98" s="16"/>
      <c r="AC98" s="16"/>
    </row>
    <row r="99">
      <c r="A99" s="22" t="str">
        <f t="array" ref="A99">IF(E99="","",IFERROR(INDEX(CONFIGURACION!C:C,MATCH(E99,CONFIGURACION!E:E,0)),""))
</f>
        <v/>
      </c>
      <c r="B99" s="22" t="str">
        <f t="array" ref="B99">IF(E99="","",IFERROR(INDEX(CONFIGURACION!D:D,MATCH(E99,CONFIGURACION!E:E,0)),""))
</f>
        <v/>
      </c>
      <c r="C99" s="31"/>
      <c r="D99" s="9"/>
      <c r="E99" s="6"/>
      <c r="F99" s="24"/>
      <c r="G99" s="9"/>
      <c r="H99" s="32"/>
      <c r="I99" s="33" t="str">
        <f>IFERROR(__xludf.DUMMYFUNCTION("IF(F99="""","""",LET(
  nombre, TRIM(F99),
  primer, REGEXEXTRACT(nombre, ""^\S+""),
  resto, TRIM(REGEXREPLACE(nombre, ""^\S+\s*"", """")),
  iniciales, IF(
    resto="""",
    """",
    TEXTJOIN("""",1,ARRAYFORMULA(LEFT(SPLIT(resto,"" ""),1) &amp; "".""))
 "&amp;" ),
  UPPER(primer) &amp; "" "" &amp; UPPER(iniciales)
))"),"")</f>
        <v/>
      </c>
      <c r="J99" s="33" t="str">
        <f>IFERROR(__xludf.DUMMYFUNCTION("IF(H99="""","""",IFERROR(
IF(REGEXMATCH(E99,""VELOCIDAD""),
   IF(H99&gt;=MAX(INDEX(BAREMOS!F:X,MATCH(1,(BAREMOS!A:A=A99)*(BAREMOS!B:B=B99)*(BAREMOS!C:C=C99)*(BAREMOS!D:D=D99),0),0)),1,
      IF(H99&lt;=MIN(INDEX(BAREMOS!F:X,MATCH(1,(BAREMOS!A:A=A99)*(BAREMOS!B"&amp;":B=B99)*(BAREMOS!C:C=C99)*(BAREMOS!D:D=D99),0),0)),19,
         MATCH(H99,INDEX(BAREMOS!F:X,MATCH(1,(BAREMOS!A:A=A99)*(BAREMOS!B:B=B99)*(BAREMOS!C:C=C99)*(BAREMOS!D:D=D99),0),0),-1)
      )
   ),
   IF(H99&lt;=MIN(INDEX(BAREMOS!F:X,MATCH(1,(BAREMOS!A:A=A99)*"&amp;"(BAREMOS!B:B=B99)*(BAREMOS!C:C=C99)*(BAREMOS!D:D=D99),0),0)),1,
      IF(H99&gt;=MAX(INDEX(BAREMOS!F:X,MATCH(1,(BAREMOS!A:A=A99)*(BAREMOS!B:B=B99)*(BAREMOS!C:C=C99)*(BAREMOS!D:D=D99),0),0)),19,
         MATCH(H99,INDEX(BAREMOS!F:X,MATCH(1,(BAREMOS!A:A=A99)*("&amp;"BAREMOS!B:B=B99)*(BAREMOS!C:C=C99)*(BAREMOS!D:D=D99),0),0),1)
      )
   )
)
,""""))
"),"")</f>
        <v/>
      </c>
      <c r="K99" s="34" t="str">
        <f t="shared" si="1"/>
        <v/>
      </c>
      <c r="L99" s="16"/>
      <c r="M99" s="16"/>
      <c r="N99" s="16"/>
      <c r="O99" s="16"/>
      <c r="P99" s="16"/>
      <c r="Q99" s="16"/>
      <c r="R99" s="16"/>
      <c r="S99" s="16"/>
      <c r="T99" s="16"/>
      <c r="U99" s="16"/>
      <c r="V99" s="16"/>
      <c r="W99" s="16"/>
      <c r="X99" s="16"/>
      <c r="Y99" s="16"/>
      <c r="Z99" s="16"/>
      <c r="AA99" s="16"/>
      <c r="AB99" s="16"/>
      <c r="AC99" s="16"/>
    </row>
    <row r="100">
      <c r="A100" s="22" t="str">
        <f t="array" ref="A100">IF(E100="","",IFERROR(INDEX(CONFIGURACION!C:C,MATCH(E100,CONFIGURACION!E:E,0)),""))
</f>
        <v/>
      </c>
      <c r="B100" s="22" t="str">
        <f t="array" ref="B100">IF(E100="","",IFERROR(INDEX(CONFIGURACION!D:D,MATCH(E100,CONFIGURACION!E:E,0)),""))
</f>
        <v/>
      </c>
      <c r="C100" s="31"/>
      <c r="D100" s="9"/>
      <c r="E100" s="6"/>
      <c r="F100" s="24"/>
      <c r="G100" s="9"/>
      <c r="H100" s="32"/>
      <c r="I100" s="33" t="str">
        <f>IFERROR(__xludf.DUMMYFUNCTION("IF(F100="""","""",LET(
  nombre, TRIM(F100),
  primer, REGEXEXTRACT(nombre, ""^\S+""),
  resto, TRIM(REGEXREPLACE(nombre, ""^\S+\s*"", """")),
  iniciales, IF(
    resto="""",
    """",
    TEXTJOIN("""",1,ARRAYFORMULA(LEFT(SPLIT(resto,"" ""),1) &amp; "".""))"&amp;"
  ),
  UPPER(primer) &amp; "" "" &amp; UPPER(iniciales)
))"),"")</f>
        <v/>
      </c>
      <c r="J100" s="33" t="str">
        <f>IFERROR(__xludf.DUMMYFUNCTION("IF(H100="""","""",IFERROR(
IF(REGEXMATCH(E100,""VELOCIDAD""),
   IF(H100&gt;=MAX(INDEX(BAREMOS!F:X,MATCH(1,(BAREMOS!A:A=A100)*(BAREMOS!B:B=B100)*(BAREMOS!C:C=C100)*(BAREMOS!D:D=D100),0),0)),1,
      IF(H100&lt;=MIN(INDEX(BAREMOS!F:X,MATCH(1,(BAREMOS!A:A=A100)*("&amp;"BAREMOS!B:B=B100)*(BAREMOS!C:C=C100)*(BAREMOS!D:D=D100),0),0)),19,
         MATCH(H100,INDEX(BAREMOS!F:X,MATCH(1,(BAREMOS!A:A=A100)*(BAREMOS!B:B=B100)*(BAREMOS!C:C=C100)*(BAREMOS!D:D=D100),0),0),-1)
      )
   ),
   IF(H100&lt;=MIN(INDEX(BAREMOS!F:X,MATCH(1,"&amp;"(BAREMOS!A:A=A100)*(BAREMOS!B:B=B100)*(BAREMOS!C:C=C100)*(BAREMOS!D:D=D100),0),0)),1,
      IF(H100&gt;=MAX(INDEX(BAREMOS!F:X,MATCH(1,(BAREMOS!A:A=A100)*(BAREMOS!B:B=B100)*(BAREMOS!C:C=C100)*(BAREMOS!D:D=D100),0),0)),19,
         MATCH(H100,INDEX(BAREMOS!F:X"&amp;",MATCH(1,(BAREMOS!A:A=A100)*(BAREMOS!B:B=B100)*(BAREMOS!C:C=C100)*(BAREMOS!D:D=D100),0),0),1)
      )
   )
)
,""""))
"),"")</f>
        <v/>
      </c>
      <c r="K100" s="34" t="str">
        <f t="shared" si="1"/>
        <v/>
      </c>
      <c r="L100" s="16"/>
      <c r="M100" s="16"/>
      <c r="N100" s="16"/>
      <c r="O100" s="16"/>
      <c r="P100" s="16"/>
      <c r="Q100" s="16"/>
      <c r="R100" s="16"/>
      <c r="S100" s="16"/>
      <c r="T100" s="16"/>
      <c r="U100" s="16"/>
      <c r="V100" s="16"/>
      <c r="W100" s="16"/>
      <c r="X100" s="16"/>
      <c r="Y100" s="16"/>
      <c r="Z100" s="16"/>
      <c r="AA100" s="16"/>
      <c r="AB100" s="16"/>
      <c r="AC100" s="16"/>
    </row>
    <row r="101">
      <c r="A101" s="22" t="str">
        <f t="array" ref="A101">IF(E101="","",IFERROR(INDEX(CONFIGURACION!C:C,MATCH(E101,CONFIGURACION!E:E,0)),""))
</f>
        <v/>
      </c>
      <c r="B101" s="22" t="str">
        <f t="array" ref="B101">IF(E101="","",IFERROR(INDEX(CONFIGURACION!D:D,MATCH(E101,CONFIGURACION!E:E,0)),""))
</f>
        <v/>
      </c>
      <c r="C101" s="31"/>
      <c r="D101" s="9"/>
      <c r="E101" s="6"/>
      <c r="F101" s="24"/>
      <c r="G101" s="9"/>
      <c r="H101" s="32"/>
      <c r="I101" s="33" t="str">
        <f>IFERROR(__xludf.DUMMYFUNCTION("IF(F101="""","""",LET(
  nombre, TRIM(F101),
  primer, REGEXEXTRACT(nombre, ""^\S+""),
  resto, TRIM(REGEXREPLACE(nombre, ""^\S+\s*"", """")),
  iniciales, IF(
    resto="""",
    """",
    TEXTJOIN("""",1,ARRAYFORMULA(LEFT(SPLIT(resto,"" ""),1) &amp; "".""))"&amp;"
  ),
  UPPER(primer) &amp; "" "" &amp; UPPER(iniciales)
))"),"")</f>
        <v/>
      </c>
      <c r="J101" s="33" t="str">
        <f>IFERROR(__xludf.DUMMYFUNCTION("IF(H101="""","""",IFERROR(
IF(REGEXMATCH(E101,""VELOCIDAD""),
   IF(H101&gt;=MAX(INDEX(BAREMOS!F:X,MATCH(1,(BAREMOS!A:A=A101)*(BAREMOS!B:B=B101)*(BAREMOS!C:C=C101)*(BAREMOS!D:D=D101),0),0)),1,
      IF(H101&lt;=MIN(INDEX(BAREMOS!F:X,MATCH(1,(BAREMOS!A:A=A101)*("&amp;"BAREMOS!B:B=B101)*(BAREMOS!C:C=C101)*(BAREMOS!D:D=D101),0),0)),19,
         MATCH(H101,INDEX(BAREMOS!F:X,MATCH(1,(BAREMOS!A:A=A101)*(BAREMOS!B:B=B101)*(BAREMOS!C:C=C101)*(BAREMOS!D:D=D101),0),0),-1)
      )
   ),
   IF(H101&lt;=MIN(INDEX(BAREMOS!F:X,MATCH(1,"&amp;"(BAREMOS!A:A=A101)*(BAREMOS!B:B=B101)*(BAREMOS!C:C=C101)*(BAREMOS!D:D=D101),0),0)),1,
      IF(H101&gt;=MAX(INDEX(BAREMOS!F:X,MATCH(1,(BAREMOS!A:A=A101)*(BAREMOS!B:B=B101)*(BAREMOS!C:C=C101)*(BAREMOS!D:D=D101),0),0)),19,
         MATCH(H101,INDEX(BAREMOS!F:X"&amp;",MATCH(1,(BAREMOS!A:A=A101)*(BAREMOS!B:B=B101)*(BAREMOS!C:C=C101)*(BAREMOS!D:D=D101),0),0),1)
      )
   )
)
,""""))
"),"")</f>
        <v/>
      </c>
      <c r="K101" s="34" t="str">
        <f t="shared" si="1"/>
        <v/>
      </c>
      <c r="L101" s="16"/>
      <c r="M101" s="16"/>
      <c r="N101" s="16"/>
      <c r="O101" s="16"/>
      <c r="P101" s="16"/>
      <c r="Q101" s="16"/>
      <c r="R101" s="16"/>
      <c r="S101" s="16"/>
      <c r="T101" s="16"/>
      <c r="U101" s="16"/>
      <c r="V101" s="16"/>
      <c r="W101" s="16"/>
      <c r="X101" s="16"/>
      <c r="Y101" s="16"/>
      <c r="Z101" s="16"/>
      <c r="AA101" s="16"/>
      <c r="AB101" s="16"/>
      <c r="AC101" s="16"/>
    </row>
    <row r="102">
      <c r="A102" s="22" t="str">
        <f t="array" ref="A102">IF(E102="","",IFERROR(INDEX(CONFIGURACION!C:C,MATCH(E102,CONFIGURACION!E:E,0)),""))
</f>
        <v/>
      </c>
      <c r="B102" s="22" t="str">
        <f t="array" ref="B102">IF(E102="","",IFERROR(INDEX(CONFIGURACION!D:D,MATCH(E102,CONFIGURACION!E:E,0)),""))
</f>
        <v/>
      </c>
      <c r="C102" s="31"/>
      <c r="D102" s="9"/>
      <c r="E102" s="6"/>
      <c r="F102" s="24"/>
      <c r="G102" s="9"/>
      <c r="H102" s="32"/>
      <c r="I102" s="33" t="str">
        <f>IFERROR(__xludf.DUMMYFUNCTION("IF(F102="""","""",LET(
  nombre, TRIM(F102),
  primer, REGEXEXTRACT(nombre, ""^\S+""),
  resto, TRIM(REGEXREPLACE(nombre, ""^\S+\s*"", """")),
  iniciales, IF(
    resto="""",
    """",
    TEXTJOIN("""",1,ARRAYFORMULA(LEFT(SPLIT(resto,"" ""),1) &amp; "".""))"&amp;"
  ),
  UPPER(primer) &amp; "" "" &amp; UPPER(iniciales)
))"),"")</f>
        <v/>
      </c>
      <c r="J102" s="33" t="str">
        <f>IFERROR(__xludf.DUMMYFUNCTION("IF(H102="""","""",IFERROR(
IF(REGEXMATCH(E102,""VELOCIDAD""),
   IF(H102&gt;=MAX(INDEX(BAREMOS!F:X,MATCH(1,(BAREMOS!A:A=A102)*(BAREMOS!B:B=B102)*(BAREMOS!C:C=C102)*(BAREMOS!D:D=D102),0),0)),1,
      IF(H102&lt;=MIN(INDEX(BAREMOS!F:X,MATCH(1,(BAREMOS!A:A=A102)*("&amp;"BAREMOS!B:B=B102)*(BAREMOS!C:C=C102)*(BAREMOS!D:D=D102),0),0)),19,
         MATCH(H102,INDEX(BAREMOS!F:X,MATCH(1,(BAREMOS!A:A=A102)*(BAREMOS!B:B=B102)*(BAREMOS!C:C=C102)*(BAREMOS!D:D=D102),0),0),-1)
      )
   ),
   IF(H102&lt;=MIN(INDEX(BAREMOS!F:X,MATCH(1,"&amp;"(BAREMOS!A:A=A102)*(BAREMOS!B:B=B102)*(BAREMOS!C:C=C102)*(BAREMOS!D:D=D102),0),0)),1,
      IF(H102&gt;=MAX(INDEX(BAREMOS!F:X,MATCH(1,(BAREMOS!A:A=A102)*(BAREMOS!B:B=B102)*(BAREMOS!C:C=C102)*(BAREMOS!D:D=D102),0),0)),19,
         MATCH(H102,INDEX(BAREMOS!F:X"&amp;",MATCH(1,(BAREMOS!A:A=A102)*(BAREMOS!B:B=B102)*(BAREMOS!C:C=C102)*(BAREMOS!D:D=D102),0),0),1)
      )
   )
)
,""""))
"),"")</f>
        <v/>
      </c>
      <c r="K102" s="34" t="str">
        <f t="shared" si="1"/>
        <v/>
      </c>
      <c r="L102" s="16"/>
      <c r="M102" s="16"/>
      <c r="N102" s="16"/>
      <c r="O102" s="16"/>
      <c r="P102" s="16"/>
      <c r="Q102" s="16"/>
      <c r="R102" s="16"/>
      <c r="S102" s="16"/>
      <c r="T102" s="16"/>
      <c r="U102" s="16"/>
      <c r="V102" s="16"/>
      <c r="W102" s="16"/>
      <c r="X102" s="16"/>
      <c r="Y102" s="16"/>
      <c r="Z102" s="16"/>
      <c r="AA102" s="16"/>
      <c r="AB102" s="16"/>
      <c r="AC102" s="16"/>
    </row>
    <row r="103">
      <c r="A103" s="22" t="str">
        <f t="array" ref="A103">IF(E103="","",IFERROR(INDEX(CONFIGURACION!C:C,MATCH(E103,CONFIGURACION!E:E,0)),""))
</f>
        <v/>
      </c>
      <c r="B103" s="22" t="str">
        <f t="array" ref="B103">IF(E103="","",IFERROR(INDEX(CONFIGURACION!D:D,MATCH(E103,CONFIGURACION!E:E,0)),""))
</f>
        <v/>
      </c>
      <c r="C103" s="31"/>
      <c r="D103" s="9"/>
      <c r="E103" s="6"/>
      <c r="F103" s="24"/>
      <c r="G103" s="9"/>
      <c r="H103" s="32"/>
      <c r="I103" s="33" t="str">
        <f>IFERROR(__xludf.DUMMYFUNCTION("IF(F103="""","""",LET(
  nombre, TRIM(F103),
  primer, REGEXEXTRACT(nombre, ""^\S+""),
  resto, TRIM(REGEXREPLACE(nombre, ""^\S+\s*"", """")),
  iniciales, IF(
    resto="""",
    """",
    TEXTJOIN("""",1,ARRAYFORMULA(LEFT(SPLIT(resto,"" ""),1) &amp; "".""))"&amp;"
  ),
  UPPER(primer) &amp; "" "" &amp; UPPER(iniciales)
))"),"")</f>
        <v/>
      </c>
      <c r="J103" s="33" t="str">
        <f>IFERROR(__xludf.DUMMYFUNCTION("IF(H103="""","""",IFERROR(
IF(REGEXMATCH(E103,""VELOCIDAD""),
   IF(H103&gt;=MAX(INDEX(BAREMOS!F:X,MATCH(1,(BAREMOS!A:A=A103)*(BAREMOS!B:B=B103)*(BAREMOS!C:C=C103)*(BAREMOS!D:D=D103),0),0)),1,
      IF(H103&lt;=MIN(INDEX(BAREMOS!F:X,MATCH(1,(BAREMOS!A:A=A103)*("&amp;"BAREMOS!B:B=B103)*(BAREMOS!C:C=C103)*(BAREMOS!D:D=D103),0),0)),19,
         MATCH(H103,INDEX(BAREMOS!F:X,MATCH(1,(BAREMOS!A:A=A103)*(BAREMOS!B:B=B103)*(BAREMOS!C:C=C103)*(BAREMOS!D:D=D103),0),0),-1)
      )
   ),
   IF(H103&lt;=MIN(INDEX(BAREMOS!F:X,MATCH(1,"&amp;"(BAREMOS!A:A=A103)*(BAREMOS!B:B=B103)*(BAREMOS!C:C=C103)*(BAREMOS!D:D=D103),0),0)),1,
      IF(H103&gt;=MAX(INDEX(BAREMOS!F:X,MATCH(1,(BAREMOS!A:A=A103)*(BAREMOS!B:B=B103)*(BAREMOS!C:C=C103)*(BAREMOS!D:D=D103),0),0)),19,
         MATCH(H103,INDEX(BAREMOS!F:X"&amp;",MATCH(1,(BAREMOS!A:A=A103)*(BAREMOS!B:B=B103)*(BAREMOS!C:C=C103)*(BAREMOS!D:D=D103),0),0),1)
      )
   )
)
,""""))
"),"")</f>
        <v/>
      </c>
      <c r="K103" s="34" t="str">
        <f t="shared" si="1"/>
        <v/>
      </c>
      <c r="L103" s="16"/>
      <c r="M103" s="16"/>
      <c r="N103" s="16"/>
      <c r="O103" s="16"/>
      <c r="P103" s="16"/>
      <c r="Q103" s="16"/>
      <c r="R103" s="16"/>
      <c r="S103" s="16"/>
      <c r="T103" s="16"/>
      <c r="U103" s="16"/>
      <c r="V103" s="16"/>
      <c r="W103" s="16"/>
      <c r="X103" s="16"/>
      <c r="Y103" s="16"/>
      <c r="Z103" s="16"/>
      <c r="AA103" s="16"/>
      <c r="AB103" s="16"/>
      <c r="AC103" s="16"/>
    </row>
    <row r="104">
      <c r="A104" s="22" t="str">
        <f t="array" ref="A104">IF(E104="","",IFERROR(INDEX(CONFIGURACION!C:C,MATCH(E104,CONFIGURACION!E:E,0)),""))
</f>
        <v/>
      </c>
      <c r="B104" s="22" t="str">
        <f t="array" ref="B104">IF(E104="","",IFERROR(INDEX(CONFIGURACION!D:D,MATCH(E104,CONFIGURACION!E:E,0)),""))
</f>
        <v/>
      </c>
      <c r="C104" s="31"/>
      <c r="D104" s="9"/>
      <c r="E104" s="6"/>
      <c r="F104" s="24"/>
      <c r="G104" s="9"/>
      <c r="H104" s="32"/>
      <c r="I104" s="33" t="str">
        <f>IFERROR(__xludf.DUMMYFUNCTION("IF(F104="""","""",LET(
  nombre, TRIM(F104),
  primer, REGEXEXTRACT(nombre, ""^\S+""),
  resto, TRIM(REGEXREPLACE(nombre, ""^\S+\s*"", """")),
  iniciales, IF(
    resto="""",
    """",
    TEXTJOIN("""",1,ARRAYFORMULA(LEFT(SPLIT(resto,"" ""),1) &amp; "".""))"&amp;"
  ),
  UPPER(primer) &amp; "" "" &amp; UPPER(iniciales)
))"),"")</f>
        <v/>
      </c>
      <c r="J104" s="33" t="str">
        <f>IFERROR(__xludf.DUMMYFUNCTION("IF(H104="""","""",IFERROR(
IF(REGEXMATCH(E104,""VELOCIDAD""),
   IF(H104&gt;=MAX(INDEX(BAREMOS!F:X,MATCH(1,(BAREMOS!A:A=A104)*(BAREMOS!B:B=B104)*(BAREMOS!C:C=C104)*(BAREMOS!D:D=D104),0),0)),1,
      IF(H104&lt;=MIN(INDEX(BAREMOS!F:X,MATCH(1,(BAREMOS!A:A=A104)*("&amp;"BAREMOS!B:B=B104)*(BAREMOS!C:C=C104)*(BAREMOS!D:D=D104),0),0)),19,
         MATCH(H104,INDEX(BAREMOS!F:X,MATCH(1,(BAREMOS!A:A=A104)*(BAREMOS!B:B=B104)*(BAREMOS!C:C=C104)*(BAREMOS!D:D=D104),0),0),-1)
      )
   ),
   IF(H104&lt;=MIN(INDEX(BAREMOS!F:X,MATCH(1,"&amp;"(BAREMOS!A:A=A104)*(BAREMOS!B:B=B104)*(BAREMOS!C:C=C104)*(BAREMOS!D:D=D104),0),0)),1,
      IF(H104&gt;=MAX(INDEX(BAREMOS!F:X,MATCH(1,(BAREMOS!A:A=A104)*(BAREMOS!B:B=B104)*(BAREMOS!C:C=C104)*(BAREMOS!D:D=D104),0),0)),19,
         MATCH(H104,INDEX(BAREMOS!F:X"&amp;",MATCH(1,(BAREMOS!A:A=A104)*(BAREMOS!B:B=B104)*(BAREMOS!C:C=C104)*(BAREMOS!D:D=D104),0),0),1)
      )
   )
)
,""""))
"),"")</f>
        <v/>
      </c>
      <c r="K104" s="34" t="str">
        <f t="shared" si="1"/>
        <v/>
      </c>
      <c r="L104" s="16"/>
      <c r="M104" s="16"/>
      <c r="N104" s="16"/>
      <c r="O104" s="16"/>
      <c r="P104" s="16"/>
      <c r="Q104" s="16"/>
      <c r="R104" s="16"/>
      <c r="S104" s="16"/>
      <c r="T104" s="16"/>
      <c r="U104" s="16"/>
      <c r="V104" s="16"/>
      <c r="W104" s="16"/>
      <c r="X104" s="16"/>
      <c r="Y104" s="16"/>
      <c r="Z104" s="16"/>
      <c r="AA104" s="16"/>
      <c r="AB104" s="16"/>
      <c r="AC104" s="16"/>
    </row>
    <row r="105">
      <c r="A105" s="22" t="str">
        <f t="array" ref="A105">IF(E105="","",IFERROR(INDEX(CONFIGURACION!C:C,MATCH(E105,CONFIGURACION!E:E,0)),""))
</f>
        <v/>
      </c>
      <c r="B105" s="22" t="str">
        <f t="array" ref="B105">IF(E105="","",IFERROR(INDEX(CONFIGURACION!D:D,MATCH(E105,CONFIGURACION!E:E,0)),""))
</f>
        <v/>
      </c>
      <c r="C105" s="31"/>
      <c r="D105" s="9"/>
      <c r="E105" s="6"/>
      <c r="F105" s="24"/>
      <c r="G105" s="9"/>
      <c r="H105" s="32"/>
      <c r="I105" s="33" t="str">
        <f>IFERROR(__xludf.DUMMYFUNCTION("IF(F105="""","""",LET(
  nombre, TRIM(F105),
  primer, REGEXEXTRACT(nombre, ""^\S+""),
  resto, TRIM(REGEXREPLACE(nombre, ""^\S+\s*"", """")),
  iniciales, IF(
    resto="""",
    """",
    TEXTJOIN("""",1,ARRAYFORMULA(LEFT(SPLIT(resto,"" ""),1) &amp; "".""))"&amp;"
  ),
  UPPER(primer) &amp; "" "" &amp; UPPER(iniciales)
))"),"")</f>
        <v/>
      </c>
      <c r="J105" s="33" t="str">
        <f>IFERROR(__xludf.DUMMYFUNCTION("IF(H105="""","""",IFERROR(
IF(REGEXMATCH(E105,""VELOCIDAD""),
   IF(H105&gt;=MAX(INDEX(BAREMOS!F:X,MATCH(1,(BAREMOS!A:A=A105)*(BAREMOS!B:B=B105)*(BAREMOS!C:C=C105)*(BAREMOS!D:D=D105),0),0)),1,
      IF(H105&lt;=MIN(INDEX(BAREMOS!F:X,MATCH(1,(BAREMOS!A:A=A105)*("&amp;"BAREMOS!B:B=B105)*(BAREMOS!C:C=C105)*(BAREMOS!D:D=D105),0),0)),19,
         MATCH(H105,INDEX(BAREMOS!F:X,MATCH(1,(BAREMOS!A:A=A105)*(BAREMOS!B:B=B105)*(BAREMOS!C:C=C105)*(BAREMOS!D:D=D105),0),0),-1)
      )
   ),
   IF(H105&lt;=MIN(INDEX(BAREMOS!F:X,MATCH(1,"&amp;"(BAREMOS!A:A=A105)*(BAREMOS!B:B=B105)*(BAREMOS!C:C=C105)*(BAREMOS!D:D=D105),0),0)),1,
      IF(H105&gt;=MAX(INDEX(BAREMOS!F:X,MATCH(1,(BAREMOS!A:A=A105)*(BAREMOS!B:B=B105)*(BAREMOS!C:C=C105)*(BAREMOS!D:D=D105),0),0)),19,
         MATCH(H105,INDEX(BAREMOS!F:X"&amp;",MATCH(1,(BAREMOS!A:A=A105)*(BAREMOS!B:B=B105)*(BAREMOS!C:C=C105)*(BAREMOS!D:D=D105),0),0),1)
      )
   )
)
,""""))
"),"")</f>
        <v/>
      </c>
      <c r="K105" s="34" t="str">
        <f t="shared" si="1"/>
        <v/>
      </c>
      <c r="L105" s="16"/>
      <c r="M105" s="16"/>
      <c r="N105" s="16"/>
      <c r="O105" s="16"/>
      <c r="P105" s="16"/>
      <c r="Q105" s="16"/>
      <c r="R105" s="16"/>
      <c r="S105" s="16"/>
      <c r="T105" s="16"/>
      <c r="U105" s="16"/>
      <c r="V105" s="16"/>
      <c r="W105" s="16"/>
      <c r="X105" s="16"/>
      <c r="Y105" s="16"/>
      <c r="Z105" s="16"/>
      <c r="AA105" s="16"/>
      <c r="AB105" s="16"/>
      <c r="AC105" s="16"/>
    </row>
    <row r="106">
      <c r="A106" s="22" t="str">
        <f t="array" ref="A106">IF(E106="","",IFERROR(INDEX(CONFIGURACION!C:C,MATCH(E106,CONFIGURACION!E:E,0)),""))
</f>
        <v/>
      </c>
      <c r="B106" s="22" t="str">
        <f t="array" ref="B106">IF(E106="","",IFERROR(INDEX(CONFIGURACION!D:D,MATCH(E106,CONFIGURACION!E:E,0)),""))
</f>
        <v/>
      </c>
      <c r="C106" s="31"/>
      <c r="D106" s="9"/>
      <c r="E106" s="6"/>
      <c r="F106" s="24"/>
      <c r="G106" s="9"/>
      <c r="H106" s="32"/>
      <c r="I106" s="33" t="str">
        <f>IFERROR(__xludf.DUMMYFUNCTION("IF(F106="""","""",LET(
  nombre, TRIM(F106),
  primer, REGEXEXTRACT(nombre, ""^\S+""),
  resto, TRIM(REGEXREPLACE(nombre, ""^\S+\s*"", """")),
  iniciales, IF(
    resto="""",
    """",
    TEXTJOIN("""",1,ARRAYFORMULA(LEFT(SPLIT(resto,"" ""),1) &amp; "".""))"&amp;"
  ),
  UPPER(primer) &amp; "" "" &amp; UPPER(iniciales)
))"),"")</f>
        <v/>
      </c>
      <c r="J106" s="33" t="str">
        <f>IFERROR(__xludf.DUMMYFUNCTION("IF(H106="""","""",IFERROR(
IF(REGEXMATCH(E106,""VELOCIDAD""),
   IF(H106&gt;=MAX(INDEX(BAREMOS!F:X,MATCH(1,(BAREMOS!A:A=A106)*(BAREMOS!B:B=B106)*(BAREMOS!C:C=C106)*(BAREMOS!D:D=D106),0),0)),1,
      IF(H106&lt;=MIN(INDEX(BAREMOS!F:X,MATCH(1,(BAREMOS!A:A=A106)*("&amp;"BAREMOS!B:B=B106)*(BAREMOS!C:C=C106)*(BAREMOS!D:D=D106),0),0)),19,
         MATCH(H106,INDEX(BAREMOS!F:X,MATCH(1,(BAREMOS!A:A=A106)*(BAREMOS!B:B=B106)*(BAREMOS!C:C=C106)*(BAREMOS!D:D=D106),0),0),-1)
      )
   ),
   IF(H106&lt;=MIN(INDEX(BAREMOS!F:X,MATCH(1,"&amp;"(BAREMOS!A:A=A106)*(BAREMOS!B:B=B106)*(BAREMOS!C:C=C106)*(BAREMOS!D:D=D106),0),0)),1,
      IF(H106&gt;=MAX(INDEX(BAREMOS!F:X,MATCH(1,(BAREMOS!A:A=A106)*(BAREMOS!B:B=B106)*(BAREMOS!C:C=C106)*(BAREMOS!D:D=D106),0),0)),19,
         MATCH(H106,INDEX(BAREMOS!F:X"&amp;",MATCH(1,(BAREMOS!A:A=A106)*(BAREMOS!B:B=B106)*(BAREMOS!C:C=C106)*(BAREMOS!D:D=D106),0),0),1)
      )
   )
)
,""""))
"),"")</f>
        <v/>
      </c>
      <c r="K106" s="34" t="str">
        <f t="shared" si="1"/>
        <v/>
      </c>
      <c r="L106" s="16"/>
      <c r="M106" s="16"/>
      <c r="N106" s="16"/>
      <c r="O106" s="16"/>
      <c r="P106" s="16"/>
      <c r="Q106" s="16"/>
      <c r="R106" s="16"/>
      <c r="S106" s="16"/>
      <c r="T106" s="16"/>
      <c r="U106" s="16"/>
      <c r="V106" s="16"/>
      <c r="W106" s="16"/>
      <c r="X106" s="16"/>
      <c r="Y106" s="16"/>
      <c r="Z106" s="16"/>
      <c r="AA106" s="16"/>
      <c r="AB106" s="16"/>
      <c r="AC106" s="16"/>
    </row>
    <row r="107">
      <c r="A107" s="22" t="str">
        <f t="array" ref="A107">IF(E107="","",IFERROR(INDEX(CONFIGURACION!C:C,MATCH(E107,CONFIGURACION!E:E,0)),""))
</f>
        <v/>
      </c>
      <c r="B107" s="22" t="str">
        <f t="array" ref="B107">IF(E107="","",IFERROR(INDEX(CONFIGURACION!D:D,MATCH(E107,CONFIGURACION!E:E,0)),""))
</f>
        <v/>
      </c>
      <c r="C107" s="31"/>
      <c r="D107" s="9"/>
      <c r="E107" s="6"/>
      <c r="F107" s="24"/>
      <c r="G107" s="9"/>
      <c r="H107" s="32"/>
      <c r="I107" s="33" t="str">
        <f>IFERROR(__xludf.DUMMYFUNCTION("IF(F107="""","""",LET(
  nombre, TRIM(F107),
  primer, REGEXEXTRACT(nombre, ""^\S+""),
  resto, TRIM(REGEXREPLACE(nombre, ""^\S+\s*"", """")),
  iniciales, IF(
    resto="""",
    """",
    TEXTJOIN("""",1,ARRAYFORMULA(LEFT(SPLIT(resto,"" ""),1) &amp; "".""))"&amp;"
  ),
  UPPER(primer) &amp; "" "" &amp; UPPER(iniciales)
))"),"")</f>
        <v/>
      </c>
      <c r="J107" s="33" t="str">
        <f>IFERROR(__xludf.DUMMYFUNCTION("IF(H107="""","""",IFERROR(
IF(REGEXMATCH(E107,""VELOCIDAD""),
   IF(H107&gt;=MAX(INDEX(BAREMOS!F:X,MATCH(1,(BAREMOS!A:A=A107)*(BAREMOS!B:B=B107)*(BAREMOS!C:C=C107)*(BAREMOS!D:D=D107),0),0)),1,
      IF(H107&lt;=MIN(INDEX(BAREMOS!F:X,MATCH(1,(BAREMOS!A:A=A107)*("&amp;"BAREMOS!B:B=B107)*(BAREMOS!C:C=C107)*(BAREMOS!D:D=D107),0),0)),19,
         MATCH(H107,INDEX(BAREMOS!F:X,MATCH(1,(BAREMOS!A:A=A107)*(BAREMOS!B:B=B107)*(BAREMOS!C:C=C107)*(BAREMOS!D:D=D107),0),0),-1)
      )
   ),
   IF(H107&lt;=MIN(INDEX(BAREMOS!F:X,MATCH(1,"&amp;"(BAREMOS!A:A=A107)*(BAREMOS!B:B=B107)*(BAREMOS!C:C=C107)*(BAREMOS!D:D=D107),0),0)),1,
      IF(H107&gt;=MAX(INDEX(BAREMOS!F:X,MATCH(1,(BAREMOS!A:A=A107)*(BAREMOS!B:B=B107)*(BAREMOS!C:C=C107)*(BAREMOS!D:D=D107),0),0)),19,
         MATCH(H107,INDEX(BAREMOS!F:X"&amp;",MATCH(1,(BAREMOS!A:A=A107)*(BAREMOS!B:B=B107)*(BAREMOS!C:C=C107)*(BAREMOS!D:D=D107),0),0),1)
      )
   )
)
,""""))
"),"")</f>
        <v/>
      </c>
      <c r="K107" s="34" t="str">
        <f t="shared" si="1"/>
        <v/>
      </c>
      <c r="L107" s="16"/>
      <c r="M107" s="16"/>
      <c r="N107" s="16"/>
      <c r="O107" s="16"/>
      <c r="P107" s="16"/>
      <c r="Q107" s="16"/>
      <c r="R107" s="16"/>
      <c r="S107" s="16"/>
      <c r="T107" s="16"/>
      <c r="U107" s="16"/>
      <c r="V107" s="16"/>
      <c r="W107" s="16"/>
      <c r="X107" s="16"/>
      <c r="Y107" s="16"/>
      <c r="Z107" s="16"/>
      <c r="AA107" s="16"/>
      <c r="AB107" s="16"/>
      <c r="AC107" s="16"/>
    </row>
    <row r="108">
      <c r="A108" s="22" t="str">
        <f t="array" ref="A108">IF(E108="","",IFERROR(INDEX(CONFIGURACION!C:C,MATCH(E108,CONFIGURACION!E:E,0)),""))
</f>
        <v/>
      </c>
      <c r="B108" s="22" t="str">
        <f t="array" ref="B108">IF(E108="","",IFERROR(INDEX(CONFIGURACION!D:D,MATCH(E108,CONFIGURACION!E:E,0)),""))
</f>
        <v/>
      </c>
      <c r="C108" s="31"/>
      <c r="D108" s="9"/>
      <c r="E108" s="6"/>
      <c r="F108" s="24"/>
      <c r="G108" s="9"/>
      <c r="H108" s="32"/>
      <c r="I108" s="33" t="str">
        <f>IFERROR(__xludf.DUMMYFUNCTION("IF(F108="""","""",LET(
  nombre, TRIM(F108),
  primer, REGEXEXTRACT(nombre, ""^\S+""),
  resto, TRIM(REGEXREPLACE(nombre, ""^\S+\s*"", """")),
  iniciales, IF(
    resto="""",
    """",
    TEXTJOIN("""",1,ARRAYFORMULA(LEFT(SPLIT(resto,"" ""),1) &amp; "".""))"&amp;"
  ),
  UPPER(primer) &amp; "" "" &amp; UPPER(iniciales)
))"),"")</f>
        <v/>
      </c>
      <c r="J108" s="33" t="str">
        <f>IFERROR(__xludf.DUMMYFUNCTION("IF(H108="""","""",IFERROR(
IF(REGEXMATCH(E108,""VELOCIDAD""),
   IF(H108&gt;=MAX(INDEX(BAREMOS!F:X,MATCH(1,(BAREMOS!A:A=A108)*(BAREMOS!B:B=B108)*(BAREMOS!C:C=C108)*(BAREMOS!D:D=D108),0),0)),1,
      IF(H108&lt;=MIN(INDEX(BAREMOS!F:X,MATCH(1,(BAREMOS!A:A=A108)*("&amp;"BAREMOS!B:B=B108)*(BAREMOS!C:C=C108)*(BAREMOS!D:D=D108),0),0)),19,
         MATCH(H108,INDEX(BAREMOS!F:X,MATCH(1,(BAREMOS!A:A=A108)*(BAREMOS!B:B=B108)*(BAREMOS!C:C=C108)*(BAREMOS!D:D=D108),0),0),-1)
      )
   ),
   IF(H108&lt;=MIN(INDEX(BAREMOS!F:X,MATCH(1,"&amp;"(BAREMOS!A:A=A108)*(BAREMOS!B:B=B108)*(BAREMOS!C:C=C108)*(BAREMOS!D:D=D108),0),0)),1,
      IF(H108&gt;=MAX(INDEX(BAREMOS!F:X,MATCH(1,(BAREMOS!A:A=A108)*(BAREMOS!B:B=B108)*(BAREMOS!C:C=C108)*(BAREMOS!D:D=D108),0),0)),19,
         MATCH(H108,INDEX(BAREMOS!F:X"&amp;",MATCH(1,(BAREMOS!A:A=A108)*(BAREMOS!B:B=B108)*(BAREMOS!C:C=C108)*(BAREMOS!D:D=D108),0),0),1)
      )
   )
)
,""""))
"),"")</f>
        <v/>
      </c>
      <c r="K108" s="34" t="str">
        <f t="shared" si="1"/>
        <v/>
      </c>
      <c r="L108" s="16"/>
      <c r="M108" s="16"/>
      <c r="N108" s="16"/>
      <c r="O108" s="16"/>
      <c r="P108" s="16"/>
      <c r="Q108" s="16"/>
      <c r="R108" s="16"/>
      <c r="S108" s="16"/>
      <c r="T108" s="16"/>
      <c r="U108" s="16"/>
      <c r="V108" s="16"/>
      <c r="W108" s="16"/>
      <c r="X108" s="16"/>
      <c r="Y108" s="16"/>
      <c r="Z108" s="16"/>
      <c r="AA108" s="16"/>
      <c r="AB108" s="16"/>
      <c r="AC108" s="16"/>
    </row>
    <row r="109">
      <c r="A109" s="22" t="str">
        <f t="array" ref="A109">IF(E109="","",IFERROR(INDEX(CONFIGURACION!C:C,MATCH(E109,CONFIGURACION!E:E,0)),""))
</f>
        <v/>
      </c>
      <c r="B109" s="22" t="str">
        <f t="array" ref="B109">IF(E109="","",IFERROR(INDEX(CONFIGURACION!D:D,MATCH(E109,CONFIGURACION!E:E,0)),""))
</f>
        <v/>
      </c>
      <c r="C109" s="31"/>
      <c r="D109" s="9"/>
      <c r="E109" s="6"/>
      <c r="F109" s="24"/>
      <c r="G109" s="9"/>
      <c r="H109" s="32"/>
      <c r="I109" s="33" t="str">
        <f>IFERROR(__xludf.DUMMYFUNCTION("IF(F109="""","""",LET(
  nombre, TRIM(F109),
  primer, REGEXEXTRACT(nombre, ""^\S+""),
  resto, TRIM(REGEXREPLACE(nombre, ""^\S+\s*"", """")),
  iniciales, IF(
    resto="""",
    """",
    TEXTJOIN("""",1,ARRAYFORMULA(LEFT(SPLIT(resto,"" ""),1) &amp; "".""))"&amp;"
  ),
  UPPER(primer) &amp; "" "" &amp; UPPER(iniciales)
))"),"")</f>
        <v/>
      </c>
      <c r="J109" s="33" t="str">
        <f>IFERROR(__xludf.DUMMYFUNCTION("IF(H109="""","""",IFERROR(
IF(REGEXMATCH(E109,""VELOCIDAD""),
   IF(H109&gt;=MAX(INDEX(BAREMOS!F:X,MATCH(1,(BAREMOS!A:A=A109)*(BAREMOS!B:B=B109)*(BAREMOS!C:C=C109)*(BAREMOS!D:D=D109),0),0)),1,
      IF(H109&lt;=MIN(INDEX(BAREMOS!F:X,MATCH(1,(BAREMOS!A:A=A109)*("&amp;"BAREMOS!B:B=B109)*(BAREMOS!C:C=C109)*(BAREMOS!D:D=D109),0),0)),19,
         MATCH(H109,INDEX(BAREMOS!F:X,MATCH(1,(BAREMOS!A:A=A109)*(BAREMOS!B:B=B109)*(BAREMOS!C:C=C109)*(BAREMOS!D:D=D109),0),0),-1)
      )
   ),
   IF(H109&lt;=MIN(INDEX(BAREMOS!F:X,MATCH(1,"&amp;"(BAREMOS!A:A=A109)*(BAREMOS!B:B=B109)*(BAREMOS!C:C=C109)*(BAREMOS!D:D=D109),0),0)),1,
      IF(H109&gt;=MAX(INDEX(BAREMOS!F:X,MATCH(1,(BAREMOS!A:A=A109)*(BAREMOS!B:B=B109)*(BAREMOS!C:C=C109)*(BAREMOS!D:D=D109),0),0)),19,
         MATCH(H109,INDEX(BAREMOS!F:X"&amp;",MATCH(1,(BAREMOS!A:A=A109)*(BAREMOS!B:B=B109)*(BAREMOS!C:C=C109)*(BAREMOS!D:D=D109),0),0),1)
      )
   )
)
,""""))
"),"")</f>
        <v/>
      </c>
      <c r="K109" s="34" t="str">
        <f t="shared" si="1"/>
        <v/>
      </c>
      <c r="L109" s="16"/>
      <c r="M109" s="16"/>
      <c r="N109" s="16"/>
      <c r="O109" s="16"/>
      <c r="P109" s="16"/>
      <c r="Q109" s="16"/>
      <c r="R109" s="16"/>
      <c r="S109" s="16"/>
      <c r="T109" s="16"/>
      <c r="U109" s="16"/>
      <c r="V109" s="16"/>
      <c r="W109" s="16"/>
      <c r="X109" s="16"/>
      <c r="Y109" s="16"/>
      <c r="Z109" s="16"/>
      <c r="AA109" s="16"/>
      <c r="AB109" s="16"/>
      <c r="AC109" s="16"/>
    </row>
    <row r="110">
      <c r="A110" s="22" t="str">
        <f t="array" ref="A110">IF(E110="","",IFERROR(INDEX(CONFIGURACION!C:C,MATCH(E110,CONFIGURACION!E:E,0)),""))
</f>
        <v/>
      </c>
      <c r="B110" s="22" t="str">
        <f t="array" ref="B110">IF(E110="","",IFERROR(INDEX(CONFIGURACION!D:D,MATCH(E110,CONFIGURACION!E:E,0)),""))
</f>
        <v/>
      </c>
      <c r="C110" s="31"/>
      <c r="D110" s="9"/>
      <c r="E110" s="6"/>
      <c r="F110" s="24"/>
      <c r="G110" s="9"/>
      <c r="H110" s="32"/>
      <c r="I110" s="33" t="str">
        <f>IFERROR(__xludf.DUMMYFUNCTION("IF(F110="""","""",LET(
  nombre, TRIM(F110),
  primer, REGEXEXTRACT(nombre, ""^\S+""),
  resto, TRIM(REGEXREPLACE(nombre, ""^\S+\s*"", """")),
  iniciales, IF(
    resto="""",
    """",
    TEXTJOIN("""",1,ARRAYFORMULA(LEFT(SPLIT(resto,"" ""),1) &amp; "".""))"&amp;"
  ),
  UPPER(primer) &amp; "" "" &amp; UPPER(iniciales)
))"),"")</f>
        <v/>
      </c>
      <c r="J110" s="33" t="str">
        <f>IFERROR(__xludf.DUMMYFUNCTION("IF(H110="""","""",IFERROR(
IF(REGEXMATCH(E110,""VELOCIDAD""),
   IF(H110&gt;=MAX(INDEX(BAREMOS!F:X,MATCH(1,(BAREMOS!A:A=A110)*(BAREMOS!B:B=B110)*(BAREMOS!C:C=C110)*(BAREMOS!D:D=D110),0),0)),1,
      IF(H110&lt;=MIN(INDEX(BAREMOS!F:X,MATCH(1,(BAREMOS!A:A=A110)*("&amp;"BAREMOS!B:B=B110)*(BAREMOS!C:C=C110)*(BAREMOS!D:D=D110),0),0)),19,
         MATCH(H110,INDEX(BAREMOS!F:X,MATCH(1,(BAREMOS!A:A=A110)*(BAREMOS!B:B=B110)*(BAREMOS!C:C=C110)*(BAREMOS!D:D=D110),0),0),-1)
      )
   ),
   IF(H110&lt;=MIN(INDEX(BAREMOS!F:X,MATCH(1,"&amp;"(BAREMOS!A:A=A110)*(BAREMOS!B:B=B110)*(BAREMOS!C:C=C110)*(BAREMOS!D:D=D110),0),0)),1,
      IF(H110&gt;=MAX(INDEX(BAREMOS!F:X,MATCH(1,(BAREMOS!A:A=A110)*(BAREMOS!B:B=B110)*(BAREMOS!C:C=C110)*(BAREMOS!D:D=D110),0),0)),19,
         MATCH(H110,INDEX(BAREMOS!F:X"&amp;",MATCH(1,(BAREMOS!A:A=A110)*(BAREMOS!B:B=B110)*(BAREMOS!C:C=C110)*(BAREMOS!D:D=D110),0),0),1)
      )
   )
)
,""""))
"),"")</f>
        <v/>
      </c>
      <c r="K110" s="34" t="str">
        <f t="shared" si="1"/>
        <v/>
      </c>
      <c r="L110" s="16"/>
      <c r="M110" s="16"/>
      <c r="N110" s="16"/>
      <c r="O110" s="16"/>
      <c r="P110" s="16"/>
      <c r="Q110" s="16"/>
      <c r="R110" s="16"/>
      <c r="S110" s="16"/>
      <c r="T110" s="16"/>
      <c r="U110" s="16"/>
      <c r="V110" s="16"/>
      <c r="W110" s="16"/>
      <c r="X110" s="16"/>
      <c r="Y110" s="16"/>
      <c r="Z110" s="16"/>
      <c r="AA110" s="16"/>
      <c r="AB110" s="16"/>
      <c r="AC110" s="16"/>
    </row>
    <row r="111">
      <c r="A111" s="22" t="str">
        <f t="array" ref="A111">IF(E111="","",IFERROR(INDEX(CONFIGURACION!C:C,MATCH(E111,CONFIGURACION!E:E,0)),""))
</f>
        <v/>
      </c>
      <c r="B111" s="22" t="str">
        <f t="array" ref="B111">IF(E111="","",IFERROR(INDEX(CONFIGURACION!D:D,MATCH(E111,CONFIGURACION!E:E,0)),""))
</f>
        <v/>
      </c>
      <c r="C111" s="31"/>
      <c r="D111" s="9"/>
      <c r="E111" s="6"/>
      <c r="F111" s="24"/>
      <c r="G111" s="9"/>
      <c r="H111" s="32"/>
      <c r="I111" s="33" t="str">
        <f>IFERROR(__xludf.DUMMYFUNCTION("IF(F111="""","""",LET(
  nombre, TRIM(F111),
  primer, REGEXEXTRACT(nombre, ""^\S+""),
  resto, TRIM(REGEXREPLACE(nombre, ""^\S+\s*"", """")),
  iniciales, IF(
    resto="""",
    """",
    TEXTJOIN("""",1,ARRAYFORMULA(LEFT(SPLIT(resto,"" ""),1) &amp; "".""))"&amp;"
  ),
  UPPER(primer) &amp; "" "" &amp; UPPER(iniciales)
))"),"")</f>
        <v/>
      </c>
      <c r="J111" s="33" t="str">
        <f>IFERROR(__xludf.DUMMYFUNCTION("IF(H111="""","""",IFERROR(
IF(REGEXMATCH(E111,""VELOCIDAD""),
   IF(H111&gt;=MAX(INDEX(BAREMOS!F:X,MATCH(1,(BAREMOS!A:A=A111)*(BAREMOS!B:B=B111)*(BAREMOS!C:C=C111)*(BAREMOS!D:D=D111),0),0)),1,
      IF(H111&lt;=MIN(INDEX(BAREMOS!F:X,MATCH(1,(BAREMOS!A:A=A111)*("&amp;"BAREMOS!B:B=B111)*(BAREMOS!C:C=C111)*(BAREMOS!D:D=D111),0),0)),19,
         MATCH(H111,INDEX(BAREMOS!F:X,MATCH(1,(BAREMOS!A:A=A111)*(BAREMOS!B:B=B111)*(BAREMOS!C:C=C111)*(BAREMOS!D:D=D111),0),0),-1)
      )
   ),
   IF(H111&lt;=MIN(INDEX(BAREMOS!F:X,MATCH(1,"&amp;"(BAREMOS!A:A=A111)*(BAREMOS!B:B=B111)*(BAREMOS!C:C=C111)*(BAREMOS!D:D=D111),0),0)),1,
      IF(H111&gt;=MAX(INDEX(BAREMOS!F:X,MATCH(1,(BAREMOS!A:A=A111)*(BAREMOS!B:B=B111)*(BAREMOS!C:C=C111)*(BAREMOS!D:D=D111),0),0)),19,
         MATCH(H111,INDEX(BAREMOS!F:X"&amp;",MATCH(1,(BAREMOS!A:A=A111)*(BAREMOS!B:B=B111)*(BAREMOS!C:C=C111)*(BAREMOS!D:D=D111),0),0),1)
      )
   )
)
,""""))
"),"")</f>
        <v/>
      </c>
      <c r="K111" s="34" t="str">
        <f t="shared" si="1"/>
        <v/>
      </c>
      <c r="L111" s="16"/>
      <c r="M111" s="16"/>
      <c r="N111" s="16"/>
      <c r="O111" s="16"/>
      <c r="P111" s="16"/>
      <c r="Q111" s="16"/>
      <c r="R111" s="16"/>
      <c r="S111" s="16"/>
      <c r="T111" s="16"/>
      <c r="U111" s="16"/>
      <c r="V111" s="16"/>
      <c r="W111" s="16"/>
      <c r="X111" s="16"/>
      <c r="Y111" s="16"/>
      <c r="Z111" s="16"/>
      <c r="AA111" s="16"/>
      <c r="AB111" s="16"/>
      <c r="AC111" s="16"/>
    </row>
    <row r="112">
      <c r="A112" s="22" t="str">
        <f t="array" ref="A112">IF(E112="","",IFERROR(INDEX(CONFIGURACION!C:C,MATCH(E112,CONFIGURACION!E:E,0)),""))
</f>
        <v/>
      </c>
      <c r="B112" s="22" t="str">
        <f t="array" ref="B112">IF(E112="","",IFERROR(INDEX(CONFIGURACION!D:D,MATCH(E112,CONFIGURACION!E:E,0)),""))
</f>
        <v/>
      </c>
      <c r="C112" s="31"/>
      <c r="D112" s="9"/>
      <c r="E112" s="6"/>
      <c r="F112" s="24"/>
      <c r="G112" s="9"/>
      <c r="H112" s="32"/>
      <c r="I112" s="33" t="str">
        <f>IFERROR(__xludf.DUMMYFUNCTION("IF(F112="""","""",LET(
  nombre, TRIM(F112),
  primer, REGEXEXTRACT(nombre, ""^\S+""),
  resto, TRIM(REGEXREPLACE(nombre, ""^\S+\s*"", """")),
  iniciales, IF(
    resto="""",
    """",
    TEXTJOIN("""",1,ARRAYFORMULA(LEFT(SPLIT(resto,"" ""),1) &amp; "".""))"&amp;"
  ),
  UPPER(primer) &amp; "" "" &amp; UPPER(iniciales)
))"),"")</f>
        <v/>
      </c>
      <c r="J112" s="33" t="str">
        <f>IFERROR(__xludf.DUMMYFUNCTION("IF(H112="""","""",IFERROR(
IF(REGEXMATCH(E112,""VELOCIDAD""),
   IF(H112&gt;=MAX(INDEX(BAREMOS!F:X,MATCH(1,(BAREMOS!A:A=A112)*(BAREMOS!B:B=B112)*(BAREMOS!C:C=C112)*(BAREMOS!D:D=D112),0),0)),1,
      IF(H112&lt;=MIN(INDEX(BAREMOS!F:X,MATCH(1,(BAREMOS!A:A=A112)*("&amp;"BAREMOS!B:B=B112)*(BAREMOS!C:C=C112)*(BAREMOS!D:D=D112),0),0)),19,
         MATCH(H112,INDEX(BAREMOS!F:X,MATCH(1,(BAREMOS!A:A=A112)*(BAREMOS!B:B=B112)*(BAREMOS!C:C=C112)*(BAREMOS!D:D=D112),0),0),-1)
      )
   ),
   IF(H112&lt;=MIN(INDEX(BAREMOS!F:X,MATCH(1,"&amp;"(BAREMOS!A:A=A112)*(BAREMOS!B:B=B112)*(BAREMOS!C:C=C112)*(BAREMOS!D:D=D112),0),0)),1,
      IF(H112&gt;=MAX(INDEX(BAREMOS!F:X,MATCH(1,(BAREMOS!A:A=A112)*(BAREMOS!B:B=B112)*(BAREMOS!C:C=C112)*(BAREMOS!D:D=D112),0),0)),19,
         MATCH(H112,INDEX(BAREMOS!F:X"&amp;",MATCH(1,(BAREMOS!A:A=A112)*(BAREMOS!B:B=B112)*(BAREMOS!C:C=C112)*(BAREMOS!D:D=D112),0),0),1)
      )
   )
)
,""""))
"),"")</f>
        <v/>
      </c>
      <c r="K112" s="34" t="str">
        <f t="shared" si="1"/>
        <v/>
      </c>
      <c r="L112" s="16"/>
      <c r="M112" s="16"/>
      <c r="N112" s="16"/>
      <c r="O112" s="16"/>
      <c r="P112" s="16"/>
      <c r="Q112" s="16"/>
      <c r="R112" s="16"/>
      <c r="S112" s="16"/>
      <c r="T112" s="16"/>
      <c r="U112" s="16"/>
      <c r="V112" s="16"/>
      <c r="W112" s="16"/>
      <c r="X112" s="16"/>
      <c r="Y112" s="16"/>
      <c r="Z112" s="16"/>
      <c r="AA112" s="16"/>
      <c r="AB112" s="16"/>
      <c r="AC112" s="16"/>
    </row>
    <row r="113">
      <c r="A113" s="22" t="str">
        <f t="array" ref="A113">IF(E113="","",IFERROR(INDEX(CONFIGURACION!C:C,MATCH(E113,CONFIGURACION!E:E,0)),""))
</f>
        <v/>
      </c>
      <c r="B113" s="22" t="str">
        <f t="array" ref="B113">IF(E113="","",IFERROR(INDEX(CONFIGURACION!D:D,MATCH(E113,CONFIGURACION!E:E,0)),""))
</f>
        <v/>
      </c>
      <c r="C113" s="31"/>
      <c r="D113" s="9"/>
      <c r="E113" s="6"/>
      <c r="F113" s="24"/>
      <c r="G113" s="9"/>
      <c r="H113" s="32"/>
      <c r="I113" s="33" t="str">
        <f>IFERROR(__xludf.DUMMYFUNCTION("IF(F113="""","""",LET(
  nombre, TRIM(F113),
  primer, REGEXEXTRACT(nombre, ""^\S+""),
  resto, TRIM(REGEXREPLACE(nombre, ""^\S+\s*"", """")),
  iniciales, IF(
    resto="""",
    """",
    TEXTJOIN("""",1,ARRAYFORMULA(LEFT(SPLIT(resto,"" ""),1) &amp; "".""))"&amp;"
  ),
  UPPER(primer) &amp; "" "" &amp; UPPER(iniciales)
))"),"")</f>
        <v/>
      </c>
      <c r="J113" s="33" t="str">
        <f>IFERROR(__xludf.DUMMYFUNCTION("IF(H113="""","""",IFERROR(
IF(REGEXMATCH(E113,""VELOCIDAD""),
   IF(H113&gt;=MAX(INDEX(BAREMOS!F:X,MATCH(1,(BAREMOS!A:A=A113)*(BAREMOS!B:B=B113)*(BAREMOS!C:C=C113)*(BAREMOS!D:D=D113),0),0)),1,
      IF(H113&lt;=MIN(INDEX(BAREMOS!F:X,MATCH(1,(BAREMOS!A:A=A113)*("&amp;"BAREMOS!B:B=B113)*(BAREMOS!C:C=C113)*(BAREMOS!D:D=D113),0),0)),19,
         MATCH(H113,INDEX(BAREMOS!F:X,MATCH(1,(BAREMOS!A:A=A113)*(BAREMOS!B:B=B113)*(BAREMOS!C:C=C113)*(BAREMOS!D:D=D113),0),0),-1)
      )
   ),
   IF(H113&lt;=MIN(INDEX(BAREMOS!F:X,MATCH(1,"&amp;"(BAREMOS!A:A=A113)*(BAREMOS!B:B=B113)*(BAREMOS!C:C=C113)*(BAREMOS!D:D=D113),0),0)),1,
      IF(H113&gt;=MAX(INDEX(BAREMOS!F:X,MATCH(1,(BAREMOS!A:A=A113)*(BAREMOS!B:B=B113)*(BAREMOS!C:C=C113)*(BAREMOS!D:D=D113),0),0)),19,
         MATCH(H113,INDEX(BAREMOS!F:X"&amp;",MATCH(1,(BAREMOS!A:A=A113)*(BAREMOS!B:B=B113)*(BAREMOS!C:C=C113)*(BAREMOS!D:D=D113),0),0),1)
      )
   )
)
,""""))
"),"")</f>
        <v/>
      </c>
      <c r="K113" s="34" t="str">
        <f t="shared" si="1"/>
        <v/>
      </c>
      <c r="L113" s="16"/>
      <c r="M113" s="16"/>
      <c r="N113" s="16"/>
      <c r="O113" s="16"/>
      <c r="P113" s="16"/>
      <c r="Q113" s="16"/>
      <c r="R113" s="16"/>
      <c r="S113" s="16"/>
      <c r="T113" s="16"/>
      <c r="U113" s="16"/>
      <c r="V113" s="16"/>
      <c r="W113" s="16"/>
      <c r="X113" s="16"/>
      <c r="Y113" s="16"/>
      <c r="Z113" s="16"/>
      <c r="AA113" s="16"/>
      <c r="AB113" s="16"/>
      <c r="AC113" s="16"/>
    </row>
    <row r="114">
      <c r="A114" s="22" t="str">
        <f t="array" ref="A114">IF(E114="","",IFERROR(INDEX(CONFIGURACION!C:C,MATCH(E114,CONFIGURACION!E:E,0)),""))
</f>
        <v/>
      </c>
      <c r="B114" s="22" t="str">
        <f t="array" ref="B114">IF(E114="","",IFERROR(INDEX(CONFIGURACION!D:D,MATCH(E114,CONFIGURACION!E:E,0)),""))
</f>
        <v/>
      </c>
      <c r="C114" s="31"/>
      <c r="D114" s="9"/>
      <c r="E114" s="6"/>
      <c r="F114" s="24"/>
      <c r="G114" s="9"/>
      <c r="H114" s="32"/>
      <c r="I114" s="33" t="str">
        <f>IFERROR(__xludf.DUMMYFUNCTION("IF(F114="""","""",LET(
  nombre, TRIM(F114),
  primer, REGEXEXTRACT(nombre, ""^\S+""),
  resto, TRIM(REGEXREPLACE(nombre, ""^\S+\s*"", """")),
  iniciales, IF(
    resto="""",
    """",
    TEXTJOIN("""",1,ARRAYFORMULA(LEFT(SPLIT(resto,"" ""),1) &amp; "".""))"&amp;"
  ),
  UPPER(primer) &amp; "" "" &amp; UPPER(iniciales)
))"),"")</f>
        <v/>
      </c>
      <c r="J114" s="33" t="str">
        <f>IFERROR(__xludf.DUMMYFUNCTION("IF(H114="""","""",IFERROR(
IF(REGEXMATCH(E114,""VELOCIDAD""),
   IF(H114&gt;=MAX(INDEX(BAREMOS!F:X,MATCH(1,(BAREMOS!A:A=A114)*(BAREMOS!B:B=B114)*(BAREMOS!C:C=C114)*(BAREMOS!D:D=D114),0),0)),1,
      IF(H114&lt;=MIN(INDEX(BAREMOS!F:X,MATCH(1,(BAREMOS!A:A=A114)*("&amp;"BAREMOS!B:B=B114)*(BAREMOS!C:C=C114)*(BAREMOS!D:D=D114),0),0)),19,
         MATCH(H114,INDEX(BAREMOS!F:X,MATCH(1,(BAREMOS!A:A=A114)*(BAREMOS!B:B=B114)*(BAREMOS!C:C=C114)*(BAREMOS!D:D=D114),0),0),-1)
      )
   ),
   IF(H114&lt;=MIN(INDEX(BAREMOS!F:X,MATCH(1,"&amp;"(BAREMOS!A:A=A114)*(BAREMOS!B:B=B114)*(BAREMOS!C:C=C114)*(BAREMOS!D:D=D114),0),0)),1,
      IF(H114&gt;=MAX(INDEX(BAREMOS!F:X,MATCH(1,(BAREMOS!A:A=A114)*(BAREMOS!B:B=B114)*(BAREMOS!C:C=C114)*(BAREMOS!D:D=D114),0),0)),19,
         MATCH(H114,INDEX(BAREMOS!F:X"&amp;",MATCH(1,(BAREMOS!A:A=A114)*(BAREMOS!B:B=B114)*(BAREMOS!C:C=C114)*(BAREMOS!D:D=D114),0),0),1)
      )
   )
)
,""""))
"),"")</f>
        <v/>
      </c>
      <c r="K114" s="34" t="str">
        <f t="shared" si="1"/>
        <v/>
      </c>
      <c r="L114" s="16"/>
      <c r="M114" s="16"/>
      <c r="N114" s="16"/>
      <c r="O114" s="16"/>
      <c r="P114" s="16"/>
      <c r="Q114" s="16"/>
      <c r="R114" s="16"/>
      <c r="S114" s="16"/>
      <c r="T114" s="16"/>
      <c r="U114" s="16"/>
      <c r="V114" s="16"/>
      <c r="W114" s="16"/>
      <c r="X114" s="16"/>
      <c r="Y114" s="16"/>
      <c r="Z114" s="16"/>
      <c r="AA114" s="16"/>
      <c r="AB114" s="16"/>
      <c r="AC114" s="16"/>
    </row>
    <row r="115">
      <c r="A115" s="22" t="str">
        <f t="array" ref="A115">IF(E115="","",IFERROR(INDEX(CONFIGURACION!C:C,MATCH(E115,CONFIGURACION!E:E,0)),""))
</f>
        <v/>
      </c>
      <c r="B115" s="22" t="str">
        <f t="array" ref="B115">IF(E115="","",IFERROR(INDEX(CONFIGURACION!D:D,MATCH(E115,CONFIGURACION!E:E,0)),""))
</f>
        <v/>
      </c>
      <c r="C115" s="31"/>
      <c r="D115" s="9"/>
      <c r="E115" s="6"/>
      <c r="F115" s="24"/>
      <c r="G115" s="9"/>
      <c r="H115" s="32"/>
      <c r="I115" s="33" t="str">
        <f>IFERROR(__xludf.DUMMYFUNCTION("IF(F115="""","""",LET(
  nombre, TRIM(F115),
  primer, REGEXEXTRACT(nombre, ""^\S+""),
  resto, TRIM(REGEXREPLACE(nombre, ""^\S+\s*"", """")),
  iniciales, IF(
    resto="""",
    """",
    TEXTJOIN("""",1,ARRAYFORMULA(LEFT(SPLIT(resto,"" ""),1) &amp; "".""))"&amp;"
  ),
  UPPER(primer) &amp; "" "" &amp; UPPER(iniciales)
))"),"")</f>
        <v/>
      </c>
      <c r="J115" s="33" t="str">
        <f>IFERROR(__xludf.DUMMYFUNCTION("IF(H115="""","""",IFERROR(
IF(REGEXMATCH(E115,""VELOCIDAD""),
   IF(H115&gt;=MAX(INDEX(BAREMOS!F:X,MATCH(1,(BAREMOS!A:A=A115)*(BAREMOS!B:B=B115)*(BAREMOS!C:C=C115)*(BAREMOS!D:D=D115),0),0)),1,
      IF(H115&lt;=MIN(INDEX(BAREMOS!F:X,MATCH(1,(BAREMOS!A:A=A115)*("&amp;"BAREMOS!B:B=B115)*(BAREMOS!C:C=C115)*(BAREMOS!D:D=D115),0),0)),19,
         MATCH(H115,INDEX(BAREMOS!F:X,MATCH(1,(BAREMOS!A:A=A115)*(BAREMOS!B:B=B115)*(BAREMOS!C:C=C115)*(BAREMOS!D:D=D115),0),0),-1)
      )
   ),
   IF(H115&lt;=MIN(INDEX(BAREMOS!F:X,MATCH(1,"&amp;"(BAREMOS!A:A=A115)*(BAREMOS!B:B=B115)*(BAREMOS!C:C=C115)*(BAREMOS!D:D=D115),0),0)),1,
      IF(H115&gt;=MAX(INDEX(BAREMOS!F:X,MATCH(1,(BAREMOS!A:A=A115)*(BAREMOS!B:B=B115)*(BAREMOS!C:C=C115)*(BAREMOS!D:D=D115),0),0)),19,
         MATCH(H115,INDEX(BAREMOS!F:X"&amp;",MATCH(1,(BAREMOS!A:A=A115)*(BAREMOS!B:B=B115)*(BAREMOS!C:C=C115)*(BAREMOS!D:D=D115),0),0),1)
      )
   )
)
,""""))
"),"")</f>
        <v/>
      </c>
      <c r="K115" s="34" t="str">
        <f t="shared" si="1"/>
        <v/>
      </c>
      <c r="L115" s="16"/>
      <c r="M115" s="16"/>
      <c r="N115" s="16"/>
      <c r="O115" s="16"/>
      <c r="P115" s="16"/>
      <c r="Q115" s="16"/>
      <c r="R115" s="16"/>
      <c r="S115" s="16"/>
      <c r="T115" s="16"/>
      <c r="U115" s="16"/>
      <c r="V115" s="16"/>
      <c r="W115" s="16"/>
      <c r="X115" s="16"/>
      <c r="Y115" s="16"/>
      <c r="Z115" s="16"/>
      <c r="AA115" s="16"/>
      <c r="AB115" s="16"/>
      <c r="AC115" s="16"/>
    </row>
    <row r="116">
      <c r="A116" s="22" t="str">
        <f t="array" ref="A116">IF(E116="","",IFERROR(INDEX(CONFIGURACION!C:C,MATCH(E116,CONFIGURACION!E:E,0)),""))
</f>
        <v/>
      </c>
      <c r="B116" s="22" t="str">
        <f t="array" ref="B116">IF(E116="","",IFERROR(INDEX(CONFIGURACION!D:D,MATCH(E116,CONFIGURACION!E:E,0)),""))
</f>
        <v/>
      </c>
      <c r="C116" s="31"/>
      <c r="D116" s="9"/>
      <c r="E116" s="6"/>
      <c r="F116" s="24"/>
      <c r="G116" s="9"/>
      <c r="H116" s="32"/>
      <c r="I116" s="33" t="str">
        <f>IFERROR(__xludf.DUMMYFUNCTION("IF(F116="""","""",LET(
  nombre, TRIM(F116),
  primer, REGEXEXTRACT(nombre, ""^\S+""),
  resto, TRIM(REGEXREPLACE(nombre, ""^\S+\s*"", """")),
  iniciales, IF(
    resto="""",
    """",
    TEXTJOIN("""",1,ARRAYFORMULA(LEFT(SPLIT(resto,"" ""),1) &amp; "".""))"&amp;"
  ),
  UPPER(primer) &amp; "" "" &amp; UPPER(iniciales)
))"),"")</f>
        <v/>
      </c>
      <c r="J116" s="33" t="str">
        <f>IFERROR(__xludf.DUMMYFUNCTION("IF(H116="""","""",IFERROR(
IF(REGEXMATCH(E116,""VELOCIDAD""),
   IF(H116&gt;=MAX(INDEX(BAREMOS!F:X,MATCH(1,(BAREMOS!A:A=A116)*(BAREMOS!B:B=B116)*(BAREMOS!C:C=C116)*(BAREMOS!D:D=D116),0),0)),1,
      IF(H116&lt;=MIN(INDEX(BAREMOS!F:X,MATCH(1,(BAREMOS!A:A=A116)*("&amp;"BAREMOS!B:B=B116)*(BAREMOS!C:C=C116)*(BAREMOS!D:D=D116),0),0)),19,
         MATCH(H116,INDEX(BAREMOS!F:X,MATCH(1,(BAREMOS!A:A=A116)*(BAREMOS!B:B=B116)*(BAREMOS!C:C=C116)*(BAREMOS!D:D=D116),0),0),-1)
      )
   ),
   IF(H116&lt;=MIN(INDEX(BAREMOS!F:X,MATCH(1,"&amp;"(BAREMOS!A:A=A116)*(BAREMOS!B:B=B116)*(BAREMOS!C:C=C116)*(BAREMOS!D:D=D116),0),0)),1,
      IF(H116&gt;=MAX(INDEX(BAREMOS!F:X,MATCH(1,(BAREMOS!A:A=A116)*(BAREMOS!B:B=B116)*(BAREMOS!C:C=C116)*(BAREMOS!D:D=D116),0),0)),19,
         MATCH(H116,INDEX(BAREMOS!F:X"&amp;",MATCH(1,(BAREMOS!A:A=A116)*(BAREMOS!B:B=B116)*(BAREMOS!C:C=C116)*(BAREMOS!D:D=D116),0),0),1)
      )
   )
)
,""""))
"),"")</f>
        <v/>
      </c>
      <c r="K116" s="34" t="str">
        <f t="shared" si="1"/>
        <v/>
      </c>
      <c r="L116" s="16"/>
      <c r="M116" s="16"/>
      <c r="N116" s="16"/>
      <c r="O116" s="16"/>
      <c r="P116" s="16"/>
      <c r="Q116" s="16"/>
      <c r="R116" s="16"/>
      <c r="S116" s="16"/>
      <c r="T116" s="16"/>
      <c r="U116" s="16"/>
      <c r="V116" s="16"/>
      <c r="W116" s="16"/>
      <c r="X116" s="16"/>
      <c r="Y116" s="16"/>
      <c r="Z116" s="16"/>
      <c r="AA116" s="16"/>
      <c r="AB116" s="16"/>
      <c r="AC116" s="16"/>
    </row>
    <row r="117">
      <c r="A117" s="22" t="str">
        <f t="array" ref="A117">IF(E117="","",IFERROR(INDEX(CONFIGURACION!C:C,MATCH(E117,CONFIGURACION!E:E,0)),""))
</f>
        <v/>
      </c>
      <c r="B117" s="22" t="str">
        <f t="array" ref="B117">IF(E117="","",IFERROR(INDEX(CONFIGURACION!D:D,MATCH(E117,CONFIGURACION!E:E,0)),""))
</f>
        <v/>
      </c>
      <c r="C117" s="31"/>
      <c r="D117" s="9"/>
      <c r="E117" s="6"/>
      <c r="F117" s="24"/>
      <c r="G117" s="9"/>
      <c r="H117" s="32"/>
      <c r="I117" s="33" t="str">
        <f>IFERROR(__xludf.DUMMYFUNCTION("IF(F117="""","""",LET(
  nombre, TRIM(F117),
  primer, REGEXEXTRACT(nombre, ""^\S+""),
  resto, TRIM(REGEXREPLACE(nombre, ""^\S+\s*"", """")),
  iniciales, IF(
    resto="""",
    """",
    TEXTJOIN("""",1,ARRAYFORMULA(LEFT(SPLIT(resto,"" ""),1) &amp; "".""))"&amp;"
  ),
  UPPER(primer) &amp; "" "" &amp; UPPER(iniciales)
))"),"")</f>
        <v/>
      </c>
      <c r="J117" s="33" t="str">
        <f>IFERROR(__xludf.DUMMYFUNCTION("IF(H117="""","""",IFERROR(
IF(REGEXMATCH(E117,""VELOCIDAD""),
   IF(H117&gt;=MAX(INDEX(BAREMOS!F:X,MATCH(1,(BAREMOS!A:A=A117)*(BAREMOS!B:B=B117)*(BAREMOS!C:C=C117)*(BAREMOS!D:D=D117),0),0)),1,
      IF(H117&lt;=MIN(INDEX(BAREMOS!F:X,MATCH(1,(BAREMOS!A:A=A117)*("&amp;"BAREMOS!B:B=B117)*(BAREMOS!C:C=C117)*(BAREMOS!D:D=D117),0),0)),19,
         MATCH(H117,INDEX(BAREMOS!F:X,MATCH(1,(BAREMOS!A:A=A117)*(BAREMOS!B:B=B117)*(BAREMOS!C:C=C117)*(BAREMOS!D:D=D117),0),0),-1)
      )
   ),
   IF(H117&lt;=MIN(INDEX(BAREMOS!F:X,MATCH(1,"&amp;"(BAREMOS!A:A=A117)*(BAREMOS!B:B=B117)*(BAREMOS!C:C=C117)*(BAREMOS!D:D=D117),0),0)),1,
      IF(H117&gt;=MAX(INDEX(BAREMOS!F:X,MATCH(1,(BAREMOS!A:A=A117)*(BAREMOS!B:B=B117)*(BAREMOS!C:C=C117)*(BAREMOS!D:D=D117),0),0)),19,
         MATCH(H117,INDEX(BAREMOS!F:X"&amp;",MATCH(1,(BAREMOS!A:A=A117)*(BAREMOS!B:B=B117)*(BAREMOS!C:C=C117)*(BAREMOS!D:D=D117),0),0),1)
      )
   )
)
,""""))
"),"")</f>
        <v/>
      </c>
      <c r="K117" s="34" t="str">
        <f t="shared" si="1"/>
        <v/>
      </c>
      <c r="L117" s="16"/>
      <c r="M117" s="16"/>
      <c r="N117" s="16"/>
      <c r="O117" s="16"/>
      <c r="P117" s="16"/>
      <c r="Q117" s="16"/>
      <c r="R117" s="16"/>
      <c r="S117" s="16"/>
      <c r="T117" s="16"/>
      <c r="U117" s="16"/>
      <c r="V117" s="16"/>
      <c r="W117" s="16"/>
      <c r="X117" s="16"/>
      <c r="Y117" s="16"/>
      <c r="Z117" s="16"/>
      <c r="AA117" s="16"/>
      <c r="AB117" s="16"/>
      <c r="AC117" s="16"/>
    </row>
    <row r="118">
      <c r="A118" s="22" t="str">
        <f t="array" ref="A118">IF(E118="","",IFERROR(INDEX(CONFIGURACION!C:C,MATCH(E118,CONFIGURACION!E:E,0)),""))
</f>
        <v/>
      </c>
      <c r="B118" s="22" t="str">
        <f t="array" ref="B118">IF(E118="","",IFERROR(INDEX(CONFIGURACION!D:D,MATCH(E118,CONFIGURACION!E:E,0)),""))
</f>
        <v/>
      </c>
      <c r="C118" s="31"/>
      <c r="D118" s="9"/>
      <c r="E118" s="6"/>
      <c r="F118" s="24"/>
      <c r="G118" s="9"/>
      <c r="H118" s="32"/>
      <c r="I118" s="33" t="str">
        <f>IFERROR(__xludf.DUMMYFUNCTION("IF(F118="""","""",LET(
  nombre, TRIM(F118),
  primer, REGEXEXTRACT(nombre, ""^\S+""),
  resto, TRIM(REGEXREPLACE(nombre, ""^\S+\s*"", """")),
  iniciales, IF(
    resto="""",
    """",
    TEXTJOIN("""",1,ARRAYFORMULA(LEFT(SPLIT(resto,"" ""),1) &amp; "".""))"&amp;"
  ),
  UPPER(primer) &amp; "" "" &amp; UPPER(iniciales)
))"),"")</f>
        <v/>
      </c>
      <c r="J118" s="33" t="str">
        <f>IFERROR(__xludf.DUMMYFUNCTION("IF(H118="""","""",IFERROR(
IF(REGEXMATCH(E118,""VELOCIDAD""),
   IF(H118&gt;=MAX(INDEX(BAREMOS!F:X,MATCH(1,(BAREMOS!A:A=A118)*(BAREMOS!B:B=B118)*(BAREMOS!C:C=C118)*(BAREMOS!D:D=D118),0),0)),1,
      IF(H118&lt;=MIN(INDEX(BAREMOS!F:X,MATCH(1,(BAREMOS!A:A=A118)*("&amp;"BAREMOS!B:B=B118)*(BAREMOS!C:C=C118)*(BAREMOS!D:D=D118),0),0)),19,
         MATCH(H118,INDEX(BAREMOS!F:X,MATCH(1,(BAREMOS!A:A=A118)*(BAREMOS!B:B=B118)*(BAREMOS!C:C=C118)*(BAREMOS!D:D=D118),0),0),-1)
      )
   ),
   IF(H118&lt;=MIN(INDEX(BAREMOS!F:X,MATCH(1,"&amp;"(BAREMOS!A:A=A118)*(BAREMOS!B:B=B118)*(BAREMOS!C:C=C118)*(BAREMOS!D:D=D118),0),0)),1,
      IF(H118&gt;=MAX(INDEX(BAREMOS!F:X,MATCH(1,(BAREMOS!A:A=A118)*(BAREMOS!B:B=B118)*(BAREMOS!C:C=C118)*(BAREMOS!D:D=D118),0),0)),19,
         MATCH(H118,INDEX(BAREMOS!F:X"&amp;",MATCH(1,(BAREMOS!A:A=A118)*(BAREMOS!B:B=B118)*(BAREMOS!C:C=C118)*(BAREMOS!D:D=D118),0),0),1)
      )
   )
)
,""""))
"),"")</f>
        <v/>
      </c>
      <c r="K118" s="34" t="str">
        <f t="shared" si="1"/>
        <v/>
      </c>
      <c r="L118" s="16"/>
      <c r="M118" s="16"/>
      <c r="N118" s="16"/>
      <c r="O118" s="16"/>
      <c r="P118" s="16"/>
      <c r="Q118" s="16"/>
      <c r="R118" s="16"/>
      <c r="S118" s="16"/>
      <c r="T118" s="16"/>
      <c r="U118" s="16"/>
      <c r="V118" s="16"/>
      <c r="W118" s="16"/>
      <c r="X118" s="16"/>
      <c r="Y118" s="16"/>
      <c r="Z118" s="16"/>
      <c r="AA118" s="16"/>
      <c r="AB118" s="16"/>
      <c r="AC118" s="16"/>
    </row>
    <row r="119">
      <c r="A119" s="22" t="str">
        <f t="array" ref="A119">IF(E119="","",IFERROR(INDEX(CONFIGURACION!C:C,MATCH(E119,CONFIGURACION!E:E,0)),""))
</f>
        <v/>
      </c>
      <c r="B119" s="22" t="str">
        <f t="array" ref="B119">IF(E119="","",IFERROR(INDEX(CONFIGURACION!D:D,MATCH(E119,CONFIGURACION!E:E,0)),""))
</f>
        <v/>
      </c>
      <c r="C119" s="31"/>
      <c r="D119" s="9"/>
      <c r="E119" s="6"/>
      <c r="F119" s="24"/>
      <c r="G119" s="9"/>
      <c r="H119" s="32"/>
      <c r="I119" s="33" t="str">
        <f>IFERROR(__xludf.DUMMYFUNCTION("IF(F119="""","""",LET(
  nombre, TRIM(F119),
  primer, REGEXEXTRACT(nombre, ""^\S+""),
  resto, TRIM(REGEXREPLACE(nombre, ""^\S+\s*"", """")),
  iniciales, IF(
    resto="""",
    """",
    TEXTJOIN("""",1,ARRAYFORMULA(LEFT(SPLIT(resto,"" ""),1) &amp; "".""))"&amp;"
  ),
  UPPER(primer) &amp; "" "" &amp; UPPER(iniciales)
))"),"")</f>
        <v/>
      </c>
      <c r="J119" s="33" t="str">
        <f>IFERROR(__xludf.DUMMYFUNCTION("IF(H119="""","""",IFERROR(
IF(REGEXMATCH(E119,""VELOCIDAD""),
   IF(H119&gt;=MAX(INDEX(BAREMOS!F:X,MATCH(1,(BAREMOS!A:A=A119)*(BAREMOS!B:B=B119)*(BAREMOS!C:C=C119)*(BAREMOS!D:D=D119),0),0)),1,
      IF(H119&lt;=MIN(INDEX(BAREMOS!F:X,MATCH(1,(BAREMOS!A:A=A119)*("&amp;"BAREMOS!B:B=B119)*(BAREMOS!C:C=C119)*(BAREMOS!D:D=D119),0),0)),19,
         MATCH(H119,INDEX(BAREMOS!F:X,MATCH(1,(BAREMOS!A:A=A119)*(BAREMOS!B:B=B119)*(BAREMOS!C:C=C119)*(BAREMOS!D:D=D119),0),0),-1)
      )
   ),
   IF(H119&lt;=MIN(INDEX(BAREMOS!F:X,MATCH(1,"&amp;"(BAREMOS!A:A=A119)*(BAREMOS!B:B=B119)*(BAREMOS!C:C=C119)*(BAREMOS!D:D=D119),0),0)),1,
      IF(H119&gt;=MAX(INDEX(BAREMOS!F:X,MATCH(1,(BAREMOS!A:A=A119)*(BAREMOS!B:B=B119)*(BAREMOS!C:C=C119)*(BAREMOS!D:D=D119),0),0)),19,
         MATCH(H119,INDEX(BAREMOS!F:X"&amp;",MATCH(1,(BAREMOS!A:A=A119)*(BAREMOS!B:B=B119)*(BAREMOS!C:C=C119)*(BAREMOS!D:D=D119),0),0),1)
      )
   )
)
,""""))
"),"")</f>
        <v/>
      </c>
      <c r="K119" s="34" t="str">
        <f t="shared" si="1"/>
        <v/>
      </c>
      <c r="L119" s="16"/>
      <c r="M119" s="16"/>
      <c r="N119" s="16"/>
      <c r="O119" s="16"/>
      <c r="P119" s="16"/>
      <c r="Q119" s="16"/>
      <c r="R119" s="16"/>
      <c r="S119" s="16"/>
      <c r="T119" s="16"/>
      <c r="U119" s="16"/>
      <c r="V119" s="16"/>
      <c r="W119" s="16"/>
      <c r="X119" s="16"/>
      <c r="Y119" s="16"/>
      <c r="Z119" s="16"/>
      <c r="AA119" s="16"/>
      <c r="AB119" s="16"/>
      <c r="AC119" s="16"/>
    </row>
    <row r="120">
      <c r="A120" s="22" t="str">
        <f t="array" ref="A120">IF(E120="","",IFERROR(INDEX(CONFIGURACION!C:C,MATCH(E120,CONFIGURACION!E:E,0)),""))
</f>
        <v/>
      </c>
      <c r="B120" s="22" t="str">
        <f t="array" ref="B120">IF(E120="","",IFERROR(INDEX(CONFIGURACION!D:D,MATCH(E120,CONFIGURACION!E:E,0)),""))
</f>
        <v/>
      </c>
      <c r="C120" s="31"/>
      <c r="D120" s="9"/>
      <c r="E120" s="6"/>
      <c r="F120" s="24"/>
      <c r="G120" s="9"/>
      <c r="H120" s="32"/>
      <c r="I120" s="33" t="str">
        <f>IFERROR(__xludf.DUMMYFUNCTION("IF(F120="""","""",LET(
  nombre, TRIM(F120),
  primer, REGEXEXTRACT(nombre, ""^\S+""),
  resto, TRIM(REGEXREPLACE(nombre, ""^\S+\s*"", """")),
  iniciales, IF(
    resto="""",
    """",
    TEXTJOIN("""",1,ARRAYFORMULA(LEFT(SPLIT(resto,"" ""),1) &amp; "".""))"&amp;"
  ),
  UPPER(primer) &amp; "" "" &amp; UPPER(iniciales)
))"),"")</f>
        <v/>
      </c>
      <c r="J120" s="33" t="str">
        <f>IFERROR(__xludf.DUMMYFUNCTION("IF(H120="""","""",IFERROR(
IF(REGEXMATCH(E120,""VELOCIDAD""),
   IF(H120&gt;=MAX(INDEX(BAREMOS!F:X,MATCH(1,(BAREMOS!A:A=A120)*(BAREMOS!B:B=B120)*(BAREMOS!C:C=C120)*(BAREMOS!D:D=D120),0),0)),1,
      IF(H120&lt;=MIN(INDEX(BAREMOS!F:X,MATCH(1,(BAREMOS!A:A=A120)*("&amp;"BAREMOS!B:B=B120)*(BAREMOS!C:C=C120)*(BAREMOS!D:D=D120),0),0)),19,
         MATCH(H120,INDEX(BAREMOS!F:X,MATCH(1,(BAREMOS!A:A=A120)*(BAREMOS!B:B=B120)*(BAREMOS!C:C=C120)*(BAREMOS!D:D=D120),0),0),-1)
      )
   ),
   IF(H120&lt;=MIN(INDEX(BAREMOS!F:X,MATCH(1,"&amp;"(BAREMOS!A:A=A120)*(BAREMOS!B:B=B120)*(BAREMOS!C:C=C120)*(BAREMOS!D:D=D120),0),0)),1,
      IF(H120&gt;=MAX(INDEX(BAREMOS!F:X,MATCH(1,(BAREMOS!A:A=A120)*(BAREMOS!B:B=B120)*(BAREMOS!C:C=C120)*(BAREMOS!D:D=D120),0),0)),19,
         MATCH(H120,INDEX(BAREMOS!F:X"&amp;",MATCH(1,(BAREMOS!A:A=A120)*(BAREMOS!B:B=B120)*(BAREMOS!C:C=C120)*(BAREMOS!D:D=D120),0),0),1)
      )
   )
)
,""""))
"),"")</f>
        <v/>
      </c>
      <c r="K120" s="34" t="str">
        <f t="shared" si="1"/>
        <v/>
      </c>
      <c r="L120" s="16"/>
      <c r="M120" s="16"/>
      <c r="N120" s="16"/>
      <c r="O120" s="16"/>
      <c r="P120" s="16"/>
      <c r="Q120" s="16"/>
      <c r="R120" s="16"/>
      <c r="S120" s="16"/>
      <c r="T120" s="16"/>
      <c r="U120" s="16"/>
      <c r="V120" s="16"/>
      <c r="W120" s="16"/>
      <c r="X120" s="16"/>
      <c r="Y120" s="16"/>
      <c r="Z120" s="16"/>
      <c r="AA120" s="16"/>
      <c r="AB120" s="16"/>
      <c r="AC120" s="16"/>
    </row>
    <row r="121">
      <c r="A121" s="22" t="str">
        <f t="array" ref="A121">IF(E121="","",IFERROR(INDEX(CONFIGURACION!C:C,MATCH(E121,CONFIGURACION!E:E,0)),""))
</f>
        <v/>
      </c>
      <c r="B121" s="22" t="str">
        <f t="array" ref="B121">IF(E121="","",IFERROR(INDEX(CONFIGURACION!D:D,MATCH(E121,CONFIGURACION!E:E,0)),""))
</f>
        <v/>
      </c>
      <c r="C121" s="31"/>
      <c r="D121" s="9"/>
      <c r="E121" s="6"/>
      <c r="F121" s="24"/>
      <c r="G121" s="9"/>
      <c r="H121" s="32"/>
      <c r="I121" s="33" t="str">
        <f>IFERROR(__xludf.DUMMYFUNCTION("IF(F121="""","""",LET(
  nombre, TRIM(F121),
  primer, REGEXEXTRACT(nombre, ""^\S+""),
  resto, TRIM(REGEXREPLACE(nombre, ""^\S+\s*"", """")),
  iniciales, IF(
    resto="""",
    """",
    TEXTJOIN("""",1,ARRAYFORMULA(LEFT(SPLIT(resto,"" ""),1) &amp; "".""))"&amp;"
  ),
  UPPER(primer) &amp; "" "" &amp; UPPER(iniciales)
))"),"")</f>
        <v/>
      </c>
      <c r="J121" s="33" t="str">
        <f>IFERROR(__xludf.DUMMYFUNCTION("IF(H121="""","""",IFERROR(
IF(REGEXMATCH(E121,""VELOCIDAD""),
   IF(H121&gt;=MAX(INDEX(BAREMOS!F:X,MATCH(1,(BAREMOS!A:A=A121)*(BAREMOS!B:B=B121)*(BAREMOS!C:C=C121)*(BAREMOS!D:D=D121),0),0)),1,
      IF(H121&lt;=MIN(INDEX(BAREMOS!F:X,MATCH(1,(BAREMOS!A:A=A121)*("&amp;"BAREMOS!B:B=B121)*(BAREMOS!C:C=C121)*(BAREMOS!D:D=D121),0),0)),19,
         MATCH(H121,INDEX(BAREMOS!F:X,MATCH(1,(BAREMOS!A:A=A121)*(BAREMOS!B:B=B121)*(BAREMOS!C:C=C121)*(BAREMOS!D:D=D121),0),0),-1)
      )
   ),
   IF(H121&lt;=MIN(INDEX(BAREMOS!F:X,MATCH(1,"&amp;"(BAREMOS!A:A=A121)*(BAREMOS!B:B=B121)*(BAREMOS!C:C=C121)*(BAREMOS!D:D=D121),0),0)),1,
      IF(H121&gt;=MAX(INDEX(BAREMOS!F:X,MATCH(1,(BAREMOS!A:A=A121)*(BAREMOS!B:B=B121)*(BAREMOS!C:C=C121)*(BAREMOS!D:D=D121),0),0)),19,
         MATCH(H121,INDEX(BAREMOS!F:X"&amp;",MATCH(1,(BAREMOS!A:A=A121)*(BAREMOS!B:B=B121)*(BAREMOS!C:C=C121)*(BAREMOS!D:D=D121),0),0),1)
      )
   )
)
,""""))
"),"")</f>
        <v/>
      </c>
      <c r="K121" s="34" t="str">
        <f t="shared" si="1"/>
        <v/>
      </c>
      <c r="L121" s="16"/>
      <c r="M121" s="16"/>
      <c r="N121" s="16"/>
      <c r="O121" s="16"/>
      <c r="P121" s="16"/>
      <c r="Q121" s="16"/>
      <c r="R121" s="16"/>
      <c r="S121" s="16"/>
      <c r="T121" s="16"/>
      <c r="U121" s="16"/>
      <c r="V121" s="16"/>
      <c r="W121" s="16"/>
      <c r="X121" s="16"/>
      <c r="Y121" s="16"/>
      <c r="Z121" s="16"/>
      <c r="AA121" s="16"/>
      <c r="AB121" s="16"/>
      <c r="AC121" s="16"/>
    </row>
    <row r="122">
      <c r="A122" s="22" t="str">
        <f t="array" ref="A122">IF(E122="","",IFERROR(INDEX(CONFIGURACION!C:C,MATCH(E122,CONFIGURACION!E:E,0)),""))
</f>
        <v/>
      </c>
      <c r="B122" s="22" t="str">
        <f t="array" ref="B122">IF(E122="","",IFERROR(INDEX(CONFIGURACION!D:D,MATCH(E122,CONFIGURACION!E:E,0)),""))
</f>
        <v/>
      </c>
      <c r="C122" s="31"/>
      <c r="D122" s="9"/>
      <c r="E122" s="6"/>
      <c r="F122" s="24"/>
      <c r="G122" s="9"/>
      <c r="H122" s="32"/>
      <c r="I122" s="33" t="str">
        <f>IFERROR(__xludf.DUMMYFUNCTION("IF(F122="""","""",LET(
  nombre, TRIM(F122),
  primer, REGEXEXTRACT(nombre, ""^\S+""),
  resto, TRIM(REGEXREPLACE(nombre, ""^\S+\s*"", """")),
  iniciales, IF(
    resto="""",
    """",
    TEXTJOIN("""",1,ARRAYFORMULA(LEFT(SPLIT(resto,"" ""),1) &amp; "".""))"&amp;"
  ),
  UPPER(primer) &amp; "" "" &amp; UPPER(iniciales)
))"),"")</f>
        <v/>
      </c>
      <c r="J122" s="33" t="str">
        <f>IFERROR(__xludf.DUMMYFUNCTION("IF(H122="""","""",IFERROR(
IF(REGEXMATCH(E122,""VELOCIDAD""),
   IF(H122&gt;=MAX(INDEX(BAREMOS!F:X,MATCH(1,(BAREMOS!A:A=A122)*(BAREMOS!B:B=B122)*(BAREMOS!C:C=C122)*(BAREMOS!D:D=D122),0),0)),1,
      IF(H122&lt;=MIN(INDEX(BAREMOS!F:X,MATCH(1,(BAREMOS!A:A=A122)*("&amp;"BAREMOS!B:B=B122)*(BAREMOS!C:C=C122)*(BAREMOS!D:D=D122),0),0)),19,
         MATCH(H122,INDEX(BAREMOS!F:X,MATCH(1,(BAREMOS!A:A=A122)*(BAREMOS!B:B=B122)*(BAREMOS!C:C=C122)*(BAREMOS!D:D=D122),0),0),-1)
      )
   ),
   IF(H122&lt;=MIN(INDEX(BAREMOS!F:X,MATCH(1,"&amp;"(BAREMOS!A:A=A122)*(BAREMOS!B:B=B122)*(BAREMOS!C:C=C122)*(BAREMOS!D:D=D122),0),0)),1,
      IF(H122&gt;=MAX(INDEX(BAREMOS!F:X,MATCH(1,(BAREMOS!A:A=A122)*(BAREMOS!B:B=B122)*(BAREMOS!C:C=C122)*(BAREMOS!D:D=D122),0),0)),19,
         MATCH(H122,INDEX(BAREMOS!F:X"&amp;",MATCH(1,(BAREMOS!A:A=A122)*(BAREMOS!B:B=B122)*(BAREMOS!C:C=C122)*(BAREMOS!D:D=D122),0),0),1)
      )
   )
)
,""""))
"),"")</f>
        <v/>
      </c>
      <c r="K122" s="34" t="str">
        <f t="shared" si="1"/>
        <v/>
      </c>
      <c r="L122" s="16"/>
      <c r="M122" s="16"/>
      <c r="N122" s="16"/>
      <c r="O122" s="16"/>
      <c r="P122" s="16"/>
      <c r="Q122" s="16"/>
      <c r="R122" s="16"/>
      <c r="S122" s="16"/>
      <c r="T122" s="16"/>
      <c r="U122" s="16"/>
      <c r="V122" s="16"/>
      <c r="W122" s="16"/>
      <c r="X122" s="16"/>
      <c r="Y122" s="16"/>
      <c r="Z122" s="16"/>
      <c r="AA122" s="16"/>
      <c r="AB122" s="16"/>
      <c r="AC122" s="16"/>
    </row>
    <row r="123">
      <c r="A123" s="22" t="str">
        <f t="array" ref="A123">IF(E123="","",IFERROR(INDEX(CONFIGURACION!C:C,MATCH(E123,CONFIGURACION!E:E,0)),""))
</f>
        <v/>
      </c>
      <c r="B123" s="22" t="str">
        <f t="array" ref="B123">IF(E123="","",IFERROR(INDEX(CONFIGURACION!D:D,MATCH(E123,CONFIGURACION!E:E,0)),""))
</f>
        <v/>
      </c>
      <c r="C123" s="31"/>
      <c r="D123" s="9"/>
      <c r="E123" s="6"/>
      <c r="F123" s="24"/>
      <c r="G123" s="9"/>
      <c r="H123" s="32"/>
      <c r="I123" s="33" t="str">
        <f>IFERROR(__xludf.DUMMYFUNCTION("IF(F123="""","""",LET(
  nombre, TRIM(F123),
  primer, REGEXEXTRACT(nombre, ""^\S+""),
  resto, TRIM(REGEXREPLACE(nombre, ""^\S+\s*"", """")),
  iniciales, IF(
    resto="""",
    """",
    TEXTJOIN("""",1,ARRAYFORMULA(LEFT(SPLIT(resto,"" ""),1) &amp; "".""))"&amp;"
  ),
  UPPER(primer) &amp; "" "" &amp; UPPER(iniciales)
))"),"")</f>
        <v/>
      </c>
      <c r="J123" s="33" t="str">
        <f>IFERROR(__xludf.DUMMYFUNCTION("IF(H123="""","""",IFERROR(
IF(REGEXMATCH(E123,""VELOCIDAD""),
   IF(H123&gt;=MAX(INDEX(BAREMOS!F:X,MATCH(1,(BAREMOS!A:A=A123)*(BAREMOS!B:B=B123)*(BAREMOS!C:C=C123)*(BAREMOS!D:D=D123),0),0)),1,
      IF(H123&lt;=MIN(INDEX(BAREMOS!F:X,MATCH(1,(BAREMOS!A:A=A123)*("&amp;"BAREMOS!B:B=B123)*(BAREMOS!C:C=C123)*(BAREMOS!D:D=D123),0),0)),19,
         MATCH(H123,INDEX(BAREMOS!F:X,MATCH(1,(BAREMOS!A:A=A123)*(BAREMOS!B:B=B123)*(BAREMOS!C:C=C123)*(BAREMOS!D:D=D123),0),0),-1)
      )
   ),
   IF(H123&lt;=MIN(INDEX(BAREMOS!F:X,MATCH(1,"&amp;"(BAREMOS!A:A=A123)*(BAREMOS!B:B=B123)*(BAREMOS!C:C=C123)*(BAREMOS!D:D=D123),0),0)),1,
      IF(H123&gt;=MAX(INDEX(BAREMOS!F:X,MATCH(1,(BAREMOS!A:A=A123)*(BAREMOS!B:B=B123)*(BAREMOS!C:C=C123)*(BAREMOS!D:D=D123),0),0)),19,
         MATCH(H123,INDEX(BAREMOS!F:X"&amp;",MATCH(1,(BAREMOS!A:A=A123)*(BAREMOS!B:B=B123)*(BAREMOS!C:C=C123)*(BAREMOS!D:D=D123),0),0),1)
      )
   )
)
,""""))
"),"")</f>
        <v/>
      </c>
      <c r="K123" s="34" t="str">
        <f t="shared" si="1"/>
        <v/>
      </c>
      <c r="L123" s="16"/>
      <c r="M123" s="16"/>
      <c r="N123" s="16"/>
      <c r="O123" s="16"/>
      <c r="P123" s="16"/>
      <c r="Q123" s="16"/>
      <c r="R123" s="16"/>
      <c r="S123" s="16"/>
      <c r="T123" s="16"/>
      <c r="U123" s="16"/>
      <c r="V123" s="16"/>
      <c r="W123" s="16"/>
      <c r="X123" s="16"/>
      <c r="Y123" s="16"/>
      <c r="Z123" s="16"/>
      <c r="AA123" s="16"/>
      <c r="AB123" s="16"/>
      <c r="AC123" s="16"/>
    </row>
    <row r="124">
      <c r="A124" s="22" t="str">
        <f t="array" ref="A124">IF(E124="","",IFERROR(INDEX(CONFIGURACION!C:C,MATCH(E124,CONFIGURACION!E:E,0)),""))
</f>
        <v/>
      </c>
      <c r="B124" s="22" t="str">
        <f t="array" ref="B124">IF(E124="","",IFERROR(INDEX(CONFIGURACION!D:D,MATCH(E124,CONFIGURACION!E:E,0)),""))
</f>
        <v/>
      </c>
      <c r="C124" s="31"/>
      <c r="D124" s="9"/>
      <c r="E124" s="6"/>
      <c r="F124" s="24"/>
      <c r="G124" s="9"/>
      <c r="H124" s="32"/>
      <c r="I124" s="33" t="str">
        <f>IFERROR(__xludf.DUMMYFUNCTION("IF(F124="""","""",LET(
  nombre, TRIM(F124),
  primer, REGEXEXTRACT(nombre, ""^\S+""),
  resto, TRIM(REGEXREPLACE(nombre, ""^\S+\s*"", """")),
  iniciales, IF(
    resto="""",
    """",
    TEXTJOIN("""",1,ARRAYFORMULA(LEFT(SPLIT(resto,"" ""),1) &amp; "".""))"&amp;"
  ),
  UPPER(primer) &amp; "" "" &amp; UPPER(iniciales)
))"),"")</f>
        <v/>
      </c>
      <c r="J124" s="33" t="str">
        <f>IFERROR(__xludf.DUMMYFUNCTION("IF(H124="""","""",IFERROR(
IF(REGEXMATCH(E124,""VELOCIDAD""),
   IF(H124&gt;=MAX(INDEX(BAREMOS!F:X,MATCH(1,(BAREMOS!A:A=A124)*(BAREMOS!B:B=B124)*(BAREMOS!C:C=C124)*(BAREMOS!D:D=D124),0),0)),1,
      IF(H124&lt;=MIN(INDEX(BAREMOS!F:X,MATCH(1,(BAREMOS!A:A=A124)*("&amp;"BAREMOS!B:B=B124)*(BAREMOS!C:C=C124)*(BAREMOS!D:D=D124),0),0)),19,
         MATCH(H124,INDEX(BAREMOS!F:X,MATCH(1,(BAREMOS!A:A=A124)*(BAREMOS!B:B=B124)*(BAREMOS!C:C=C124)*(BAREMOS!D:D=D124),0),0),-1)
      )
   ),
   IF(H124&lt;=MIN(INDEX(BAREMOS!F:X,MATCH(1,"&amp;"(BAREMOS!A:A=A124)*(BAREMOS!B:B=B124)*(BAREMOS!C:C=C124)*(BAREMOS!D:D=D124),0),0)),1,
      IF(H124&gt;=MAX(INDEX(BAREMOS!F:X,MATCH(1,(BAREMOS!A:A=A124)*(BAREMOS!B:B=B124)*(BAREMOS!C:C=C124)*(BAREMOS!D:D=D124),0),0)),19,
         MATCH(H124,INDEX(BAREMOS!F:X"&amp;",MATCH(1,(BAREMOS!A:A=A124)*(BAREMOS!B:B=B124)*(BAREMOS!C:C=C124)*(BAREMOS!D:D=D124),0),0),1)
      )
   )
)
,""""))
"),"")</f>
        <v/>
      </c>
      <c r="K124" s="34" t="str">
        <f t="shared" si="1"/>
        <v/>
      </c>
      <c r="L124" s="16"/>
      <c r="M124" s="16"/>
      <c r="N124" s="16"/>
      <c r="O124" s="16"/>
      <c r="P124" s="16"/>
      <c r="Q124" s="16"/>
      <c r="R124" s="16"/>
      <c r="S124" s="16"/>
      <c r="T124" s="16"/>
      <c r="U124" s="16"/>
      <c r="V124" s="16"/>
      <c r="W124" s="16"/>
      <c r="X124" s="16"/>
      <c r="Y124" s="16"/>
      <c r="Z124" s="16"/>
      <c r="AA124" s="16"/>
      <c r="AB124" s="16"/>
      <c r="AC124" s="16"/>
    </row>
    <row r="125">
      <c r="A125" s="22" t="str">
        <f t="array" ref="A125">IF(E125="","",IFERROR(INDEX(CONFIGURACION!C:C,MATCH(E125,CONFIGURACION!E:E,0)),""))
</f>
        <v/>
      </c>
      <c r="B125" s="22" t="str">
        <f t="array" ref="B125">IF(E125="","",IFERROR(INDEX(CONFIGURACION!D:D,MATCH(E125,CONFIGURACION!E:E,0)),""))
</f>
        <v/>
      </c>
      <c r="C125" s="31"/>
      <c r="D125" s="9"/>
      <c r="E125" s="6"/>
      <c r="F125" s="24"/>
      <c r="G125" s="9"/>
      <c r="H125" s="32"/>
      <c r="I125" s="33" t="str">
        <f>IFERROR(__xludf.DUMMYFUNCTION("IF(F125="""","""",LET(
  nombre, TRIM(F125),
  primer, REGEXEXTRACT(nombre, ""^\S+""),
  resto, TRIM(REGEXREPLACE(nombre, ""^\S+\s*"", """")),
  iniciales, IF(
    resto="""",
    """",
    TEXTJOIN("""",1,ARRAYFORMULA(LEFT(SPLIT(resto,"" ""),1) &amp; "".""))"&amp;"
  ),
  UPPER(primer) &amp; "" "" &amp; UPPER(iniciales)
))"),"")</f>
        <v/>
      </c>
      <c r="J125" s="33" t="str">
        <f>IFERROR(__xludf.DUMMYFUNCTION("IF(H125="""","""",IFERROR(
IF(REGEXMATCH(E125,""VELOCIDAD""),
   IF(H125&gt;=MAX(INDEX(BAREMOS!F:X,MATCH(1,(BAREMOS!A:A=A125)*(BAREMOS!B:B=B125)*(BAREMOS!C:C=C125)*(BAREMOS!D:D=D125),0),0)),1,
      IF(H125&lt;=MIN(INDEX(BAREMOS!F:X,MATCH(1,(BAREMOS!A:A=A125)*("&amp;"BAREMOS!B:B=B125)*(BAREMOS!C:C=C125)*(BAREMOS!D:D=D125),0),0)),19,
         MATCH(H125,INDEX(BAREMOS!F:X,MATCH(1,(BAREMOS!A:A=A125)*(BAREMOS!B:B=B125)*(BAREMOS!C:C=C125)*(BAREMOS!D:D=D125),0),0),-1)
      )
   ),
   IF(H125&lt;=MIN(INDEX(BAREMOS!F:X,MATCH(1,"&amp;"(BAREMOS!A:A=A125)*(BAREMOS!B:B=B125)*(BAREMOS!C:C=C125)*(BAREMOS!D:D=D125),0),0)),1,
      IF(H125&gt;=MAX(INDEX(BAREMOS!F:X,MATCH(1,(BAREMOS!A:A=A125)*(BAREMOS!B:B=B125)*(BAREMOS!C:C=C125)*(BAREMOS!D:D=D125),0),0)),19,
         MATCH(H125,INDEX(BAREMOS!F:X"&amp;",MATCH(1,(BAREMOS!A:A=A125)*(BAREMOS!B:B=B125)*(BAREMOS!C:C=C125)*(BAREMOS!D:D=D125),0),0),1)
      )
   )
)
,""""))
"),"")</f>
        <v/>
      </c>
      <c r="K125" s="34" t="str">
        <f t="shared" si="1"/>
        <v/>
      </c>
      <c r="L125" s="16"/>
      <c r="M125" s="16"/>
      <c r="N125" s="16"/>
      <c r="O125" s="16"/>
      <c r="P125" s="16"/>
      <c r="Q125" s="16"/>
      <c r="R125" s="16"/>
      <c r="S125" s="16"/>
      <c r="T125" s="16"/>
      <c r="U125" s="16"/>
      <c r="V125" s="16"/>
      <c r="W125" s="16"/>
      <c r="X125" s="16"/>
      <c r="Y125" s="16"/>
      <c r="Z125" s="16"/>
      <c r="AA125" s="16"/>
      <c r="AB125" s="16"/>
      <c r="AC125" s="16"/>
    </row>
    <row r="126">
      <c r="A126" s="22" t="str">
        <f t="array" ref="A126">IF(E126="","",IFERROR(INDEX(CONFIGURACION!C:C,MATCH(E126,CONFIGURACION!E:E,0)),""))
</f>
        <v/>
      </c>
      <c r="B126" s="22" t="str">
        <f t="array" ref="B126">IF(E126="","",IFERROR(INDEX(CONFIGURACION!D:D,MATCH(E126,CONFIGURACION!E:E,0)),""))
</f>
        <v/>
      </c>
      <c r="C126" s="31"/>
      <c r="D126" s="9"/>
      <c r="E126" s="6"/>
      <c r="F126" s="24"/>
      <c r="G126" s="9"/>
      <c r="H126" s="32"/>
      <c r="I126" s="33" t="str">
        <f>IFERROR(__xludf.DUMMYFUNCTION("IF(F126="""","""",LET(
  nombre, TRIM(F126),
  primer, REGEXEXTRACT(nombre, ""^\S+""),
  resto, TRIM(REGEXREPLACE(nombre, ""^\S+\s*"", """")),
  iniciales, IF(
    resto="""",
    """",
    TEXTJOIN("""",1,ARRAYFORMULA(LEFT(SPLIT(resto,"" ""),1) &amp; "".""))"&amp;"
  ),
  UPPER(primer) &amp; "" "" &amp; UPPER(iniciales)
))"),"")</f>
        <v/>
      </c>
      <c r="J126" s="33" t="str">
        <f>IFERROR(__xludf.DUMMYFUNCTION("IF(H126="""","""",IFERROR(
IF(REGEXMATCH(E126,""VELOCIDAD""),
   IF(H126&gt;=MAX(INDEX(BAREMOS!F:X,MATCH(1,(BAREMOS!A:A=A126)*(BAREMOS!B:B=B126)*(BAREMOS!C:C=C126)*(BAREMOS!D:D=D126),0),0)),1,
      IF(H126&lt;=MIN(INDEX(BAREMOS!F:X,MATCH(1,(BAREMOS!A:A=A126)*("&amp;"BAREMOS!B:B=B126)*(BAREMOS!C:C=C126)*(BAREMOS!D:D=D126),0),0)),19,
         MATCH(H126,INDEX(BAREMOS!F:X,MATCH(1,(BAREMOS!A:A=A126)*(BAREMOS!B:B=B126)*(BAREMOS!C:C=C126)*(BAREMOS!D:D=D126),0),0),-1)
      )
   ),
   IF(H126&lt;=MIN(INDEX(BAREMOS!F:X,MATCH(1,"&amp;"(BAREMOS!A:A=A126)*(BAREMOS!B:B=B126)*(BAREMOS!C:C=C126)*(BAREMOS!D:D=D126),0),0)),1,
      IF(H126&gt;=MAX(INDEX(BAREMOS!F:X,MATCH(1,(BAREMOS!A:A=A126)*(BAREMOS!B:B=B126)*(BAREMOS!C:C=C126)*(BAREMOS!D:D=D126),0),0)),19,
         MATCH(H126,INDEX(BAREMOS!F:X"&amp;",MATCH(1,(BAREMOS!A:A=A126)*(BAREMOS!B:B=B126)*(BAREMOS!C:C=C126)*(BAREMOS!D:D=D126),0),0),1)
      )
   )
)
,""""))
"),"")</f>
        <v/>
      </c>
      <c r="K126" s="34" t="str">
        <f t="shared" si="1"/>
        <v/>
      </c>
      <c r="L126" s="16"/>
      <c r="M126" s="16"/>
      <c r="N126" s="16"/>
      <c r="O126" s="16"/>
      <c r="P126" s="16"/>
      <c r="Q126" s="16"/>
      <c r="R126" s="16"/>
      <c r="S126" s="16"/>
      <c r="T126" s="16"/>
      <c r="U126" s="16"/>
      <c r="V126" s="16"/>
      <c r="W126" s="16"/>
      <c r="X126" s="16"/>
      <c r="Y126" s="16"/>
      <c r="Z126" s="16"/>
      <c r="AA126" s="16"/>
      <c r="AB126" s="16"/>
      <c r="AC126" s="16"/>
    </row>
    <row r="127">
      <c r="A127" s="22" t="str">
        <f t="array" ref="A127">IF(E127="","",IFERROR(INDEX(CONFIGURACION!C:C,MATCH(E127,CONFIGURACION!E:E,0)),""))
</f>
        <v/>
      </c>
      <c r="B127" s="22" t="str">
        <f t="array" ref="B127">IF(E127="","",IFERROR(INDEX(CONFIGURACION!D:D,MATCH(E127,CONFIGURACION!E:E,0)),""))
</f>
        <v/>
      </c>
      <c r="C127" s="31"/>
      <c r="D127" s="9"/>
      <c r="E127" s="6"/>
      <c r="F127" s="24"/>
      <c r="G127" s="9"/>
      <c r="H127" s="32"/>
      <c r="I127" s="33" t="str">
        <f>IFERROR(__xludf.DUMMYFUNCTION("IF(F127="""","""",LET(
  nombre, TRIM(F127),
  primer, REGEXEXTRACT(nombre, ""^\S+""),
  resto, TRIM(REGEXREPLACE(nombre, ""^\S+\s*"", """")),
  iniciales, IF(
    resto="""",
    """",
    TEXTJOIN("""",1,ARRAYFORMULA(LEFT(SPLIT(resto,"" ""),1) &amp; "".""))"&amp;"
  ),
  UPPER(primer) &amp; "" "" &amp; UPPER(iniciales)
))"),"")</f>
        <v/>
      </c>
      <c r="J127" s="33" t="str">
        <f>IFERROR(__xludf.DUMMYFUNCTION("IF(H127="""","""",IFERROR(
IF(REGEXMATCH(E127,""VELOCIDAD""),
   IF(H127&gt;=MAX(INDEX(BAREMOS!F:X,MATCH(1,(BAREMOS!A:A=A127)*(BAREMOS!B:B=B127)*(BAREMOS!C:C=C127)*(BAREMOS!D:D=D127),0),0)),1,
      IF(H127&lt;=MIN(INDEX(BAREMOS!F:X,MATCH(1,(BAREMOS!A:A=A127)*("&amp;"BAREMOS!B:B=B127)*(BAREMOS!C:C=C127)*(BAREMOS!D:D=D127),0),0)),19,
         MATCH(H127,INDEX(BAREMOS!F:X,MATCH(1,(BAREMOS!A:A=A127)*(BAREMOS!B:B=B127)*(BAREMOS!C:C=C127)*(BAREMOS!D:D=D127),0),0),-1)
      )
   ),
   IF(H127&lt;=MIN(INDEX(BAREMOS!F:X,MATCH(1,"&amp;"(BAREMOS!A:A=A127)*(BAREMOS!B:B=B127)*(BAREMOS!C:C=C127)*(BAREMOS!D:D=D127),0),0)),1,
      IF(H127&gt;=MAX(INDEX(BAREMOS!F:X,MATCH(1,(BAREMOS!A:A=A127)*(BAREMOS!B:B=B127)*(BAREMOS!C:C=C127)*(BAREMOS!D:D=D127),0),0)),19,
         MATCH(H127,INDEX(BAREMOS!F:X"&amp;",MATCH(1,(BAREMOS!A:A=A127)*(BAREMOS!B:B=B127)*(BAREMOS!C:C=C127)*(BAREMOS!D:D=D127),0),0),1)
      )
   )
)
,""""))
"),"")</f>
        <v/>
      </c>
      <c r="K127" s="34" t="str">
        <f t="shared" si="1"/>
        <v/>
      </c>
      <c r="L127" s="16"/>
      <c r="M127" s="16"/>
      <c r="N127" s="16"/>
      <c r="O127" s="16"/>
      <c r="P127" s="16"/>
      <c r="Q127" s="16"/>
      <c r="R127" s="16"/>
      <c r="S127" s="16"/>
      <c r="T127" s="16"/>
      <c r="U127" s="16"/>
      <c r="V127" s="16"/>
      <c r="W127" s="16"/>
      <c r="X127" s="16"/>
      <c r="Y127" s="16"/>
      <c r="Z127" s="16"/>
      <c r="AA127" s="16"/>
      <c r="AB127" s="16"/>
      <c r="AC127" s="16"/>
    </row>
    <row r="128">
      <c r="A128" s="22" t="str">
        <f t="array" ref="A128">IF(E128="","",IFERROR(INDEX(CONFIGURACION!C:C,MATCH(E128,CONFIGURACION!E:E,0)),""))
</f>
        <v/>
      </c>
      <c r="B128" s="22" t="str">
        <f t="array" ref="B128">IF(E128="","",IFERROR(INDEX(CONFIGURACION!D:D,MATCH(E128,CONFIGURACION!E:E,0)),""))
</f>
        <v/>
      </c>
      <c r="C128" s="31"/>
      <c r="D128" s="9"/>
      <c r="E128" s="6"/>
      <c r="F128" s="24"/>
      <c r="G128" s="9"/>
      <c r="H128" s="32"/>
      <c r="I128" s="33" t="str">
        <f>IFERROR(__xludf.DUMMYFUNCTION("IF(F128="""","""",LET(
  nombre, TRIM(F128),
  primer, REGEXEXTRACT(nombre, ""^\S+""),
  resto, TRIM(REGEXREPLACE(nombre, ""^\S+\s*"", """")),
  iniciales, IF(
    resto="""",
    """",
    TEXTJOIN("""",1,ARRAYFORMULA(LEFT(SPLIT(resto,"" ""),1) &amp; "".""))"&amp;"
  ),
  UPPER(primer) &amp; "" "" &amp; UPPER(iniciales)
))"),"")</f>
        <v/>
      </c>
      <c r="J128" s="33" t="str">
        <f>IFERROR(__xludf.DUMMYFUNCTION("IF(H128="""","""",IFERROR(
IF(REGEXMATCH(E128,""VELOCIDAD""),
   IF(H128&gt;=MAX(INDEX(BAREMOS!F:X,MATCH(1,(BAREMOS!A:A=A128)*(BAREMOS!B:B=B128)*(BAREMOS!C:C=C128)*(BAREMOS!D:D=D128),0),0)),1,
      IF(H128&lt;=MIN(INDEX(BAREMOS!F:X,MATCH(1,(BAREMOS!A:A=A128)*("&amp;"BAREMOS!B:B=B128)*(BAREMOS!C:C=C128)*(BAREMOS!D:D=D128),0),0)),19,
         MATCH(H128,INDEX(BAREMOS!F:X,MATCH(1,(BAREMOS!A:A=A128)*(BAREMOS!B:B=B128)*(BAREMOS!C:C=C128)*(BAREMOS!D:D=D128),0),0),-1)
      )
   ),
   IF(H128&lt;=MIN(INDEX(BAREMOS!F:X,MATCH(1,"&amp;"(BAREMOS!A:A=A128)*(BAREMOS!B:B=B128)*(BAREMOS!C:C=C128)*(BAREMOS!D:D=D128),0),0)),1,
      IF(H128&gt;=MAX(INDEX(BAREMOS!F:X,MATCH(1,(BAREMOS!A:A=A128)*(BAREMOS!B:B=B128)*(BAREMOS!C:C=C128)*(BAREMOS!D:D=D128),0),0)),19,
         MATCH(H128,INDEX(BAREMOS!F:X"&amp;",MATCH(1,(BAREMOS!A:A=A128)*(BAREMOS!B:B=B128)*(BAREMOS!C:C=C128)*(BAREMOS!D:D=D128),0),0),1)
      )
   )
)
,""""))
"),"")</f>
        <v/>
      </c>
      <c r="K128" s="34" t="str">
        <f t="shared" si="1"/>
        <v/>
      </c>
      <c r="L128" s="16"/>
      <c r="M128" s="16"/>
      <c r="N128" s="16"/>
      <c r="O128" s="16"/>
      <c r="P128" s="16"/>
      <c r="Q128" s="16"/>
      <c r="R128" s="16"/>
      <c r="S128" s="16"/>
      <c r="T128" s="16"/>
      <c r="U128" s="16"/>
      <c r="V128" s="16"/>
      <c r="W128" s="16"/>
      <c r="X128" s="16"/>
      <c r="Y128" s="16"/>
      <c r="Z128" s="16"/>
      <c r="AA128" s="16"/>
      <c r="AB128" s="16"/>
      <c r="AC128" s="16"/>
    </row>
    <row r="129">
      <c r="A129" s="22" t="str">
        <f t="array" ref="A129">IF(E129="","",IFERROR(INDEX(CONFIGURACION!C:C,MATCH(E129,CONFIGURACION!E:E,0)),""))
</f>
        <v/>
      </c>
      <c r="B129" s="22" t="str">
        <f t="array" ref="B129">IF(E129="","",IFERROR(INDEX(CONFIGURACION!D:D,MATCH(E129,CONFIGURACION!E:E,0)),""))
</f>
        <v/>
      </c>
      <c r="C129" s="31"/>
      <c r="D129" s="9"/>
      <c r="E129" s="6"/>
      <c r="F129" s="24"/>
      <c r="G129" s="9"/>
      <c r="H129" s="32"/>
      <c r="I129" s="33" t="str">
        <f>IFERROR(__xludf.DUMMYFUNCTION("IF(F129="""","""",LET(
  nombre, TRIM(F129),
  primer, REGEXEXTRACT(nombre, ""^\S+""),
  resto, TRIM(REGEXREPLACE(nombre, ""^\S+\s*"", """")),
  iniciales, IF(
    resto="""",
    """",
    TEXTJOIN("""",1,ARRAYFORMULA(LEFT(SPLIT(resto,"" ""),1) &amp; "".""))"&amp;"
  ),
  UPPER(primer) &amp; "" "" &amp; UPPER(iniciales)
))"),"")</f>
        <v/>
      </c>
      <c r="J129" s="33" t="str">
        <f>IFERROR(__xludf.DUMMYFUNCTION("IF(H129="""","""",IFERROR(
IF(REGEXMATCH(E129,""VELOCIDAD""),
   IF(H129&gt;=MAX(INDEX(BAREMOS!F:X,MATCH(1,(BAREMOS!A:A=A129)*(BAREMOS!B:B=B129)*(BAREMOS!C:C=C129)*(BAREMOS!D:D=D129),0),0)),1,
      IF(H129&lt;=MIN(INDEX(BAREMOS!F:X,MATCH(1,(BAREMOS!A:A=A129)*("&amp;"BAREMOS!B:B=B129)*(BAREMOS!C:C=C129)*(BAREMOS!D:D=D129),0),0)),19,
         MATCH(H129,INDEX(BAREMOS!F:X,MATCH(1,(BAREMOS!A:A=A129)*(BAREMOS!B:B=B129)*(BAREMOS!C:C=C129)*(BAREMOS!D:D=D129),0),0),-1)
      )
   ),
   IF(H129&lt;=MIN(INDEX(BAREMOS!F:X,MATCH(1,"&amp;"(BAREMOS!A:A=A129)*(BAREMOS!B:B=B129)*(BAREMOS!C:C=C129)*(BAREMOS!D:D=D129),0),0)),1,
      IF(H129&gt;=MAX(INDEX(BAREMOS!F:X,MATCH(1,(BAREMOS!A:A=A129)*(BAREMOS!B:B=B129)*(BAREMOS!C:C=C129)*(BAREMOS!D:D=D129),0),0)),19,
         MATCH(H129,INDEX(BAREMOS!F:X"&amp;",MATCH(1,(BAREMOS!A:A=A129)*(BAREMOS!B:B=B129)*(BAREMOS!C:C=C129)*(BAREMOS!D:D=D129),0),0),1)
      )
   )
)
,""""))
"),"")</f>
        <v/>
      </c>
      <c r="K129" s="34" t="str">
        <f t="shared" si="1"/>
        <v/>
      </c>
      <c r="L129" s="16"/>
      <c r="M129" s="16"/>
      <c r="N129" s="16"/>
      <c r="O129" s="16"/>
      <c r="P129" s="16"/>
      <c r="Q129" s="16"/>
      <c r="R129" s="16"/>
      <c r="S129" s="16"/>
      <c r="T129" s="16"/>
      <c r="U129" s="16"/>
      <c r="V129" s="16"/>
      <c r="W129" s="16"/>
      <c r="X129" s="16"/>
      <c r="Y129" s="16"/>
      <c r="Z129" s="16"/>
      <c r="AA129" s="16"/>
      <c r="AB129" s="16"/>
      <c r="AC129" s="16"/>
    </row>
    <row r="130">
      <c r="A130" s="22" t="str">
        <f t="array" ref="A130">IF(E130="","",IFERROR(INDEX(CONFIGURACION!C:C,MATCH(E130,CONFIGURACION!E:E,0)),""))
</f>
        <v/>
      </c>
      <c r="B130" s="22" t="str">
        <f t="array" ref="B130">IF(E130="","",IFERROR(INDEX(CONFIGURACION!D:D,MATCH(E130,CONFIGURACION!E:E,0)),""))
</f>
        <v/>
      </c>
      <c r="C130" s="31"/>
      <c r="D130" s="9"/>
      <c r="E130" s="6"/>
      <c r="F130" s="24"/>
      <c r="G130" s="9"/>
      <c r="H130" s="32"/>
      <c r="I130" s="33" t="str">
        <f>IFERROR(__xludf.DUMMYFUNCTION("IF(F130="""","""",LET(
  nombre, TRIM(F130),
  primer, REGEXEXTRACT(nombre, ""^\S+""),
  resto, TRIM(REGEXREPLACE(nombre, ""^\S+\s*"", """")),
  iniciales, IF(
    resto="""",
    """",
    TEXTJOIN("""",1,ARRAYFORMULA(LEFT(SPLIT(resto,"" ""),1) &amp; "".""))"&amp;"
  ),
  UPPER(primer) &amp; "" "" &amp; UPPER(iniciales)
))"),"")</f>
        <v/>
      </c>
      <c r="J130" s="33" t="str">
        <f>IFERROR(__xludf.DUMMYFUNCTION("IF(H130="""","""",IFERROR(
IF(REGEXMATCH(E130,""VELOCIDAD""),
   IF(H130&gt;=MAX(INDEX(BAREMOS!F:X,MATCH(1,(BAREMOS!A:A=A130)*(BAREMOS!B:B=B130)*(BAREMOS!C:C=C130)*(BAREMOS!D:D=D130),0),0)),1,
      IF(H130&lt;=MIN(INDEX(BAREMOS!F:X,MATCH(1,(BAREMOS!A:A=A130)*("&amp;"BAREMOS!B:B=B130)*(BAREMOS!C:C=C130)*(BAREMOS!D:D=D130),0),0)),19,
         MATCH(H130,INDEX(BAREMOS!F:X,MATCH(1,(BAREMOS!A:A=A130)*(BAREMOS!B:B=B130)*(BAREMOS!C:C=C130)*(BAREMOS!D:D=D130),0),0),-1)
      )
   ),
   IF(H130&lt;=MIN(INDEX(BAREMOS!F:X,MATCH(1,"&amp;"(BAREMOS!A:A=A130)*(BAREMOS!B:B=B130)*(BAREMOS!C:C=C130)*(BAREMOS!D:D=D130),0),0)),1,
      IF(H130&gt;=MAX(INDEX(BAREMOS!F:X,MATCH(1,(BAREMOS!A:A=A130)*(BAREMOS!B:B=B130)*(BAREMOS!C:C=C130)*(BAREMOS!D:D=D130),0),0)),19,
         MATCH(H130,INDEX(BAREMOS!F:X"&amp;",MATCH(1,(BAREMOS!A:A=A130)*(BAREMOS!B:B=B130)*(BAREMOS!C:C=C130)*(BAREMOS!D:D=D130),0),0),1)
      )
   )
)
,""""))
"),"")</f>
        <v/>
      </c>
      <c r="K130" s="34" t="str">
        <f t="shared" si="1"/>
        <v/>
      </c>
      <c r="L130" s="16"/>
      <c r="M130" s="16"/>
      <c r="N130" s="16"/>
      <c r="O130" s="16"/>
      <c r="P130" s="16"/>
      <c r="Q130" s="16"/>
      <c r="R130" s="16"/>
      <c r="S130" s="16"/>
      <c r="T130" s="16"/>
      <c r="U130" s="16"/>
      <c r="V130" s="16"/>
      <c r="W130" s="16"/>
      <c r="X130" s="16"/>
      <c r="Y130" s="16"/>
      <c r="Z130" s="16"/>
      <c r="AA130" s="16"/>
      <c r="AB130" s="16"/>
      <c r="AC130" s="16"/>
    </row>
    <row r="131">
      <c r="A131" s="22" t="str">
        <f t="array" ref="A131">IF(E131="","",IFERROR(INDEX(CONFIGURACION!C:C,MATCH(E131,CONFIGURACION!E:E,0)),""))
</f>
        <v/>
      </c>
      <c r="B131" s="22" t="str">
        <f t="array" ref="B131">IF(E131="","",IFERROR(INDEX(CONFIGURACION!D:D,MATCH(E131,CONFIGURACION!E:E,0)),""))
</f>
        <v/>
      </c>
      <c r="C131" s="31"/>
      <c r="D131" s="9"/>
      <c r="E131" s="6"/>
      <c r="F131" s="24"/>
      <c r="G131" s="9"/>
      <c r="H131" s="32"/>
      <c r="I131" s="33" t="str">
        <f>IFERROR(__xludf.DUMMYFUNCTION("IF(F131="""","""",LET(
  nombre, TRIM(F131),
  primer, REGEXEXTRACT(nombre, ""^\S+""),
  resto, TRIM(REGEXREPLACE(nombre, ""^\S+\s*"", """")),
  iniciales, IF(
    resto="""",
    """",
    TEXTJOIN("""",1,ARRAYFORMULA(LEFT(SPLIT(resto,"" ""),1) &amp; "".""))"&amp;"
  ),
  UPPER(primer) &amp; "" "" &amp; UPPER(iniciales)
))"),"")</f>
        <v/>
      </c>
      <c r="J131" s="33" t="str">
        <f>IFERROR(__xludf.DUMMYFUNCTION("IF(H131="""","""",IFERROR(
IF(REGEXMATCH(E131,""VELOCIDAD""),
   IF(H131&gt;=MAX(INDEX(BAREMOS!F:X,MATCH(1,(BAREMOS!A:A=A131)*(BAREMOS!B:B=B131)*(BAREMOS!C:C=C131)*(BAREMOS!D:D=D131),0),0)),1,
      IF(H131&lt;=MIN(INDEX(BAREMOS!F:X,MATCH(1,(BAREMOS!A:A=A131)*("&amp;"BAREMOS!B:B=B131)*(BAREMOS!C:C=C131)*(BAREMOS!D:D=D131),0),0)),19,
         MATCH(H131,INDEX(BAREMOS!F:X,MATCH(1,(BAREMOS!A:A=A131)*(BAREMOS!B:B=B131)*(BAREMOS!C:C=C131)*(BAREMOS!D:D=D131),0),0),-1)
      )
   ),
   IF(H131&lt;=MIN(INDEX(BAREMOS!F:X,MATCH(1,"&amp;"(BAREMOS!A:A=A131)*(BAREMOS!B:B=B131)*(BAREMOS!C:C=C131)*(BAREMOS!D:D=D131),0),0)),1,
      IF(H131&gt;=MAX(INDEX(BAREMOS!F:X,MATCH(1,(BAREMOS!A:A=A131)*(BAREMOS!B:B=B131)*(BAREMOS!C:C=C131)*(BAREMOS!D:D=D131),0),0)),19,
         MATCH(H131,INDEX(BAREMOS!F:X"&amp;",MATCH(1,(BAREMOS!A:A=A131)*(BAREMOS!B:B=B131)*(BAREMOS!C:C=C131)*(BAREMOS!D:D=D131),0),0),1)
      )
   )
)
,""""))
"),"")</f>
        <v/>
      </c>
      <c r="K131" s="34" t="str">
        <f t="shared" si="1"/>
        <v/>
      </c>
      <c r="L131" s="16"/>
      <c r="M131" s="16"/>
      <c r="N131" s="16"/>
      <c r="O131" s="16"/>
      <c r="P131" s="16"/>
      <c r="Q131" s="16"/>
      <c r="R131" s="16"/>
      <c r="S131" s="16"/>
      <c r="T131" s="16"/>
      <c r="U131" s="16"/>
      <c r="V131" s="16"/>
      <c r="W131" s="16"/>
      <c r="X131" s="16"/>
      <c r="Y131" s="16"/>
      <c r="Z131" s="16"/>
      <c r="AA131" s="16"/>
      <c r="AB131" s="16"/>
      <c r="AC131" s="16"/>
    </row>
    <row r="132">
      <c r="A132" s="22" t="str">
        <f t="array" ref="A132">IF(E132="","",IFERROR(INDEX(CONFIGURACION!C:C,MATCH(E132,CONFIGURACION!E:E,0)),""))
</f>
        <v/>
      </c>
      <c r="B132" s="22" t="str">
        <f t="array" ref="B132">IF(E132="","",IFERROR(INDEX(CONFIGURACION!D:D,MATCH(E132,CONFIGURACION!E:E,0)),""))
</f>
        <v/>
      </c>
      <c r="C132" s="31"/>
      <c r="D132" s="9"/>
      <c r="E132" s="6"/>
      <c r="F132" s="24"/>
      <c r="G132" s="9"/>
      <c r="H132" s="32"/>
      <c r="I132" s="33" t="str">
        <f>IFERROR(__xludf.DUMMYFUNCTION("IF(F132="""","""",LET(
  nombre, TRIM(F132),
  primer, REGEXEXTRACT(nombre, ""^\S+""),
  resto, TRIM(REGEXREPLACE(nombre, ""^\S+\s*"", """")),
  iniciales, IF(
    resto="""",
    """",
    TEXTJOIN("""",1,ARRAYFORMULA(LEFT(SPLIT(resto,"" ""),1) &amp; "".""))"&amp;"
  ),
  UPPER(primer) &amp; "" "" &amp; UPPER(iniciales)
))"),"")</f>
        <v/>
      </c>
      <c r="J132" s="33" t="str">
        <f>IFERROR(__xludf.DUMMYFUNCTION("IF(H132="""","""",IFERROR(
IF(REGEXMATCH(E132,""VELOCIDAD""),
   IF(H132&gt;=MAX(INDEX(BAREMOS!F:X,MATCH(1,(BAREMOS!A:A=A132)*(BAREMOS!B:B=B132)*(BAREMOS!C:C=C132)*(BAREMOS!D:D=D132),0),0)),1,
      IF(H132&lt;=MIN(INDEX(BAREMOS!F:X,MATCH(1,(BAREMOS!A:A=A132)*("&amp;"BAREMOS!B:B=B132)*(BAREMOS!C:C=C132)*(BAREMOS!D:D=D132),0),0)),19,
         MATCH(H132,INDEX(BAREMOS!F:X,MATCH(1,(BAREMOS!A:A=A132)*(BAREMOS!B:B=B132)*(BAREMOS!C:C=C132)*(BAREMOS!D:D=D132),0),0),-1)
      )
   ),
   IF(H132&lt;=MIN(INDEX(BAREMOS!F:X,MATCH(1,"&amp;"(BAREMOS!A:A=A132)*(BAREMOS!B:B=B132)*(BAREMOS!C:C=C132)*(BAREMOS!D:D=D132),0),0)),1,
      IF(H132&gt;=MAX(INDEX(BAREMOS!F:X,MATCH(1,(BAREMOS!A:A=A132)*(BAREMOS!B:B=B132)*(BAREMOS!C:C=C132)*(BAREMOS!D:D=D132),0),0)),19,
         MATCH(H132,INDEX(BAREMOS!F:X"&amp;",MATCH(1,(BAREMOS!A:A=A132)*(BAREMOS!B:B=B132)*(BAREMOS!C:C=C132)*(BAREMOS!D:D=D132),0),0),1)
      )
   )
)
,""""))
"),"")</f>
        <v/>
      </c>
      <c r="K132" s="34" t="str">
        <f t="shared" si="1"/>
        <v/>
      </c>
      <c r="L132" s="16"/>
      <c r="M132" s="16"/>
      <c r="N132" s="16"/>
      <c r="O132" s="16"/>
      <c r="P132" s="16"/>
      <c r="Q132" s="16"/>
      <c r="R132" s="16"/>
      <c r="S132" s="16"/>
      <c r="T132" s="16"/>
      <c r="U132" s="16"/>
      <c r="V132" s="16"/>
      <c r="W132" s="16"/>
      <c r="X132" s="16"/>
      <c r="Y132" s="16"/>
      <c r="Z132" s="16"/>
      <c r="AA132" s="16"/>
      <c r="AB132" s="16"/>
      <c r="AC132" s="16"/>
    </row>
    <row r="133">
      <c r="A133" s="22" t="str">
        <f t="array" ref="A133">IF(E133="","",IFERROR(INDEX(CONFIGURACION!C:C,MATCH(E133,CONFIGURACION!E:E,0)),""))
</f>
        <v/>
      </c>
      <c r="B133" s="22" t="str">
        <f t="array" ref="B133">IF(E133="","",IFERROR(INDEX(CONFIGURACION!D:D,MATCH(E133,CONFIGURACION!E:E,0)),""))
</f>
        <v/>
      </c>
      <c r="C133" s="31"/>
      <c r="D133" s="9"/>
      <c r="E133" s="6"/>
      <c r="F133" s="24"/>
      <c r="G133" s="9"/>
      <c r="H133" s="32"/>
      <c r="I133" s="33" t="str">
        <f>IFERROR(__xludf.DUMMYFUNCTION("IF(F133="""","""",LET(
  nombre, TRIM(F133),
  primer, REGEXEXTRACT(nombre, ""^\S+""),
  resto, TRIM(REGEXREPLACE(nombre, ""^\S+\s*"", """")),
  iniciales, IF(
    resto="""",
    """",
    TEXTJOIN("""",1,ARRAYFORMULA(LEFT(SPLIT(resto,"" ""),1) &amp; "".""))"&amp;"
  ),
  UPPER(primer) &amp; "" "" &amp; UPPER(iniciales)
))"),"")</f>
        <v/>
      </c>
      <c r="J133" s="33" t="str">
        <f>IFERROR(__xludf.DUMMYFUNCTION("IF(H133="""","""",IFERROR(
IF(REGEXMATCH(E133,""VELOCIDAD""),
   IF(H133&gt;=MAX(INDEX(BAREMOS!F:X,MATCH(1,(BAREMOS!A:A=A133)*(BAREMOS!B:B=B133)*(BAREMOS!C:C=C133)*(BAREMOS!D:D=D133),0),0)),1,
      IF(H133&lt;=MIN(INDEX(BAREMOS!F:X,MATCH(1,(BAREMOS!A:A=A133)*("&amp;"BAREMOS!B:B=B133)*(BAREMOS!C:C=C133)*(BAREMOS!D:D=D133),0),0)),19,
         MATCH(H133,INDEX(BAREMOS!F:X,MATCH(1,(BAREMOS!A:A=A133)*(BAREMOS!B:B=B133)*(BAREMOS!C:C=C133)*(BAREMOS!D:D=D133),0),0),-1)
      )
   ),
   IF(H133&lt;=MIN(INDEX(BAREMOS!F:X,MATCH(1,"&amp;"(BAREMOS!A:A=A133)*(BAREMOS!B:B=B133)*(BAREMOS!C:C=C133)*(BAREMOS!D:D=D133),0),0)),1,
      IF(H133&gt;=MAX(INDEX(BAREMOS!F:X,MATCH(1,(BAREMOS!A:A=A133)*(BAREMOS!B:B=B133)*(BAREMOS!C:C=C133)*(BAREMOS!D:D=D133),0),0)),19,
         MATCH(H133,INDEX(BAREMOS!F:X"&amp;",MATCH(1,(BAREMOS!A:A=A133)*(BAREMOS!B:B=B133)*(BAREMOS!C:C=C133)*(BAREMOS!D:D=D133),0),0),1)
      )
   )
)
,""""))
"),"")</f>
        <v/>
      </c>
      <c r="K133" s="34" t="str">
        <f t="shared" si="1"/>
        <v/>
      </c>
      <c r="L133" s="16"/>
      <c r="M133" s="16"/>
      <c r="N133" s="16"/>
      <c r="O133" s="16"/>
      <c r="P133" s="16"/>
      <c r="Q133" s="16"/>
      <c r="R133" s="16"/>
      <c r="S133" s="16"/>
      <c r="T133" s="16"/>
      <c r="U133" s="16"/>
      <c r="V133" s="16"/>
      <c r="W133" s="16"/>
      <c r="X133" s="16"/>
      <c r="Y133" s="16"/>
      <c r="Z133" s="16"/>
      <c r="AA133" s="16"/>
      <c r="AB133" s="16"/>
      <c r="AC133" s="16"/>
    </row>
    <row r="134">
      <c r="A134" s="22" t="str">
        <f t="array" ref="A134">IF(E134="","",IFERROR(INDEX(CONFIGURACION!C:C,MATCH(E134,CONFIGURACION!E:E,0)),""))
</f>
        <v/>
      </c>
      <c r="B134" s="22" t="str">
        <f t="array" ref="B134">IF(E134="","",IFERROR(INDEX(CONFIGURACION!D:D,MATCH(E134,CONFIGURACION!E:E,0)),""))
</f>
        <v/>
      </c>
      <c r="C134" s="31"/>
      <c r="D134" s="9"/>
      <c r="E134" s="6"/>
      <c r="F134" s="24"/>
      <c r="G134" s="9"/>
      <c r="H134" s="32"/>
      <c r="I134" s="33" t="str">
        <f>IFERROR(__xludf.DUMMYFUNCTION("IF(F134="""","""",LET(
  nombre, TRIM(F134),
  primer, REGEXEXTRACT(nombre, ""^\S+""),
  resto, TRIM(REGEXREPLACE(nombre, ""^\S+\s*"", """")),
  iniciales, IF(
    resto="""",
    """",
    TEXTJOIN("""",1,ARRAYFORMULA(LEFT(SPLIT(resto,"" ""),1) &amp; "".""))"&amp;"
  ),
  UPPER(primer) &amp; "" "" &amp; UPPER(iniciales)
))"),"")</f>
        <v/>
      </c>
      <c r="J134" s="33" t="str">
        <f>IFERROR(__xludf.DUMMYFUNCTION("IF(H134="""","""",IFERROR(
IF(REGEXMATCH(E134,""VELOCIDAD""),
   IF(H134&gt;=MAX(INDEX(BAREMOS!F:X,MATCH(1,(BAREMOS!A:A=A134)*(BAREMOS!B:B=B134)*(BAREMOS!C:C=C134)*(BAREMOS!D:D=D134),0),0)),1,
      IF(H134&lt;=MIN(INDEX(BAREMOS!F:X,MATCH(1,(BAREMOS!A:A=A134)*("&amp;"BAREMOS!B:B=B134)*(BAREMOS!C:C=C134)*(BAREMOS!D:D=D134),0),0)),19,
         MATCH(H134,INDEX(BAREMOS!F:X,MATCH(1,(BAREMOS!A:A=A134)*(BAREMOS!B:B=B134)*(BAREMOS!C:C=C134)*(BAREMOS!D:D=D134),0),0),-1)
      )
   ),
   IF(H134&lt;=MIN(INDEX(BAREMOS!F:X,MATCH(1,"&amp;"(BAREMOS!A:A=A134)*(BAREMOS!B:B=B134)*(BAREMOS!C:C=C134)*(BAREMOS!D:D=D134),0),0)),1,
      IF(H134&gt;=MAX(INDEX(BAREMOS!F:X,MATCH(1,(BAREMOS!A:A=A134)*(BAREMOS!B:B=B134)*(BAREMOS!C:C=C134)*(BAREMOS!D:D=D134),0),0)),19,
         MATCH(H134,INDEX(BAREMOS!F:X"&amp;",MATCH(1,(BAREMOS!A:A=A134)*(BAREMOS!B:B=B134)*(BAREMOS!C:C=C134)*(BAREMOS!D:D=D134),0),0),1)
      )
   )
)
,""""))
"),"")</f>
        <v/>
      </c>
      <c r="K134" s="34" t="str">
        <f t="shared" si="1"/>
        <v/>
      </c>
      <c r="L134" s="16"/>
      <c r="M134" s="16"/>
      <c r="N134" s="16"/>
      <c r="O134" s="16"/>
      <c r="P134" s="16"/>
      <c r="Q134" s="16"/>
      <c r="R134" s="16"/>
      <c r="S134" s="16"/>
      <c r="T134" s="16"/>
      <c r="U134" s="16"/>
      <c r="V134" s="16"/>
      <c r="W134" s="16"/>
      <c r="X134" s="16"/>
      <c r="Y134" s="16"/>
      <c r="Z134" s="16"/>
      <c r="AA134" s="16"/>
      <c r="AB134" s="16"/>
      <c r="AC134" s="16"/>
    </row>
    <row r="135">
      <c r="A135" s="22" t="str">
        <f t="array" ref="A135">IF(E135="","",IFERROR(INDEX(CONFIGURACION!C:C,MATCH(E135,CONFIGURACION!E:E,0)),""))
</f>
        <v/>
      </c>
      <c r="B135" s="22" t="str">
        <f t="array" ref="B135">IF(E135="","",IFERROR(INDEX(CONFIGURACION!D:D,MATCH(E135,CONFIGURACION!E:E,0)),""))
</f>
        <v/>
      </c>
      <c r="C135" s="31"/>
      <c r="D135" s="9"/>
      <c r="E135" s="6"/>
      <c r="F135" s="24"/>
      <c r="G135" s="9"/>
      <c r="H135" s="32"/>
      <c r="I135" s="33" t="str">
        <f>IFERROR(__xludf.DUMMYFUNCTION("IF(F135="""","""",LET(
  nombre, TRIM(F135),
  primer, REGEXEXTRACT(nombre, ""^\S+""),
  resto, TRIM(REGEXREPLACE(nombre, ""^\S+\s*"", """")),
  iniciales, IF(
    resto="""",
    """",
    TEXTJOIN("""",1,ARRAYFORMULA(LEFT(SPLIT(resto,"" ""),1) &amp; "".""))"&amp;"
  ),
  UPPER(primer) &amp; "" "" &amp; UPPER(iniciales)
))"),"")</f>
        <v/>
      </c>
      <c r="J135" s="33" t="str">
        <f>IFERROR(__xludf.DUMMYFUNCTION("IF(H135="""","""",IFERROR(
IF(REGEXMATCH(E135,""VELOCIDAD""),
   IF(H135&gt;=MAX(INDEX(BAREMOS!F:X,MATCH(1,(BAREMOS!A:A=A135)*(BAREMOS!B:B=B135)*(BAREMOS!C:C=C135)*(BAREMOS!D:D=D135),0),0)),1,
      IF(H135&lt;=MIN(INDEX(BAREMOS!F:X,MATCH(1,(BAREMOS!A:A=A135)*("&amp;"BAREMOS!B:B=B135)*(BAREMOS!C:C=C135)*(BAREMOS!D:D=D135),0),0)),19,
         MATCH(H135,INDEX(BAREMOS!F:X,MATCH(1,(BAREMOS!A:A=A135)*(BAREMOS!B:B=B135)*(BAREMOS!C:C=C135)*(BAREMOS!D:D=D135),0),0),-1)
      )
   ),
   IF(H135&lt;=MIN(INDEX(BAREMOS!F:X,MATCH(1,"&amp;"(BAREMOS!A:A=A135)*(BAREMOS!B:B=B135)*(BAREMOS!C:C=C135)*(BAREMOS!D:D=D135),0),0)),1,
      IF(H135&gt;=MAX(INDEX(BAREMOS!F:X,MATCH(1,(BAREMOS!A:A=A135)*(BAREMOS!B:B=B135)*(BAREMOS!C:C=C135)*(BAREMOS!D:D=D135),0),0)),19,
         MATCH(H135,INDEX(BAREMOS!F:X"&amp;",MATCH(1,(BAREMOS!A:A=A135)*(BAREMOS!B:B=B135)*(BAREMOS!C:C=C135)*(BAREMOS!D:D=D135),0),0),1)
      )
   )
)
,""""))
"),"")</f>
        <v/>
      </c>
      <c r="K135" s="34" t="str">
        <f t="shared" si="1"/>
        <v/>
      </c>
      <c r="L135" s="16"/>
      <c r="M135" s="16"/>
      <c r="N135" s="16"/>
      <c r="O135" s="16"/>
      <c r="P135" s="16"/>
      <c r="Q135" s="16"/>
      <c r="R135" s="16"/>
      <c r="S135" s="16"/>
      <c r="T135" s="16"/>
      <c r="U135" s="16"/>
      <c r="V135" s="16"/>
      <c r="W135" s="16"/>
      <c r="X135" s="16"/>
      <c r="Y135" s="16"/>
      <c r="Z135" s="16"/>
      <c r="AA135" s="16"/>
      <c r="AB135" s="16"/>
      <c r="AC135" s="16"/>
    </row>
    <row r="136">
      <c r="A136" s="22" t="str">
        <f t="array" ref="A136">IF(E136="","",IFERROR(INDEX(CONFIGURACION!C:C,MATCH(E136,CONFIGURACION!E:E,0)),""))
</f>
        <v/>
      </c>
      <c r="B136" s="22" t="str">
        <f t="array" ref="B136">IF(E136="","",IFERROR(INDEX(CONFIGURACION!D:D,MATCH(E136,CONFIGURACION!E:E,0)),""))
</f>
        <v/>
      </c>
      <c r="C136" s="31"/>
      <c r="D136" s="9"/>
      <c r="E136" s="6"/>
      <c r="F136" s="24"/>
      <c r="G136" s="9"/>
      <c r="H136" s="32"/>
      <c r="I136" s="33" t="str">
        <f>IFERROR(__xludf.DUMMYFUNCTION("IF(F136="""","""",LET(
  nombre, TRIM(F136),
  primer, REGEXEXTRACT(nombre, ""^\S+""),
  resto, TRIM(REGEXREPLACE(nombre, ""^\S+\s*"", """")),
  iniciales, IF(
    resto="""",
    """",
    TEXTJOIN("""",1,ARRAYFORMULA(LEFT(SPLIT(resto,"" ""),1) &amp; "".""))"&amp;"
  ),
  UPPER(primer) &amp; "" "" &amp; UPPER(iniciales)
))"),"")</f>
        <v/>
      </c>
      <c r="J136" s="33" t="str">
        <f>IFERROR(__xludf.DUMMYFUNCTION("IF(H136="""","""",IFERROR(
IF(REGEXMATCH(E136,""VELOCIDAD""),
   IF(H136&gt;=MAX(INDEX(BAREMOS!F:X,MATCH(1,(BAREMOS!A:A=A136)*(BAREMOS!B:B=B136)*(BAREMOS!C:C=C136)*(BAREMOS!D:D=D136),0),0)),1,
      IF(H136&lt;=MIN(INDEX(BAREMOS!F:X,MATCH(1,(BAREMOS!A:A=A136)*("&amp;"BAREMOS!B:B=B136)*(BAREMOS!C:C=C136)*(BAREMOS!D:D=D136),0),0)),19,
         MATCH(H136,INDEX(BAREMOS!F:X,MATCH(1,(BAREMOS!A:A=A136)*(BAREMOS!B:B=B136)*(BAREMOS!C:C=C136)*(BAREMOS!D:D=D136),0),0),-1)
      )
   ),
   IF(H136&lt;=MIN(INDEX(BAREMOS!F:X,MATCH(1,"&amp;"(BAREMOS!A:A=A136)*(BAREMOS!B:B=B136)*(BAREMOS!C:C=C136)*(BAREMOS!D:D=D136),0),0)),1,
      IF(H136&gt;=MAX(INDEX(BAREMOS!F:X,MATCH(1,(BAREMOS!A:A=A136)*(BAREMOS!B:B=B136)*(BAREMOS!C:C=C136)*(BAREMOS!D:D=D136),0),0)),19,
         MATCH(H136,INDEX(BAREMOS!F:X"&amp;",MATCH(1,(BAREMOS!A:A=A136)*(BAREMOS!B:B=B136)*(BAREMOS!C:C=C136)*(BAREMOS!D:D=D136),0),0),1)
      )
   )
)
,""""))
"),"")</f>
        <v/>
      </c>
      <c r="K136" s="34" t="str">
        <f t="shared" si="1"/>
        <v/>
      </c>
      <c r="L136" s="16"/>
      <c r="M136" s="16"/>
      <c r="N136" s="16"/>
      <c r="O136" s="16"/>
      <c r="P136" s="16"/>
      <c r="Q136" s="16"/>
      <c r="R136" s="16"/>
      <c r="S136" s="16"/>
      <c r="T136" s="16"/>
      <c r="U136" s="16"/>
      <c r="V136" s="16"/>
      <c r="W136" s="16"/>
      <c r="X136" s="16"/>
      <c r="Y136" s="16"/>
      <c r="Z136" s="16"/>
      <c r="AA136" s="16"/>
      <c r="AB136" s="16"/>
      <c r="AC136" s="16"/>
    </row>
    <row r="137">
      <c r="A137" s="22" t="str">
        <f t="array" ref="A137">IF(E137="","",IFERROR(INDEX(CONFIGURACION!C:C,MATCH(E137,CONFIGURACION!E:E,0)),""))
</f>
        <v/>
      </c>
      <c r="B137" s="22" t="str">
        <f t="array" ref="B137">IF(E137="","",IFERROR(INDEX(CONFIGURACION!D:D,MATCH(E137,CONFIGURACION!E:E,0)),""))
</f>
        <v/>
      </c>
      <c r="C137" s="31"/>
      <c r="D137" s="9"/>
      <c r="E137" s="6"/>
      <c r="F137" s="24"/>
      <c r="G137" s="9"/>
      <c r="H137" s="32"/>
      <c r="I137" s="33" t="str">
        <f>IFERROR(__xludf.DUMMYFUNCTION("IF(F137="""","""",LET(
  nombre, TRIM(F137),
  primer, REGEXEXTRACT(nombre, ""^\S+""),
  resto, TRIM(REGEXREPLACE(nombre, ""^\S+\s*"", """")),
  iniciales, IF(
    resto="""",
    """",
    TEXTJOIN("""",1,ARRAYFORMULA(LEFT(SPLIT(resto,"" ""),1) &amp; "".""))"&amp;"
  ),
  UPPER(primer) &amp; "" "" &amp; UPPER(iniciales)
))"),"")</f>
        <v/>
      </c>
      <c r="J137" s="33" t="str">
        <f>IFERROR(__xludf.DUMMYFUNCTION("IF(H137="""","""",IFERROR(
IF(REGEXMATCH(E137,""VELOCIDAD""),
   IF(H137&gt;=MAX(INDEX(BAREMOS!F:X,MATCH(1,(BAREMOS!A:A=A137)*(BAREMOS!B:B=B137)*(BAREMOS!C:C=C137)*(BAREMOS!D:D=D137),0),0)),1,
      IF(H137&lt;=MIN(INDEX(BAREMOS!F:X,MATCH(1,(BAREMOS!A:A=A137)*("&amp;"BAREMOS!B:B=B137)*(BAREMOS!C:C=C137)*(BAREMOS!D:D=D137),0),0)),19,
         MATCH(H137,INDEX(BAREMOS!F:X,MATCH(1,(BAREMOS!A:A=A137)*(BAREMOS!B:B=B137)*(BAREMOS!C:C=C137)*(BAREMOS!D:D=D137),0),0),-1)
      )
   ),
   IF(H137&lt;=MIN(INDEX(BAREMOS!F:X,MATCH(1,"&amp;"(BAREMOS!A:A=A137)*(BAREMOS!B:B=B137)*(BAREMOS!C:C=C137)*(BAREMOS!D:D=D137),0),0)),1,
      IF(H137&gt;=MAX(INDEX(BAREMOS!F:X,MATCH(1,(BAREMOS!A:A=A137)*(BAREMOS!B:B=B137)*(BAREMOS!C:C=C137)*(BAREMOS!D:D=D137),0),0)),19,
         MATCH(H137,INDEX(BAREMOS!F:X"&amp;",MATCH(1,(BAREMOS!A:A=A137)*(BAREMOS!B:B=B137)*(BAREMOS!C:C=C137)*(BAREMOS!D:D=D137),0),0),1)
      )
   )
)
,""""))
"),"")</f>
        <v/>
      </c>
      <c r="K137" s="34" t="str">
        <f t="shared" si="1"/>
        <v/>
      </c>
      <c r="L137" s="16"/>
      <c r="M137" s="16"/>
      <c r="N137" s="16"/>
      <c r="O137" s="16"/>
      <c r="P137" s="16"/>
      <c r="Q137" s="16"/>
      <c r="R137" s="16"/>
      <c r="S137" s="16"/>
      <c r="T137" s="16"/>
      <c r="U137" s="16"/>
      <c r="V137" s="16"/>
      <c r="W137" s="16"/>
      <c r="X137" s="16"/>
      <c r="Y137" s="16"/>
      <c r="Z137" s="16"/>
      <c r="AA137" s="16"/>
      <c r="AB137" s="16"/>
      <c r="AC137" s="16"/>
    </row>
    <row r="138">
      <c r="A138" s="22" t="str">
        <f t="array" ref="A138">IF(E138="","",IFERROR(INDEX(CONFIGURACION!C:C,MATCH(E138,CONFIGURACION!E:E,0)),""))
</f>
        <v/>
      </c>
      <c r="B138" s="22" t="str">
        <f t="array" ref="B138">IF(E138="","",IFERROR(INDEX(CONFIGURACION!D:D,MATCH(E138,CONFIGURACION!E:E,0)),""))
</f>
        <v/>
      </c>
      <c r="C138" s="31"/>
      <c r="D138" s="9"/>
      <c r="E138" s="6"/>
      <c r="F138" s="24"/>
      <c r="G138" s="9"/>
      <c r="H138" s="32"/>
      <c r="I138" s="33" t="str">
        <f>IFERROR(__xludf.DUMMYFUNCTION("IF(F138="""","""",LET(
  nombre, TRIM(F138),
  primer, REGEXEXTRACT(nombre, ""^\S+""),
  resto, TRIM(REGEXREPLACE(nombre, ""^\S+\s*"", """")),
  iniciales, IF(
    resto="""",
    """",
    TEXTJOIN("""",1,ARRAYFORMULA(LEFT(SPLIT(resto,"" ""),1) &amp; "".""))"&amp;"
  ),
  UPPER(primer) &amp; "" "" &amp; UPPER(iniciales)
))"),"")</f>
        <v/>
      </c>
      <c r="J138" s="33" t="str">
        <f>IFERROR(__xludf.DUMMYFUNCTION("IF(H138="""","""",IFERROR(
IF(REGEXMATCH(E138,""VELOCIDAD""),
   IF(H138&gt;=MAX(INDEX(BAREMOS!F:X,MATCH(1,(BAREMOS!A:A=A138)*(BAREMOS!B:B=B138)*(BAREMOS!C:C=C138)*(BAREMOS!D:D=D138),0),0)),1,
      IF(H138&lt;=MIN(INDEX(BAREMOS!F:X,MATCH(1,(BAREMOS!A:A=A138)*("&amp;"BAREMOS!B:B=B138)*(BAREMOS!C:C=C138)*(BAREMOS!D:D=D138),0),0)),19,
         MATCH(H138,INDEX(BAREMOS!F:X,MATCH(1,(BAREMOS!A:A=A138)*(BAREMOS!B:B=B138)*(BAREMOS!C:C=C138)*(BAREMOS!D:D=D138),0),0),-1)
      )
   ),
   IF(H138&lt;=MIN(INDEX(BAREMOS!F:X,MATCH(1,"&amp;"(BAREMOS!A:A=A138)*(BAREMOS!B:B=B138)*(BAREMOS!C:C=C138)*(BAREMOS!D:D=D138),0),0)),1,
      IF(H138&gt;=MAX(INDEX(BAREMOS!F:X,MATCH(1,(BAREMOS!A:A=A138)*(BAREMOS!B:B=B138)*(BAREMOS!C:C=C138)*(BAREMOS!D:D=D138),0),0)),19,
         MATCH(H138,INDEX(BAREMOS!F:X"&amp;",MATCH(1,(BAREMOS!A:A=A138)*(BAREMOS!B:B=B138)*(BAREMOS!C:C=C138)*(BAREMOS!D:D=D138),0),0),1)
      )
   )
)
,""""))
"),"")</f>
        <v/>
      </c>
      <c r="K138" s="34" t="str">
        <f t="shared" si="1"/>
        <v/>
      </c>
      <c r="L138" s="16"/>
      <c r="M138" s="16"/>
      <c r="N138" s="16"/>
      <c r="O138" s="16"/>
      <c r="P138" s="16"/>
      <c r="Q138" s="16"/>
      <c r="R138" s="16"/>
      <c r="S138" s="16"/>
      <c r="T138" s="16"/>
      <c r="U138" s="16"/>
      <c r="V138" s="16"/>
      <c r="W138" s="16"/>
      <c r="X138" s="16"/>
      <c r="Y138" s="16"/>
      <c r="Z138" s="16"/>
      <c r="AA138" s="16"/>
      <c r="AB138" s="16"/>
      <c r="AC138" s="16"/>
    </row>
    <row r="139">
      <c r="A139" s="22" t="str">
        <f t="array" ref="A139">IF(E139="","",IFERROR(INDEX(CONFIGURACION!C:C,MATCH(E139,CONFIGURACION!E:E,0)),""))
</f>
        <v/>
      </c>
      <c r="B139" s="22" t="str">
        <f t="array" ref="B139">IF(E139="","",IFERROR(INDEX(CONFIGURACION!D:D,MATCH(E139,CONFIGURACION!E:E,0)),""))
</f>
        <v/>
      </c>
      <c r="C139" s="31"/>
      <c r="D139" s="9"/>
      <c r="E139" s="6"/>
      <c r="F139" s="24"/>
      <c r="G139" s="9"/>
      <c r="H139" s="32"/>
      <c r="I139" s="33" t="str">
        <f>IFERROR(__xludf.DUMMYFUNCTION("IF(F139="""","""",LET(
  nombre, TRIM(F139),
  primer, REGEXEXTRACT(nombre, ""^\S+""),
  resto, TRIM(REGEXREPLACE(nombre, ""^\S+\s*"", """")),
  iniciales, IF(
    resto="""",
    """",
    TEXTJOIN("""",1,ARRAYFORMULA(LEFT(SPLIT(resto,"" ""),1) &amp; "".""))"&amp;"
  ),
  UPPER(primer) &amp; "" "" &amp; UPPER(iniciales)
))"),"")</f>
        <v/>
      </c>
      <c r="J139" s="33" t="str">
        <f>IFERROR(__xludf.DUMMYFUNCTION("IF(H139="""","""",IFERROR(
IF(REGEXMATCH(E139,""VELOCIDAD""),
   IF(H139&gt;=MAX(INDEX(BAREMOS!F:X,MATCH(1,(BAREMOS!A:A=A139)*(BAREMOS!B:B=B139)*(BAREMOS!C:C=C139)*(BAREMOS!D:D=D139),0),0)),1,
      IF(H139&lt;=MIN(INDEX(BAREMOS!F:X,MATCH(1,(BAREMOS!A:A=A139)*("&amp;"BAREMOS!B:B=B139)*(BAREMOS!C:C=C139)*(BAREMOS!D:D=D139),0),0)),19,
         MATCH(H139,INDEX(BAREMOS!F:X,MATCH(1,(BAREMOS!A:A=A139)*(BAREMOS!B:B=B139)*(BAREMOS!C:C=C139)*(BAREMOS!D:D=D139),0),0),-1)
      )
   ),
   IF(H139&lt;=MIN(INDEX(BAREMOS!F:X,MATCH(1,"&amp;"(BAREMOS!A:A=A139)*(BAREMOS!B:B=B139)*(BAREMOS!C:C=C139)*(BAREMOS!D:D=D139),0),0)),1,
      IF(H139&gt;=MAX(INDEX(BAREMOS!F:X,MATCH(1,(BAREMOS!A:A=A139)*(BAREMOS!B:B=B139)*(BAREMOS!C:C=C139)*(BAREMOS!D:D=D139),0),0)),19,
         MATCH(H139,INDEX(BAREMOS!F:X"&amp;",MATCH(1,(BAREMOS!A:A=A139)*(BAREMOS!B:B=B139)*(BAREMOS!C:C=C139)*(BAREMOS!D:D=D139),0),0),1)
      )
   )
)
,""""))
"),"")</f>
        <v/>
      </c>
      <c r="K139" s="34" t="str">
        <f t="shared" si="1"/>
        <v/>
      </c>
      <c r="L139" s="16"/>
      <c r="M139" s="16"/>
      <c r="N139" s="16"/>
      <c r="O139" s="16"/>
      <c r="P139" s="16"/>
      <c r="Q139" s="16"/>
      <c r="R139" s="16"/>
      <c r="S139" s="16"/>
      <c r="T139" s="16"/>
      <c r="U139" s="16"/>
      <c r="V139" s="16"/>
      <c r="W139" s="16"/>
      <c r="X139" s="16"/>
      <c r="Y139" s="16"/>
      <c r="Z139" s="16"/>
      <c r="AA139" s="16"/>
      <c r="AB139" s="16"/>
      <c r="AC139" s="16"/>
    </row>
    <row r="140">
      <c r="A140" s="22" t="str">
        <f t="array" ref="A140">IF(E140="","",IFERROR(INDEX(CONFIGURACION!C:C,MATCH(E140,CONFIGURACION!E:E,0)),""))
</f>
        <v/>
      </c>
      <c r="B140" s="22" t="str">
        <f t="array" ref="B140">IF(E140="","",IFERROR(INDEX(CONFIGURACION!D:D,MATCH(E140,CONFIGURACION!E:E,0)),""))
</f>
        <v/>
      </c>
      <c r="C140" s="31"/>
      <c r="D140" s="9"/>
      <c r="E140" s="6"/>
      <c r="F140" s="24"/>
      <c r="G140" s="9"/>
      <c r="H140" s="32"/>
      <c r="I140" s="33" t="str">
        <f>IFERROR(__xludf.DUMMYFUNCTION("IF(F140="""","""",LET(
  nombre, TRIM(F140),
  primer, REGEXEXTRACT(nombre, ""^\S+""),
  resto, TRIM(REGEXREPLACE(nombre, ""^\S+\s*"", """")),
  iniciales, IF(
    resto="""",
    """",
    TEXTJOIN("""",1,ARRAYFORMULA(LEFT(SPLIT(resto,"" ""),1) &amp; "".""))"&amp;"
  ),
  UPPER(primer) &amp; "" "" &amp; UPPER(iniciales)
))"),"")</f>
        <v/>
      </c>
      <c r="J140" s="33" t="str">
        <f>IFERROR(__xludf.DUMMYFUNCTION("IF(H140="""","""",IFERROR(
IF(REGEXMATCH(E140,""VELOCIDAD""),
   IF(H140&gt;=MAX(INDEX(BAREMOS!F:X,MATCH(1,(BAREMOS!A:A=A140)*(BAREMOS!B:B=B140)*(BAREMOS!C:C=C140)*(BAREMOS!D:D=D140),0),0)),1,
      IF(H140&lt;=MIN(INDEX(BAREMOS!F:X,MATCH(1,(BAREMOS!A:A=A140)*("&amp;"BAREMOS!B:B=B140)*(BAREMOS!C:C=C140)*(BAREMOS!D:D=D140),0),0)),19,
         MATCH(H140,INDEX(BAREMOS!F:X,MATCH(1,(BAREMOS!A:A=A140)*(BAREMOS!B:B=B140)*(BAREMOS!C:C=C140)*(BAREMOS!D:D=D140),0),0),-1)
      )
   ),
   IF(H140&lt;=MIN(INDEX(BAREMOS!F:X,MATCH(1,"&amp;"(BAREMOS!A:A=A140)*(BAREMOS!B:B=B140)*(BAREMOS!C:C=C140)*(BAREMOS!D:D=D140),0),0)),1,
      IF(H140&gt;=MAX(INDEX(BAREMOS!F:X,MATCH(1,(BAREMOS!A:A=A140)*(BAREMOS!B:B=B140)*(BAREMOS!C:C=C140)*(BAREMOS!D:D=D140),0),0)),19,
         MATCH(H140,INDEX(BAREMOS!F:X"&amp;",MATCH(1,(BAREMOS!A:A=A140)*(BAREMOS!B:B=B140)*(BAREMOS!C:C=C140)*(BAREMOS!D:D=D140),0),0),1)
      )
   )
)
,""""))
"),"")</f>
        <v/>
      </c>
      <c r="K140" s="34" t="str">
        <f t="shared" si="1"/>
        <v/>
      </c>
      <c r="L140" s="16"/>
      <c r="M140" s="16"/>
      <c r="N140" s="16"/>
      <c r="O140" s="16"/>
      <c r="P140" s="16"/>
      <c r="Q140" s="16"/>
      <c r="R140" s="16"/>
      <c r="S140" s="16"/>
      <c r="T140" s="16"/>
      <c r="U140" s="16"/>
      <c r="V140" s="16"/>
      <c r="W140" s="16"/>
      <c r="X140" s="16"/>
      <c r="Y140" s="16"/>
      <c r="Z140" s="16"/>
      <c r="AA140" s="16"/>
      <c r="AB140" s="16"/>
      <c r="AC140" s="16"/>
    </row>
    <row r="141">
      <c r="A141" s="22" t="str">
        <f t="array" ref="A141">IF(E141="","",IFERROR(INDEX(CONFIGURACION!C:C,MATCH(E141,CONFIGURACION!E:E,0)),""))
</f>
        <v/>
      </c>
      <c r="B141" s="22" t="str">
        <f t="array" ref="B141">IF(E141="","",IFERROR(INDEX(CONFIGURACION!D:D,MATCH(E141,CONFIGURACION!E:E,0)),""))
</f>
        <v/>
      </c>
      <c r="C141" s="31"/>
      <c r="D141" s="9"/>
      <c r="E141" s="6"/>
      <c r="F141" s="24"/>
      <c r="G141" s="9"/>
      <c r="H141" s="32"/>
      <c r="I141" s="33" t="str">
        <f>IFERROR(__xludf.DUMMYFUNCTION("IF(F141="""","""",LET(
  nombre, TRIM(F141),
  primer, REGEXEXTRACT(nombre, ""^\S+""),
  resto, TRIM(REGEXREPLACE(nombre, ""^\S+\s*"", """")),
  iniciales, IF(
    resto="""",
    """",
    TEXTJOIN("""",1,ARRAYFORMULA(LEFT(SPLIT(resto,"" ""),1) &amp; "".""))"&amp;"
  ),
  UPPER(primer) &amp; "" "" &amp; UPPER(iniciales)
))"),"")</f>
        <v/>
      </c>
      <c r="J141" s="33" t="str">
        <f>IFERROR(__xludf.DUMMYFUNCTION("IF(H141="""","""",IFERROR(
IF(REGEXMATCH(E141,""VELOCIDAD""),
   IF(H141&gt;=MAX(INDEX(BAREMOS!F:X,MATCH(1,(BAREMOS!A:A=A141)*(BAREMOS!B:B=B141)*(BAREMOS!C:C=C141)*(BAREMOS!D:D=D141),0),0)),1,
      IF(H141&lt;=MIN(INDEX(BAREMOS!F:X,MATCH(1,(BAREMOS!A:A=A141)*("&amp;"BAREMOS!B:B=B141)*(BAREMOS!C:C=C141)*(BAREMOS!D:D=D141),0),0)),19,
         MATCH(H141,INDEX(BAREMOS!F:X,MATCH(1,(BAREMOS!A:A=A141)*(BAREMOS!B:B=B141)*(BAREMOS!C:C=C141)*(BAREMOS!D:D=D141),0),0),-1)
      )
   ),
   IF(H141&lt;=MIN(INDEX(BAREMOS!F:X,MATCH(1,"&amp;"(BAREMOS!A:A=A141)*(BAREMOS!B:B=B141)*(BAREMOS!C:C=C141)*(BAREMOS!D:D=D141),0),0)),1,
      IF(H141&gt;=MAX(INDEX(BAREMOS!F:X,MATCH(1,(BAREMOS!A:A=A141)*(BAREMOS!B:B=B141)*(BAREMOS!C:C=C141)*(BAREMOS!D:D=D141),0),0)),19,
         MATCH(H141,INDEX(BAREMOS!F:X"&amp;",MATCH(1,(BAREMOS!A:A=A141)*(BAREMOS!B:B=B141)*(BAREMOS!C:C=C141)*(BAREMOS!D:D=D141),0),0),1)
      )
   )
)
,""""))
"),"")</f>
        <v/>
      </c>
      <c r="K141" s="34" t="str">
        <f t="shared" si="1"/>
        <v/>
      </c>
      <c r="L141" s="16"/>
      <c r="M141" s="16"/>
      <c r="N141" s="16"/>
      <c r="O141" s="16"/>
      <c r="P141" s="16"/>
      <c r="Q141" s="16"/>
      <c r="R141" s="16"/>
      <c r="S141" s="16"/>
      <c r="T141" s="16"/>
      <c r="U141" s="16"/>
      <c r="V141" s="16"/>
      <c r="W141" s="16"/>
      <c r="X141" s="16"/>
      <c r="Y141" s="16"/>
      <c r="Z141" s="16"/>
      <c r="AA141" s="16"/>
      <c r="AB141" s="16"/>
      <c r="AC141" s="16"/>
    </row>
    <row r="142">
      <c r="A142" s="22" t="str">
        <f t="array" ref="A142">IF(E142="","",IFERROR(INDEX(CONFIGURACION!C:C,MATCH(E142,CONFIGURACION!E:E,0)),""))
</f>
        <v/>
      </c>
      <c r="B142" s="22" t="str">
        <f t="array" ref="B142">IF(E142="","",IFERROR(INDEX(CONFIGURACION!D:D,MATCH(E142,CONFIGURACION!E:E,0)),""))
</f>
        <v/>
      </c>
      <c r="C142" s="31"/>
      <c r="D142" s="9"/>
      <c r="E142" s="6"/>
      <c r="F142" s="24"/>
      <c r="G142" s="9"/>
      <c r="H142" s="32"/>
      <c r="I142" s="33" t="str">
        <f>IFERROR(__xludf.DUMMYFUNCTION("IF(F142="""","""",LET(
  nombre, TRIM(F142),
  primer, REGEXEXTRACT(nombre, ""^\S+""),
  resto, TRIM(REGEXREPLACE(nombre, ""^\S+\s*"", """")),
  iniciales, IF(
    resto="""",
    """",
    TEXTJOIN("""",1,ARRAYFORMULA(LEFT(SPLIT(resto,"" ""),1) &amp; "".""))"&amp;"
  ),
  UPPER(primer) &amp; "" "" &amp; UPPER(iniciales)
))"),"")</f>
        <v/>
      </c>
      <c r="J142" s="33" t="str">
        <f>IFERROR(__xludf.DUMMYFUNCTION("IF(H142="""","""",IFERROR(
IF(REGEXMATCH(E142,""VELOCIDAD""),
   IF(H142&gt;=MAX(INDEX(BAREMOS!F:X,MATCH(1,(BAREMOS!A:A=A142)*(BAREMOS!B:B=B142)*(BAREMOS!C:C=C142)*(BAREMOS!D:D=D142),0),0)),1,
      IF(H142&lt;=MIN(INDEX(BAREMOS!F:X,MATCH(1,(BAREMOS!A:A=A142)*("&amp;"BAREMOS!B:B=B142)*(BAREMOS!C:C=C142)*(BAREMOS!D:D=D142),0),0)),19,
         MATCH(H142,INDEX(BAREMOS!F:X,MATCH(1,(BAREMOS!A:A=A142)*(BAREMOS!B:B=B142)*(BAREMOS!C:C=C142)*(BAREMOS!D:D=D142),0),0),-1)
      )
   ),
   IF(H142&lt;=MIN(INDEX(BAREMOS!F:X,MATCH(1,"&amp;"(BAREMOS!A:A=A142)*(BAREMOS!B:B=B142)*(BAREMOS!C:C=C142)*(BAREMOS!D:D=D142),0),0)),1,
      IF(H142&gt;=MAX(INDEX(BAREMOS!F:X,MATCH(1,(BAREMOS!A:A=A142)*(BAREMOS!B:B=B142)*(BAREMOS!C:C=C142)*(BAREMOS!D:D=D142),0),0)),19,
         MATCH(H142,INDEX(BAREMOS!F:X"&amp;",MATCH(1,(BAREMOS!A:A=A142)*(BAREMOS!B:B=B142)*(BAREMOS!C:C=C142)*(BAREMOS!D:D=D142),0),0),1)
      )
   )
)
,""""))
"),"")</f>
        <v/>
      </c>
      <c r="K142" s="34" t="str">
        <f t="shared" si="1"/>
        <v/>
      </c>
      <c r="L142" s="16"/>
      <c r="M142" s="16"/>
      <c r="N142" s="16"/>
      <c r="O142" s="16"/>
      <c r="P142" s="16"/>
      <c r="Q142" s="16"/>
      <c r="R142" s="16"/>
      <c r="S142" s="16"/>
      <c r="T142" s="16"/>
      <c r="U142" s="16"/>
      <c r="V142" s="16"/>
      <c r="W142" s="16"/>
      <c r="X142" s="16"/>
      <c r="Y142" s="16"/>
      <c r="Z142" s="16"/>
      <c r="AA142" s="16"/>
      <c r="AB142" s="16"/>
      <c r="AC142" s="16"/>
    </row>
    <row r="143">
      <c r="A143" s="22" t="str">
        <f t="array" ref="A143">IF(E143="","",IFERROR(INDEX(CONFIGURACION!C:C,MATCH(E143,CONFIGURACION!E:E,0)),""))
</f>
        <v/>
      </c>
      <c r="B143" s="22" t="str">
        <f t="array" ref="B143">IF(E143="","",IFERROR(INDEX(CONFIGURACION!D:D,MATCH(E143,CONFIGURACION!E:E,0)),""))
</f>
        <v/>
      </c>
      <c r="C143" s="31"/>
      <c r="D143" s="9"/>
      <c r="E143" s="6"/>
      <c r="F143" s="24"/>
      <c r="G143" s="9"/>
      <c r="H143" s="32"/>
      <c r="I143" s="33" t="str">
        <f>IFERROR(__xludf.DUMMYFUNCTION("IF(F143="""","""",LET(
  nombre, TRIM(F143),
  primer, REGEXEXTRACT(nombre, ""^\S+""),
  resto, TRIM(REGEXREPLACE(nombre, ""^\S+\s*"", """")),
  iniciales, IF(
    resto="""",
    """",
    TEXTJOIN("""",1,ARRAYFORMULA(LEFT(SPLIT(resto,"" ""),1) &amp; "".""))"&amp;"
  ),
  UPPER(primer) &amp; "" "" &amp; UPPER(iniciales)
))"),"")</f>
        <v/>
      </c>
      <c r="J143" s="33" t="str">
        <f>IFERROR(__xludf.DUMMYFUNCTION("IF(H143="""","""",IFERROR(
IF(REGEXMATCH(E143,""VELOCIDAD""),
   IF(H143&gt;=MAX(INDEX(BAREMOS!F:X,MATCH(1,(BAREMOS!A:A=A143)*(BAREMOS!B:B=B143)*(BAREMOS!C:C=C143)*(BAREMOS!D:D=D143),0),0)),1,
      IF(H143&lt;=MIN(INDEX(BAREMOS!F:X,MATCH(1,(BAREMOS!A:A=A143)*("&amp;"BAREMOS!B:B=B143)*(BAREMOS!C:C=C143)*(BAREMOS!D:D=D143),0),0)),19,
         MATCH(H143,INDEX(BAREMOS!F:X,MATCH(1,(BAREMOS!A:A=A143)*(BAREMOS!B:B=B143)*(BAREMOS!C:C=C143)*(BAREMOS!D:D=D143),0),0),-1)
      )
   ),
   IF(H143&lt;=MIN(INDEX(BAREMOS!F:X,MATCH(1,"&amp;"(BAREMOS!A:A=A143)*(BAREMOS!B:B=B143)*(BAREMOS!C:C=C143)*(BAREMOS!D:D=D143),0),0)),1,
      IF(H143&gt;=MAX(INDEX(BAREMOS!F:X,MATCH(1,(BAREMOS!A:A=A143)*(BAREMOS!B:B=B143)*(BAREMOS!C:C=C143)*(BAREMOS!D:D=D143),0),0)),19,
         MATCH(H143,INDEX(BAREMOS!F:X"&amp;",MATCH(1,(BAREMOS!A:A=A143)*(BAREMOS!B:B=B143)*(BAREMOS!C:C=C143)*(BAREMOS!D:D=D143),0),0),1)
      )
   )
)
,""""))
"),"")</f>
        <v/>
      </c>
      <c r="K143" s="34" t="str">
        <f t="shared" si="1"/>
        <v/>
      </c>
      <c r="L143" s="16"/>
      <c r="M143" s="16"/>
      <c r="N143" s="16"/>
      <c r="O143" s="16"/>
      <c r="P143" s="16"/>
      <c r="Q143" s="16"/>
      <c r="R143" s="16"/>
      <c r="S143" s="16"/>
      <c r="T143" s="16"/>
      <c r="U143" s="16"/>
      <c r="V143" s="16"/>
      <c r="W143" s="16"/>
      <c r="X143" s="16"/>
      <c r="Y143" s="16"/>
      <c r="Z143" s="16"/>
      <c r="AA143" s="16"/>
      <c r="AB143" s="16"/>
      <c r="AC143" s="16"/>
    </row>
    <row r="144">
      <c r="A144" s="22" t="str">
        <f t="array" ref="A144">IF(E144="","",IFERROR(INDEX(CONFIGURACION!C:C,MATCH(E144,CONFIGURACION!E:E,0)),""))
</f>
        <v/>
      </c>
      <c r="B144" s="22" t="str">
        <f t="array" ref="B144">IF(E144="","",IFERROR(INDEX(CONFIGURACION!D:D,MATCH(E144,CONFIGURACION!E:E,0)),""))
</f>
        <v/>
      </c>
      <c r="C144" s="31"/>
      <c r="D144" s="9"/>
      <c r="E144" s="6"/>
      <c r="F144" s="24"/>
      <c r="G144" s="9"/>
      <c r="H144" s="32"/>
      <c r="I144" s="33" t="str">
        <f>IFERROR(__xludf.DUMMYFUNCTION("IF(F144="""","""",LET(
  nombre, TRIM(F144),
  primer, REGEXEXTRACT(nombre, ""^\S+""),
  resto, TRIM(REGEXREPLACE(nombre, ""^\S+\s*"", """")),
  iniciales, IF(
    resto="""",
    """",
    TEXTJOIN("""",1,ARRAYFORMULA(LEFT(SPLIT(resto,"" ""),1) &amp; "".""))"&amp;"
  ),
  UPPER(primer) &amp; "" "" &amp; UPPER(iniciales)
))"),"")</f>
        <v/>
      </c>
      <c r="J144" s="33" t="str">
        <f>IFERROR(__xludf.DUMMYFUNCTION("IF(H144="""","""",IFERROR(
IF(REGEXMATCH(E144,""VELOCIDAD""),
   IF(H144&gt;=MAX(INDEX(BAREMOS!F:X,MATCH(1,(BAREMOS!A:A=A144)*(BAREMOS!B:B=B144)*(BAREMOS!C:C=C144)*(BAREMOS!D:D=D144),0),0)),1,
      IF(H144&lt;=MIN(INDEX(BAREMOS!F:X,MATCH(1,(BAREMOS!A:A=A144)*("&amp;"BAREMOS!B:B=B144)*(BAREMOS!C:C=C144)*(BAREMOS!D:D=D144),0),0)),19,
         MATCH(H144,INDEX(BAREMOS!F:X,MATCH(1,(BAREMOS!A:A=A144)*(BAREMOS!B:B=B144)*(BAREMOS!C:C=C144)*(BAREMOS!D:D=D144),0),0),-1)
      )
   ),
   IF(H144&lt;=MIN(INDEX(BAREMOS!F:X,MATCH(1,"&amp;"(BAREMOS!A:A=A144)*(BAREMOS!B:B=B144)*(BAREMOS!C:C=C144)*(BAREMOS!D:D=D144),0),0)),1,
      IF(H144&gt;=MAX(INDEX(BAREMOS!F:X,MATCH(1,(BAREMOS!A:A=A144)*(BAREMOS!B:B=B144)*(BAREMOS!C:C=C144)*(BAREMOS!D:D=D144),0),0)),19,
         MATCH(H144,INDEX(BAREMOS!F:X"&amp;",MATCH(1,(BAREMOS!A:A=A144)*(BAREMOS!B:B=B144)*(BAREMOS!C:C=C144)*(BAREMOS!D:D=D144),0),0),1)
      )
   )
)
,""""))
"),"")</f>
        <v/>
      </c>
      <c r="K144" s="34" t="str">
        <f t="shared" si="1"/>
        <v/>
      </c>
      <c r="L144" s="16"/>
      <c r="M144" s="16"/>
      <c r="N144" s="16"/>
      <c r="O144" s="16"/>
      <c r="P144" s="16"/>
      <c r="Q144" s="16"/>
      <c r="R144" s="16"/>
      <c r="S144" s="16"/>
      <c r="T144" s="16"/>
      <c r="U144" s="16"/>
      <c r="V144" s="16"/>
      <c r="W144" s="16"/>
      <c r="X144" s="16"/>
      <c r="Y144" s="16"/>
      <c r="Z144" s="16"/>
      <c r="AA144" s="16"/>
      <c r="AB144" s="16"/>
      <c r="AC144" s="16"/>
    </row>
    <row r="145">
      <c r="A145" s="22" t="str">
        <f t="array" ref="A145">IF(E145="","",IFERROR(INDEX(CONFIGURACION!C:C,MATCH(E145,CONFIGURACION!E:E,0)),""))
</f>
        <v/>
      </c>
      <c r="B145" s="22" t="str">
        <f t="array" ref="B145">IF(E145="","",IFERROR(INDEX(CONFIGURACION!D:D,MATCH(E145,CONFIGURACION!E:E,0)),""))
</f>
        <v/>
      </c>
      <c r="C145" s="31"/>
      <c r="D145" s="9"/>
      <c r="E145" s="6"/>
      <c r="F145" s="24"/>
      <c r="G145" s="9"/>
      <c r="H145" s="32"/>
      <c r="I145" s="33" t="str">
        <f>IFERROR(__xludf.DUMMYFUNCTION("IF(F145="""","""",LET(
  nombre, TRIM(F145),
  primer, REGEXEXTRACT(nombre, ""^\S+""),
  resto, TRIM(REGEXREPLACE(nombre, ""^\S+\s*"", """")),
  iniciales, IF(
    resto="""",
    """",
    TEXTJOIN("""",1,ARRAYFORMULA(LEFT(SPLIT(resto,"" ""),1) &amp; "".""))"&amp;"
  ),
  UPPER(primer) &amp; "" "" &amp; UPPER(iniciales)
))"),"")</f>
        <v/>
      </c>
      <c r="J145" s="33" t="str">
        <f>IFERROR(__xludf.DUMMYFUNCTION("IF(H145="""","""",IFERROR(
IF(REGEXMATCH(E145,""VELOCIDAD""),
   IF(H145&gt;=MAX(INDEX(BAREMOS!F:X,MATCH(1,(BAREMOS!A:A=A145)*(BAREMOS!B:B=B145)*(BAREMOS!C:C=C145)*(BAREMOS!D:D=D145),0),0)),1,
      IF(H145&lt;=MIN(INDEX(BAREMOS!F:X,MATCH(1,(BAREMOS!A:A=A145)*("&amp;"BAREMOS!B:B=B145)*(BAREMOS!C:C=C145)*(BAREMOS!D:D=D145),0),0)),19,
         MATCH(H145,INDEX(BAREMOS!F:X,MATCH(1,(BAREMOS!A:A=A145)*(BAREMOS!B:B=B145)*(BAREMOS!C:C=C145)*(BAREMOS!D:D=D145),0),0),-1)
      )
   ),
   IF(H145&lt;=MIN(INDEX(BAREMOS!F:X,MATCH(1,"&amp;"(BAREMOS!A:A=A145)*(BAREMOS!B:B=B145)*(BAREMOS!C:C=C145)*(BAREMOS!D:D=D145),0),0)),1,
      IF(H145&gt;=MAX(INDEX(BAREMOS!F:X,MATCH(1,(BAREMOS!A:A=A145)*(BAREMOS!B:B=B145)*(BAREMOS!C:C=C145)*(BAREMOS!D:D=D145),0),0)),19,
         MATCH(H145,INDEX(BAREMOS!F:X"&amp;",MATCH(1,(BAREMOS!A:A=A145)*(BAREMOS!B:B=B145)*(BAREMOS!C:C=C145)*(BAREMOS!D:D=D145),0),0),1)
      )
   )
)
,""""))
"),"")</f>
        <v/>
      </c>
      <c r="K145" s="34" t="str">
        <f t="shared" si="1"/>
        <v/>
      </c>
      <c r="L145" s="16"/>
      <c r="M145" s="16"/>
      <c r="N145" s="16"/>
      <c r="O145" s="16"/>
      <c r="P145" s="16"/>
      <c r="Q145" s="16"/>
      <c r="R145" s="16"/>
      <c r="S145" s="16"/>
      <c r="T145" s="16"/>
      <c r="U145" s="16"/>
      <c r="V145" s="16"/>
      <c r="W145" s="16"/>
      <c r="X145" s="16"/>
      <c r="Y145" s="16"/>
      <c r="Z145" s="16"/>
      <c r="AA145" s="16"/>
      <c r="AB145" s="16"/>
      <c r="AC145" s="16"/>
    </row>
    <row r="146">
      <c r="A146" s="22" t="str">
        <f t="array" ref="A146">IF(E146="","",IFERROR(INDEX(CONFIGURACION!C:C,MATCH(E146,CONFIGURACION!E:E,0)),""))
</f>
        <v/>
      </c>
      <c r="B146" s="22" t="str">
        <f t="array" ref="B146">IF(E146="","",IFERROR(INDEX(CONFIGURACION!D:D,MATCH(E146,CONFIGURACION!E:E,0)),""))
</f>
        <v/>
      </c>
      <c r="C146" s="31"/>
      <c r="D146" s="9"/>
      <c r="E146" s="6"/>
      <c r="F146" s="24"/>
      <c r="G146" s="9"/>
      <c r="H146" s="32"/>
      <c r="I146" s="33" t="str">
        <f>IFERROR(__xludf.DUMMYFUNCTION("IF(F146="""","""",LET(
  nombre, TRIM(F146),
  primer, REGEXEXTRACT(nombre, ""^\S+""),
  resto, TRIM(REGEXREPLACE(nombre, ""^\S+\s*"", """")),
  iniciales, IF(
    resto="""",
    """",
    TEXTJOIN("""",1,ARRAYFORMULA(LEFT(SPLIT(resto,"" ""),1) &amp; "".""))"&amp;"
  ),
  UPPER(primer) &amp; "" "" &amp; UPPER(iniciales)
))"),"")</f>
        <v/>
      </c>
      <c r="J146" s="33" t="str">
        <f>IFERROR(__xludf.DUMMYFUNCTION("IF(H146="""","""",IFERROR(
IF(REGEXMATCH(E146,""VELOCIDAD""),
   IF(H146&gt;=MAX(INDEX(BAREMOS!F:X,MATCH(1,(BAREMOS!A:A=A146)*(BAREMOS!B:B=B146)*(BAREMOS!C:C=C146)*(BAREMOS!D:D=D146),0),0)),1,
      IF(H146&lt;=MIN(INDEX(BAREMOS!F:X,MATCH(1,(BAREMOS!A:A=A146)*("&amp;"BAREMOS!B:B=B146)*(BAREMOS!C:C=C146)*(BAREMOS!D:D=D146),0),0)),19,
         MATCH(H146,INDEX(BAREMOS!F:X,MATCH(1,(BAREMOS!A:A=A146)*(BAREMOS!B:B=B146)*(BAREMOS!C:C=C146)*(BAREMOS!D:D=D146),0),0),-1)
      )
   ),
   IF(H146&lt;=MIN(INDEX(BAREMOS!F:X,MATCH(1,"&amp;"(BAREMOS!A:A=A146)*(BAREMOS!B:B=B146)*(BAREMOS!C:C=C146)*(BAREMOS!D:D=D146),0),0)),1,
      IF(H146&gt;=MAX(INDEX(BAREMOS!F:X,MATCH(1,(BAREMOS!A:A=A146)*(BAREMOS!B:B=B146)*(BAREMOS!C:C=C146)*(BAREMOS!D:D=D146),0),0)),19,
         MATCH(H146,INDEX(BAREMOS!F:X"&amp;",MATCH(1,(BAREMOS!A:A=A146)*(BAREMOS!B:B=B146)*(BAREMOS!C:C=C146)*(BAREMOS!D:D=D146),0),0),1)
      )
   )
)
,""""))
"),"")</f>
        <v/>
      </c>
      <c r="K146" s="34" t="str">
        <f t="shared" si="1"/>
        <v/>
      </c>
      <c r="L146" s="16"/>
      <c r="M146" s="16"/>
      <c r="N146" s="16"/>
      <c r="O146" s="16"/>
      <c r="P146" s="16"/>
      <c r="Q146" s="16"/>
      <c r="R146" s="16"/>
      <c r="S146" s="16"/>
      <c r="T146" s="16"/>
      <c r="U146" s="16"/>
      <c r="V146" s="16"/>
      <c r="W146" s="16"/>
      <c r="X146" s="16"/>
      <c r="Y146" s="16"/>
      <c r="Z146" s="16"/>
      <c r="AA146" s="16"/>
      <c r="AB146" s="16"/>
      <c r="AC146" s="16"/>
    </row>
    <row r="147">
      <c r="A147" s="22" t="str">
        <f t="array" ref="A147">IF(E147="","",IFERROR(INDEX(CONFIGURACION!C:C,MATCH(E147,CONFIGURACION!E:E,0)),""))
</f>
        <v/>
      </c>
      <c r="B147" s="22" t="str">
        <f t="array" ref="B147">IF(E147="","",IFERROR(INDEX(CONFIGURACION!D:D,MATCH(E147,CONFIGURACION!E:E,0)),""))
</f>
        <v/>
      </c>
      <c r="C147" s="31"/>
      <c r="D147" s="9"/>
      <c r="E147" s="6"/>
      <c r="F147" s="24"/>
      <c r="G147" s="9"/>
      <c r="H147" s="32"/>
      <c r="I147" s="33" t="str">
        <f>IFERROR(__xludf.DUMMYFUNCTION("IF(F147="""","""",LET(
  nombre, TRIM(F147),
  primer, REGEXEXTRACT(nombre, ""^\S+""),
  resto, TRIM(REGEXREPLACE(nombre, ""^\S+\s*"", """")),
  iniciales, IF(
    resto="""",
    """",
    TEXTJOIN("""",1,ARRAYFORMULA(LEFT(SPLIT(resto,"" ""),1) &amp; "".""))"&amp;"
  ),
  UPPER(primer) &amp; "" "" &amp; UPPER(iniciales)
))"),"")</f>
        <v/>
      </c>
      <c r="J147" s="33" t="str">
        <f>IFERROR(__xludf.DUMMYFUNCTION("IF(H147="""","""",IFERROR(
IF(REGEXMATCH(E147,""VELOCIDAD""),
   IF(H147&gt;=MAX(INDEX(BAREMOS!F:X,MATCH(1,(BAREMOS!A:A=A147)*(BAREMOS!B:B=B147)*(BAREMOS!C:C=C147)*(BAREMOS!D:D=D147),0),0)),1,
      IF(H147&lt;=MIN(INDEX(BAREMOS!F:X,MATCH(1,(BAREMOS!A:A=A147)*("&amp;"BAREMOS!B:B=B147)*(BAREMOS!C:C=C147)*(BAREMOS!D:D=D147),0),0)),19,
         MATCH(H147,INDEX(BAREMOS!F:X,MATCH(1,(BAREMOS!A:A=A147)*(BAREMOS!B:B=B147)*(BAREMOS!C:C=C147)*(BAREMOS!D:D=D147),0),0),-1)
      )
   ),
   IF(H147&lt;=MIN(INDEX(BAREMOS!F:X,MATCH(1,"&amp;"(BAREMOS!A:A=A147)*(BAREMOS!B:B=B147)*(BAREMOS!C:C=C147)*(BAREMOS!D:D=D147),0),0)),1,
      IF(H147&gt;=MAX(INDEX(BAREMOS!F:X,MATCH(1,(BAREMOS!A:A=A147)*(BAREMOS!B:B=B147)*(BAREMOS!C:C=C147)*(BAREMOS!D:D=D147),0),0)),19,
         MATCH(H147,INDEX(BAREMOS!F:X"&amp;",MATCH(1,(BAREMOS!A:A=A147)*(BAREMOS!B:B=B147)*(BAREMOS!C:C=C147)*(BAREMOS!D:D=D147),0),0),1)
      )
   )
)
,""""))
"),"")</f>
        <v/>
      </c>
      <c r="K147" s="34" t="str">
        <f t="shared" si="1"/>
        <v/>
      </c>
      <c r="L147" s="16"/>
      <c r="M147" s="16"/>
      <c r="N147" s="16"/>
      <c r="O147" s="16"/>
      <c r="P147" s="16"/>
      <c r="Q147" s="16"/>
      <c r="R147" s="16"/>
      <c r="S147" s="16"/>
      <c r="T147" s="16"/>
      <c r="U147" s="16"/>
      <c r="V147" s="16"/>
      <c r="W147" s="16"/>
      <c r="X147" s="16"/>
      <c r="Y147" s="16"/>
      <c r="Z147" s="16"/>
      <c r="AA147" s="16"/>
      <c r="AB147" s="16"/>
      <c r="AC147" s="16"/>
    </row>
    <row r="148">
      <c r="A148" s="22" t="str">
        <f t="array" ref="A148">IF(E148="","",IFERROR(INDEX(CONFIGURACION!C:C,MATCH(E148,CONFIGURACION!E:E,0)),""))
</f>
        <v/>
      </c>
      <c r="B148" s="22" t="str">
        <f t="array" ref="B148">IF(E148="","",IFERROR(INDEX(CONFIGURACION!D:D,MATCH(E148,CONFIGURACION!E:E,0)),""))
</f>
        <v/>
      </c>
      <c r="C148" s="31"/>
      <c r="D148" s="9"/>
      <c r="E148" s="6"/>
      <c r="F148" s="24"/>
      <c r="G148" s="9"/>
      <c r="H148" s="32"/>
      <c r="I148" s="33" t="str">
        <f>IFERROR(__xludf.DUMMYFUNCTION("IF(F148="""","""",LET(
  nombre, TRIM(F148),
  primer, REGEXEXTRACT(nombre, ""^\S+""),
  resto, TRIM(REGEXREPLACE(nombre, ""^\S+\s*"", """")),
  iniciales, IF(
    resto="""",
    """",
    TEXTJOIN("""",1,ARRAYFORMULA(LEFT(SPLIT(resto,"" ""),1) &amp; "".""))"&amp;"
  ),
  UPPER(primer) &amp; "" "" &amp; UPPER(iniciales)
))"),"")</f>
        <v/>
      </c>
      <c r="J148" s="33" t="str">
        <f>IFERROR(__xludf.DUMMYFUNCTION("IF(H148="""","""",IFERROR(
IF(REGEXMATCH(E148,""VELOCIDAD""),
   IF(H148&gt;=MAX(INDEX(BAREMOS!F:X,MATCH(1,(BAREMOS!A:A=A148)*(BAREMOS!B:B=B148)*(BAREMOS!C:C=C148)*(BAREMOS!D:D=D148),0),0)),1,
      IF(H148&lt;=MIN(INDEX(BAREMOS!F:X,MATCH(1,(BAREMOS!A:A=A148)*("&amp;"BAREMOS!B:B=B148)*(BAREMOS!C:C=C148)*(BAREMOS!D:D=D148),0),0)),19,
         MATCH(H148,INDEX(BAREMOS!F:X,MATCH(1,(BAREMOS!A:A=A148)*(BAREMOS!B:B=B148)*(BAREMOS!C:C=C148)*(BAREMOS!D:D=D148),0),0),-1)
      )
   ),
   IF(H148&lt;=MIN(INDEX(BAREMOS!F:X,MATCH(1,"&amp;"(BAREMOS!A:A=A148)*(BAREMOS!B:B=B148)*(BAREMOS!C:C=C148)*(BAREMOS!D:D=D148),0),0)),1,
      IF(H148&gt;=MAX(INDEX(BAREMOS!F:X,MATCH(1,(BAREMOS!A:A=A148)*(BAREMOS!B:B=B148)*(BAREMOS!C:C=C148)*(BAREMOS!D:D=D148),0),0)),19,
         MATCH(H148,INDEX(BAREMOS!F:X"&amp;",MATCH(1,(BAREMOS!A:A=A148)*(BAREMOS!B:B=B148)*(BAREMOS!C:C=C148)*(BAREMOS!D:D=D148),0),0),1)
      )
   )
)
,""""))
"),"")</f>
        <v/>
      </c>
      <c r="K148" s="34" t="str">
        <f t="shared" si="1"/>
        <v/>
      </c>
      <c r="L148" s="16"/>
      <c r="M148" s="16"/>
      <c r="N148" s="16"/>
      <c r="O148" s="16"/>
      <c r="P148" s="16"/>
      <c r="Q148" s="16"/>
      <c r="R148" s="16"/>
      <c r="S148" s="16"/>
      <c r="T148" s="16"/>
      <c r="U148" s="16"/>
      <c r="V148" s="16"/>
      <c r="W148" s="16"/>
      <c r="X148" s="16"/>
      <c r="Y148" s="16"/>
      <c r="Z148" s="16"/>
      <c r="AA148" s="16"/>
      <c r="AB148" s="16"/>
      <c r="AC148" s="16"/>
    </row>
    <row r="149">
      <c r="A149" s="22" t="str">
        <f t="array" ref="A149">IF(E149="","",IFERROR(INDEX(CONFIGURACION!C:C,MATCH(E149,CONFIGURACION!E:E,0)),""))
</f>
        <v/>
      </c>
      <c r="B149" s="22" t="str">
        <f t="array" ref="B149">IF(E149="","",IFERROR(INDEX(CONFIGURACION!D:D,MATCH(E149,CONFIGURACION!E:E,0)),""))
</f>
        <v/>
      </c>
      <c r="C149" s="31"/>
      <c r="D149" s="9"/>
      <c r="E149" s="6"/>
      <c r="F149" s="24"/>
      <c r="G149" s="9"/>
      <c r="H149" s="32"/>
      <c r="I149" s="33" t="str">
        <f>IFERROR(__xludf.DUMMYFUNCTION("IF(F149="""","""",LET(
  nombre, TRIM(F149),
  primer, REGEXEXTRACT(nombre, ""^\S+""),
  resto, TRIM(REGEXREPLACE(nombre, ""^\S+\s*"", """")),
  iniciales, IF(
    resto="""",
    """",
    TEXTJOIN("""",1,ARRAYFORMULA(LEFT(SPLIT(resto,"" ""),1) &amp; "".""))"&amp;"
  ),
  UPPER(primer) &amp; "" "" &amp; UPPER(iniciales)
))"),"")</f>
        <v/>
      </c>
      <c r="J149" s="33" t="str">
        <f>IFERROR(__xludf.DUMMYFUNCTION("IF(H149="""","""",IFERROR(
IF(REGEXMATCH(E149,""VELOCIDAD""),
   IF(H149&gt;=MAX(INDEX(BAREMOS!F:X,MATCH(1,(BAREMOS!A:A=A149)*(BAREMOS!B:B=B149)*(BAREMOS!C:C=C149)*(BAREMOS!D:D=D149),0),0)),1,
      IF(H149&lt;=MIN(INDEX(BAREMOS!F:X,MATCH(1,(BAREMOS!A:A=A149)*("&amp;"BAREMOS!B:B=B149)*(BAREMOS!C:C=C149)*(BAREMOS!D:D=D149),0),0)),19,
         MATCH(H149,INDEX(BAREMOS!F:X,MATCH(1,(BAREMOS!A:A=A149)*(BAREMOS!B:B=B149)*(BAREMOS!C:C=C149)*(BAREMOS!D:D=D149),0),0),-1)
      )
   ),
   IF(H149&lt;=MIN(INDEX(BAREMOS!F:X,MATCH(1,"&amp;"(BAREMOS!A:A=A149)*(BAREMOS!B:B=B149)*(BAREMOS!C:C=C149)*(BAREMOS!D:D=D149),0),0)),1,
      IF(H149&gt;=MAX(INDEX(BAREMOS!F:X,MATCH(1,(BAREMOS!A:A=A149)*(BAREMOS!B:B=B149)*(BAREMOS!C:C=C149)*(BAREMOS!D:D=D149),0),0)),19,
         MATCH(H149,INDEX(BAREMOS!F:X"&amp;",MATCH(1,(BAREMOS!A:A=A149)*(BAREMOS!B:B=B149)*(BAREMOS!C:C=C149)*(BAREMOS!D:D=D149),0),0),1)
      )
   )
)
,""""))
"),"")</f>
        <v/>
      </c>
      <c r="K149" s="34" t="str">
        <f t="shared" si="1"/>
        <v/>
      </c>
      <c r="L149" s="16"/>
      <c r="M149" s="16"/>
      <c r="N149" s="16"/>
      <c r="O149" s="16"/>
      <c r="P149" s="16"/>
      <c r="Q149" s="16"/>
      <c r="R149" s="16"/>
      <c r="S149" s="16"/>
      <c r="T149" s="16"/>
      <c r="U149" s="16"/>
      <c r="V149" s="16"/>
      <c r="W149" s="16"/>
      <c r="X149" s="16"/>
      <c r="Y149" s="16"/>
      <c r="Z149" s="16"/>
      <c r="AA149" s="16"/>
      <c r="AB149" s="16"/>
      <c r="AC149" s="16"/>
    </row>
    <row r="150">
      <c r="A150" s="22" t="str">
        <f t="array" ref="A150">IF(E150="","",IFERROR(INDEX(CONFIGURACION!C:C,MATCH(E150,CONFIGURACION!E:E,0)),""))
</f>
        <v/>
      </c>
      <c r="B150" s="22" t="str">
        <f t="array" ref="B150">IF(E150="","",IFERROR(INDEX(CONFIGURACION!D:D,MATCH(E150,CONFIGURACION!E:E,0)),""))
</f>
        <v/>
      </c>
      <c r="C150" s="31"/>
      <c r="D150" s="9"/>
      <c r="E150" s="6"/>
      <c r="F150" s="24"/>
      <c r="G150" s="9"/>
      <c r="H150" s="32"/>
      <c r="I150" s="33" t="str">
        <f>IFERROR(__xludf.DUMMYFUNCTION("IF(F150="""","""",LET(
  nombre, TRIM(F150),
  primer, REGEXEXTRACT(nombre, ""^\S+""),
  resto, TRIM(REGEXREPLACE(nombre, ""^\S+\s*"", """")),
  iniciales, IF(
    resto="""",
    """",
    TEXTJOIN("""",1,ARRAYFORMULA(LEFT(SPLIT(resto,"" ""),1) &amp; "".""))"&amp;"
  ),
  UPPER(primer) &amp; "" "" &amp; UPPER(iniciales)
))"),"")</f>
        <v/>
      </c>
      <c r="J150" s="33" t="str">
        <f>IFERROR(__xludf.DUMMYFUNCTION("IF(H150="""","""",IFERROR(
IF(REGEXMATCH(E150,""VELOCIDAD""),
   IF(H150&gt;=MAX(INDEX(BAREMOS!F:X,MATCH(1,(BAREMOS!A:A=A150)*(BAREMOS!B:B=B150)*(BAREMOS!C:C=C150)*(BAREMOS!D:D=D150),0),0)),1,
      IF(H150&lt;=MIN(INDEX(BAREMOS!F:X,MATCH(1,(BAREMOS!A:A=A150)*("&amp;"BAREMOS!B:B=B150)*(BAREMOS!C:C=C150)*(BAREMOS!D:D=D150),0),0)),19,
         MATCH(H150,INDEX(BAREMOS!F:X,MATCH(1,(BAREMOS!A:A=A150)*(BAREMOS!B:B=B150)*(BAREMOS!C:C=C150)*(BAREMOS!D:D=D150),0),0),-1)
      )
   ),
   IF(H150&lt;=MIN(INDEX(BAREMOS!F:X,MATCH(1,"&amp;"(BAREMOS!A:A=A150)*(BAREMOS!B:B=B150)*(BAREMOS!C:C=C150)*(BAREMOS!D:D=D150),0),0)),1,
      IF(H150&gt;=MAX(INDEX(BAREMOS!F:X,MATCH(1,(BAREMOS!A:A=A150)*(BAREMOS!B:B=B150)*(BAREMOS!C:C=C150)*(BAREMOS!D:D=D150),0),0)),19,
         MATCH(H150,INDEX(BAREMOS!F:X"&amp;",MATCH(1,(BAREMOS!A:A=A150)*(BAREMOS!B:B=B150)*(BAREMOS!C:C=C150)*(BAREMOS!D:D=D150),0),0),1)
      )
   )
)
,""""))
"),"")</f>
        <v/>
      </c>
      <c r="K150" s="34" t="str">
        <f t="shared" si="1"/>
        <v/>
      </c>
      <c r="L150" s="16"/>
      <c r="M150" s="16"/>
      <c r="N150" s="16"/>
      <c r="O150" s="16"/>
      <c r="P150" s="16"/>
      <c r="Q150" s="16"/>
      <c r="R150" s="16"/>
      <c r="S150" s="16"/>
      <c r="T150" s="16"/>
      <c r="U150" s="16"/>
      <c r="V150" s="16"/>
      <c r="W150" s="16"/>
      <c r="X150" s="16"/>
      <c r="Y150" s="16"/>
      <c r="Z150" s="16"/>
      <c r="AA150" s="16"/>
      <c r="AB150" s="16"/>
      <c r="AC150" s="16"/>
    </row>
    <row r="151">
      <c r="A151" s="22" t="str">
        <f t="array" ref="A151">IF(E151="","",IFERROR(INDEX(CONFIGURACION!C:C,MATCH(E151,CONFIGURACION!E:E,0)),""))
</f>
        <v/>
      </c>
      <c r="B151" s="22" t="str">
        <f t="array" ref="B151">IF(E151="","",IFERROR(INDEX(CONFIGURACION!D:D,MATCH(E151,CONFIGURACION!E:E,0)),""))
</f>
        <v/>
      </c>
      <c r="C151" s="31"/>
      <c r="D151" s="9"/>
      <c r="E151" s="6"/>
      <c r="F151" s="24"/>
      <c r="G151" s="9"/>
      <c r="H151" s="32"/>
      <c r="I151" s="33" t="str">
        <f>IFERROR(__xludf.DUMMYFUNCTION("IF(F151="""","""",LET(
  nombre, TRIM(F151),
  primer, REGEXEXTRACT(nombre, ""^\S+""),
  resto, TRIM(REGEXREPLACE(nombre, ""^\S+\s*"", """")),
  iniciales, IF(
    resto="""",
    """",
    TEXTJOIN("""",1,ARRAYFORMULA(LEFT(SPLIT(resto,"" ""),1) &amp; "".""))"&amp;"
  ),
  UPPER(primer) &amp; "" "" &amp; UPPER(iniciales)
))"),"")</f>
        <v/>
      </c>
      <c r="J151" s="33" t="str">
        <f>IFERROR(__xludf.DUMMYFUNCTION("IF(H151="""","""",IFERROR(
IF(REGEXMATCH(E151,""VELOCIDAD""),
   IF(H151&gt;=MAX(INDEX(BAREMOS!F:X,MATCH(1,(BAREMOS!A:A=A151)*(BAREMOS!B:B=B151)*(BAREMOS!C:C=C151)*(BAREMOS!D:D=D151),0),0)),1,
      IF(H151&lt;=MIN(INDEX(BAREMOS!F:X,MATCH(1,(BAREMOS!A:A=A151)*("&amp;"BAREMOS!B:B=B151)*(BAREMOS!C:C=C151)*(BAREMOS!D:D=D151),0),0)),19,
         MATCH(H151,INDEX(BAREMOS!F:X,MATCH(1,(BAREMOS!A:A=A151)*(BAREMOS!B:B=B151)*(BAREMOS!C:C=C151)*(BAREMOS!D:D=D151),0),0),-1)
      )
   ),
   IF(H151&lt;=MIN(INDEX(BAREMOS!F:X,MATCH(1,"&amp;"(BAREMOS!A:A=A151)*(BAREMOS!B:B=B151)*(BAREMOS!C:C=C151)*(BAREMOS!D:D=D151),0),0)),1,
      IF(H151&gt;=MAX(INDEX(BAREMOS!F:X,MATCH(1,(BAREMOS!A:A=A151)*(BAREMOS!B:B=B151)*(BAREMOS!C:C=C151)*(BAREMOS!D:D=D151),0),0)),19,
         MATCH(H151,INDEX(BAREMOS!F:X"&amp;",MATCH(1,(BAREMOS!A:A=A151)*(BAREMOS!B:B=B151)*(BAREMOS!C:C=C151)*(BAREMOS!D:D=D151),0),0),1)
      )
   )
)
,""""))
"),"")</f>
        <v/>
      </c>
      <c r="K151" s="34" t="str">
        <f t="shared" si="1"/>
        <v/>
      </c>
      <c r="L151" s="16"/>
      <c r="M151" s="16"/>
      <c r="N151" s="16"/>
      <c r="O151" s="16"/>
      <c r="P151" s="16"/>
      <c r="Q151" s="16"/>
      <c r="R151" s="16"/>
      <c r="S151" s="16"/>
      <c r="T151" s="16"/>
      <c r="U151" s="16"/>
      <c r="V151" s="16"/>
      <c r="W151" s="16"/>
      <c r="X151" s="16"/>
      <c r="Y151" s="16"/>
      <c r="Z151" s="16"/>
      <c r="AA151" s="16"/>
      <c r="AB151" s="16"/>
      <c r="AC151" s="16"/>
    </row>
    <row r="152">
      <c r="A152" s="22" t="str">
        <f t="array" ref="A152">IF(E152="","",IFERROR(INDEX(CONFIGURACION!C:C,MATCH(E152,CONFIGURACION!E:E,0)),""))
</f>
        <v/>
      </c>
      <c r="B152" s="22" t="str">
        <f t="array" ref="B152">IF(E152="","",IFERROR(INDEX(CONFIGURACION!D:D,MATCH(E152,CONFIGURACION!E:E,0)),""))
</f>
        <v/>
      </c>
      <c r="C152" s="31"/>
      <c r="D152" s="9"/>
      <c r="E152" s="6"/>
      <c r="F152" s="24"/>
      <c r="G152" s="9"/>
      <c r="H152" s="32"/>
      <c r="I152" s="33" t="str">
        <f>IFERROR(__xludf.DUMMYFUNCTION("IF(F152="""","""",LET(
  nombre, TRIM(F152),
  primer, REGEXEXTRACT(nombre, ""^\S+""),
  resto, TRIM(REGEXREPLACE(nombre, ""^\S+\s*"", """")),
  iniciales, IF(
    resto="""",
    """",
    TEXTJOIN("""",1,ARRAYFORMULA(LEFT(SPLIT(resto,"" ""),1) &amp; "".""))"&amp;"
  ),
  UPPER(primer) &amp; "" "" &amp; UPPER(iniciales)
))"),"")</f>
        <v/>
      </c>
      <c r="J152" s="33" t="str">
        <f>IFERROR(__xludf.DUMMYFUNCTION("IF(H152="""","""",IFERROR(
IF(REGEXMATCH(E152,""VELOCIDAD""),
   IF(H152&gt;=MAX(INDEX(BAREMOS!F:X,MATCH(1,(BAREMOS!A:A=A152)*(BAREMOS!B:B=B152)*(BAREMOS!C:C=C152)*(BAREMOS!D:D=D152),0),0)),1,
      IF(H152&lt;=MIN(INDEX(BAREMOS!F:X,MATCH(1,(BAREMOS!A:A=A152)*("&amp;"BAREMOS!B:B=B152)*(BAREMOS!C:C=C152)*(BAREMOS!D:D=D152),0),0)),19,
         MATCH(H152,INDEX(BAREMOS!F:X,MATCH(1,(BAREMOS!A:A=A152)*(BAREMOS!B:B=B152)*(BAREMOS!C:C=C152)*(BAREMOS!D:D=D152),0),0),-1)
      )
   ),
   IF(H152&lt;=MIN(INDEX(BAREMOS!F:X,MATCH(1,"&amp;"(BAREMOS!A:A=A152)*(BAREMOS!B:B=B152)*(BAREMOS!C:C=C152)*(BAREMOS!D:D=D152),0),0)),1,
      IF(H152&gt;=MAX(INDEX(BAREMOS!F:X,MATCH(1,(BAREMOS!A:A=A152)*(BAREMOS!B:B=B152)*(BAREMOS!C:C=C152)*(BAREMOS!D:D=D152),0),0)),19,
         MATCH(H152,INDEX(BAREMOS!F:X"&amp;",MATCH(1,(BAREMOS!A:A=A152)*(BAREMOS!B:B=B152)*(BAREMOS!C:C=C152)*(BAREMOS!D:D=D152),0),0),1)
      )
   )
)
,""""))
"),"")</f>
        <v/>
      </c>
      <c r="K152" s="34" t="str">
        <f t="shared" si="1"/>
        <v/>
      </c>
      <c r="L152" s="16"/>
      <c r="M152" s="16"/>
      <c r="N152" s="16"/>
      <c r="O152" s="16"/>
      <c r="P152" s="16"/>
      <c r="Q152" s="16"/>
      <c r="R152" s="16"/>
      <c r="S152" s="16"/>
      <c r="T152" s="16"/>
      <c r="U152" s="16"/>
      <c r="V152" s="16"/>
      <c r="W152" s="16"/>
      <c r="X152" s="16"/>
      <c r="Y152" s="16"/>
      <c r="Z152" s="16"/>
      <c r="AA152" s="16"/>
      <c r="AB152" s="16"/>
      <c r="AC152" s="16"/>
    </row>
    <row r="153">
      <c r="A153" s="22" t="str">
        <f t="array" ref="A153">IF(E153="","",IFERROR(INDEX(CONFIGURACION!C:C,MATCH(E153,CONFIGURACION!E:E,0)),""))
</f>
        <v/>
      </c>
      <c r="B153" s="22" t="str">
        <f t="array" ref="B153">IF(E153="","",IFERROR(INDEX(CONFIGURACION!D:D,MATCH(E153,CONFIGURACION!E:E,0)),""))
</f>
        <v/>
      </c>
      <c r="C153" s="31"/>
      <c r="D153" s="9"/>
      <c r="E153" s="6"/>
      <c r="F153" s="24"/>
      <c r="G153" s="9"/>
      <c r="H153" s="32"/>
      <c r="I153" s="33" t="str">
        <f>IFERROR(__xludf.DUMMYFUNCTION("IF(F153="""","""",LET(
  nombre, TRIM(F153),
  primer, REGEXEXTRACT(nombre, ""^\S+""),
  resto, TRIM(REGEXREPLACE(nombre, ""^\S+\s*"", """")),
  iniciales, IF(
    resto="""",
    """",
    TEXTJOIN("""",1,ARRAYFORMULA(LEFT(SPLIT(resto,"" ""),1) &amp; "".""))"&amp;"
  ),
  UPPER(primer) &amp; "" "" &amp; UPPER(iniciales)
))"),"")</f>
        <v/>
      </c>
      <c r="J153" s="33" t="str">
        <f>IFERROR(__xludf.DUMMYFUNCTION("IF(H153="""","""",IFERROR(
IF(REGEXMATCH(E153,""VELOCIDAD""),
   IF(H153&gt;=MAX(INDEX(BAREMOS!F:X,MATCH(1,(BAREMOS!A:A=A153)*(BAREMOS!B:B=B153)*(BAREMOS!C:C=C153)*(BAREMOS!D:D=D153),0),0)),1,
      IF(H153&lt;=MIN(INDEX(BAREMOS!F:X,MATCH(1,(BAREMOS!A:A=A153)*("&amp;"BAREMOS!B:B=B153)*(BAREMOS!C:C=C153)*(BAREMOS!D:D=D153),0),0)),19,
         MATCH(H153,INDEX(BAREMOS!F:X,MATCH(1,(BAREMOS!A:A=A153)*(BAREMOS!B:B=B153)*(BAREMOS!C:C=C153)*(BAREMOS!D:D=D153),0),0),-1)
      )
   ),
   IF(H153&lt;=MIN(INDEX(BAREMOS!F:X,MATCH(1,"&amp;"(BAREMOS!A:A=A153)*(BAREMOS!B:B=B153)*(BAREMOS!C:C=C153)*(BAREMOS!D:D=D153),0),0)),1,
      IF(H153&gt;=MAX(INDEX(BAREMOS!F:X,MATCH(1,(BAREMOS!A:A=A153)*(BAREMOS!B:B=B153)*(BAREMOS!C:C=C153)*(BAREMOS!D:D=D153),0),0)),19,
         MATCH(H153,INDEX(BAREMOS!F:X"&amp;",MATCH(1,(BAREMOS!A:A=A153)*(BAREMOS!B:B=B153)*(BAREMOS!C:C=C153)*(BAREMOS!D:D=D153),0),0),1)
      )
   )
)
,""""))
"),"")</f>
        <v/>
      </c>
      <c r="K153" s="34" t="str">
        <f t="shared" si="1"/>
        <v/>
      </c>
      <c r="L153" s="16"/>
      <c r="M153" s="16"/>
      <c r="N153" s="16"/>
      <c r="O153" s="16"/>
      <c r="P153" s="16"/>
      <c r="Q153" s="16"/>
      <c r="R153" s="16"/>
      <c r="S153" s="16"/>
      <c r="T153" s="16"/>
      <c r="U153" s="16"/>
      <c r="V153" s="16"/>
      <c r="W153" s="16"/>
      <c r="X153" s="16"/>
      <c r="Y153" s="16"/>
      <c r="Z153" s="16"/>
      <c r="AA153" s="16"/>
      <c r="AB153" s="16"/>
      <c r="AC153" s="16"/>
    </row>
    <row r="154">
      <c r="A154" s="22" t="str">
        <f t="array" ref="A154">IF(E154="","",IFERROR(INDEX(CONFIGURACION!C:C,MATCH(E154,CONFIGURACION!E:E,0)),""))
</f>
        <v/>
      </c>
      <c r="B154" s="22" t="str">
        <f t="array" ref="B154">IF(E154="","",IFERROR(INDEX(CONFIGURACION!D:D,MATCH(E154,CONFIGURACION!E:E,0)),""))
</f>
        <v/>
      </c>
      <c r="C154" s="31"/>
      <c r="D154" s="9"/>
      <c r="E154" s="6"/>
      <c r="F154" s="24"/>
      <c r="G154" s="9"/>
      <c r="H154" s="32"/>
      <c r="I154" s="33" t="str">
        <f>IFERROR(__xludf.DUMMYFUNCTION("IF(F154="""","""",LET(
  nombre, TRIM(F154),
  primer, REGEXEXTRACT(nombre, ""^\S+""),
  resto, TRIM(REGEXREPLACE(nombre, ""^\S+\s*"", """")),
  iniciales, IF(
    resto="""",
    """",
    TEXTJOIN("""",1,ARRAYFORMULA(LEFT(SPLIT(resto,"" ""),1) &amp; "".""))"&amp;"
  ),
  UPPER(primer) &amp; "" "" &amp; UPPER(iniciales)
))"),"")</f>
        <v/>
      </c>
      <c r="J154" s="33" t="str">
        <f>IFERROR(__xludf.DUMMYFUNCTION("IF(H154="""","""",IFERROR(
IF(REGEXMATCH(E154,""VELOCIDAD""),
   IF(H154&gt;=MAX(INDEX(BAREMOS!F:X,MATCH(1,(BAREMOS!A:A=A154)*(BAREMOS!B:B=B154)*(BAREMOS!C:C=C154)*(BAREMOS!D:D=D154),0),0)),1,
      IF(H154&lt;=MIN(INDEX(BAREMOS!F:X,MATCH(1,(BAREMOS!A:A=A154)*("&amp;"BAREMOS!B:B=B154)*(BAREMOS!C:C=C154)*(BAREMOS!D:D=D154),0),0)),19,
         MATCH(H154,INDEX(BAREMOS!F:X,MATCH(1,(BAREMOS!A:A=A154)*(BAREMOS!B:B=B154)*(BAREMOS!C:C=C154)*(BAREMOS!D:D=D154),0),0),-1)
      )
   ),
   IF(H154&lt;=MIN(INDEX(BAREMOS!F:X,MATCH(1,"&amp;"(BAREMOS!A:A=A154)*(BAREMOS!B:B=B154)*(BAREMOS!C:C=C154)*(BAREMOS!D:D=D154),0),0)),1,
      IF(H154&gt;=MAX(INDEX(BAREMOS!F:X,MATCH(1,(BAREMOS!A:A=A154)*(BAREMOS!B:B=B154)*(BAREMOS!C:C=C154)*(BAREMOS!D:D=D154),0),0)),19,
         MATCH(H154,INDEX(BAREMOS!F:X"&amp;",MATCH(1,(BAREMOS!A:A=A154)*(BAREMOS!B:B=B154)*(BAREMOS!C:C=C154)*(BAREMOS!D:D=D154),0),0),1)
      )
   )
)
,""""))
"),"")</f>
        <v/>
      </c>
      <c r="K154" s="34" t="str">
        <f t="shared" si="1"/>
        <v/>
      </c>
      <c r="L154" s="16"/>
      <c r="M154" s="16"/>
      <c r="N154" s="16"/>
      <c r="O154" s="16"/>
      <c r="P154" s="16"/>
      <c r="Q154" s="16"/>
      <c r="R154" s="16"/>
      <c r="S154" s="16"/>
      <c r="T154" s="16"/>
      <c r="U154" s="16"/>
      <c r="V154" s="16"/>
      <c r="W154" s="16"/>
      <c r="X154" s="16"/>
      <c r="Y154" s="16"/>
      <c r="Z154" s="16"/>
      <c r="AA154" s="16"/>
      <c r="AB154" s="16"/>
      <c r="AC154" s="16"/>
    </row>
    <row r="155">
      <c r="A155" s="22" t="str">
        <f t="array" ref="A155">IF(E155="","",IFERROR(INDEX(CONFIGURACION!C:C,MATCH(E155,CONFIGURACION!E:E,0)),""))
</f>
        <v/>
      </c>
      <c r="B155" s="22" t="str">
        <f t="array" ref="B155">IF(E155="","",IFERROR(INDEX(CONFIGURACION!D:D,MATCH(E155,CONFIGURACION!E:E,0)),""))
</f>
        <v/>
      </c>
      <c r="C155" s="31"/>
      <c r="D155" s="9"/>
      <c r="E155" s="6"/>
      <c r="F155" s="24"/>
      <c r="G155" s="9"/>
      <c r="H155" s="32"/>
      <c r="I155" s="33" t="str">
        <f>IFERROR(__xludf.DUMMYFUNCTION("IF(F155="""","""",LET(
  nombre, TRIM(F155),
  primer, REGEXEXTRACT(nombre, ""^\S+""),
  resto, TRIM(REGEXREPLACE(nombre, ""^\S+\s*"", """")),
  iniciales, IF(
    resto="""",
    """",
    TEXTJOIN("""",1,ARRAYFORMULA(LEFT(SPLIT(resto,"" ""),1) &amp; "".""))"&amp;"
  ),
  UPPER(primer) &amp; "" "" &amp; UPPER(iniciales)
))"),"")</f>
        <v/>
      </c>
      <c r="J155" s="33" t="str">
        <f>IFERROR(__xludf.DUMMYFUNCTION("IF(H155="""","""",IFERROR(
IF(REGEXMATCH(E155,""VELOCIDAD""),
   IF(H155&gt;=MAX(INDEX(BAREMOS!F:X,MATCH(1,(BAREMOS!A:A=A155)*(BAREMOS!B:B=B155)*(BAREMOS!C:C=C155)*(BAREMOS!D:D=D155),0),0)),1,
      IF(H155&lt;=MIN(INDEX(BAREMOS!F:X,MATCH(1,(BAREMOS!A:A=A155)*("&amp;"BAREMOS!B:B=B155)*(BAREMOS!C:C=C155)*(BAREMOS!D:D=D155),0),0)),19,
         MATCH(H155,INDEX(BAREMOS!F:X,MATCH(1,(BAREMOS!A:A=A155)*(BAREMOS!B:B=B155)*(BAREMOS!C:C=C155)*(BAREMOS!D:D=D155),0),0),-1)
      )
   ),
   IF(H155&lt;=MIN(INDEX(BAREMOS!F:X,MATCH(1,"&amp;"(BAREMOS!A:A=A155)*(BAREMOS!B:B=B155)*(BAREMOS!C:C=C155)*(BAREMOS!D:D=D155),0),0)),1,
      IF(H155&gt;=MAX(INDEX(BAREMOS!F:X,MATCH(1,(BAREMOS!A:A=A155)*(BAREMOS!B:B=B155)*(BAREMOS!C:C=C155)*(BAREMOS!D:D=D155),0),0)),19,
         MATCH(H155,INDEX(BAREMOS!F:X"&amp;",MATCH(1,(BAREMOS!A:A=A155)*(BAREMOS!B:B=B155)*(BAREMOS!C:C=C155)*(BAREMOS!D:D=D155),0),0),1)
      )
   )
)
,""""))
"),"")</f>
        <v/>
      </c>
      <c r="K155" s="34" t="str">
        <f t="shared" si="1"/>
        <v/>
      </c>
      <c r="L155" s="16"/>
      <c r="M155" s="16"/>
      <c r="N155" s="16"/>
      <c r="O155" s="16"/>
      <c r="P155" s="16"/>
      <c r="Q155" s="16"/>
      <c r="R155" s="16"/>
      <c r="S155" s="16"/>
      <c r="T155" s="16"/>
      <c r="U155" s="16"/>
      <c r="V155" s="16"/>
      <c r="W155" s="16"/>
      <c r="X155" s="16"/>
      <c r="Y155" s="16"/>
      <c r="Z155" s="16"/>
      <c r="AA155" s="16"/>
      <c r="AB155" s="16"/>
      <c r="AC155" s="16"/>
    </row>
    <row r="156">
      <c r="A156" s="22" t="str">
        <f t="array" ref="A156">IF(E156="","",IFERROR(INDEX(CONFIGURACION!C:C,MATCH(E156,CONFIGURACION!E:E,0)),""))
</f>
        <v/>
      </c>
      <c r="B156" s="22" t="str">
        <f t="array" ref="B156">IF(E156="","",IFERROR(INDEX(CONFIGURACION!D:D,MATCH(E156,CONFIGURACION!E:E,0)),""))
</f>
        <v/>
      </c>
      <c r="C156" s="31"/>
      <c r="D156" s="9"/>
      <c r="E156" s="6"/>
      <c r="F156" s="24"/>
      <c r="G156" s="9"/>
      <c r="H156" s="32"/>
      <c r="I156" s="33" t="str">
        <f>IFERROR(__xludf.DUMMYFUNCTION("IF(F156="""","""",LET(
  nombre, TRIM(F156),
  primer, REGEXEXTRACT(nombre, ""^\S+""),
  resto, TRIM(REGEXREPLACE(nombre, ""^\S+\s*"", """")),
  iniciales, IF(
    resto="""",
    """",
    TEXTJOIN("""",1,ARRAYFORMULA(LEFT(SPLIT(resto,"" ""),1) &amp; "".""))"&amp;"
  ),
  UPPER(primer) &amp; "" "" &amp; UPPER(iniciales)
))"),"")</f>
        <v/>
      </c>
      <c r="J156" s="33" t="str">
        <f>IFERROR(__xludf.DUMMYFUNCTION("IF(H156="""","""",IFERROR(
IF(REGEXMATCH(E156,""VELOCIDAD""),
   IF(H156&gt;=MAX(INDEX(BAREMOS!F:X,MATCH(1,(BAREMOS!A:A=A156)*(BAREMOS!B:B=B156)*(BAREMOS!C:C=C156)*(BAREMOS!D:D=D156),0),0)),1,
      IF(H156&lt;=MIN(INDEX(BAREMOS!F:X,MATCH(1,(BAREMOS!A:A=A156)*("&amp;"BAREMOS!B:B=B156)*(BAREMOS!C:C=C156)*(BAREMOS!D:D=D156),0),0)),19,
         MATCH(H156,INDEX(BAREMOS!F:X,MATCH(1,(BAREMOS!A:A=A156)*(BAREMOS!B:B=B156)*(BAREMOS!C:C=C156)*(BAREMOS!D:D=D156),0),0),-1)
      )
   ),
   IF(H156&lt;=MIN(INDEX(BAREMOS!F:X,MATCH(1,"&amp;"(BAREMOS!A:A=A156)*(BAREMOS!B:B=B156)*(BAREMOS!C:C=C156)*(BAREMOS!D:D=D156),0),0)),1,
      IF(H156&gt;=MAX(INDEX(BAREMOS!F:X,MATCH(1,(BAREMOS!A:A=A156)*(BAREMOS!B:B=B156)*(BAREMOS!C:C=C156)*(BAREMOS!D:D=D156),0),0)),19,
         MATCH(H156,INDEX(BAREMOS!F:X"&amp;",MATCH(1,(BAREMOS!A:A=A156)*(BAREMOS!B:B=B156)*(BAREMOS!C:C=C156)*(BAREMOS!D:D=D156),0),0),1)
      )
   )
)
,""""))
"),"")</f>
        <v/>
      </c>
      <c r="K156" s="34" t="str">
        <f t="shared" si="1"/>
        <v/>
      </c>
      <c r="L156" s="16"/>
      <c r="M156" s="16"/>
      <c r="N156" s="16"/>
      <c r="O156" s="16"/>
      <c r="P156" s="16"/>
      <c r="Q156" s="16"/>
      <c r="R156" s="16"/>
      <c r="S156" s="16"/>
      <c r="T156" s="16"/>
      <c r="U156" s="16"/>
      <c r="V156" s="16"/>
      <c r="W156" s="16"/>
      <c r="X156" s="16"/>
      <c r="Y156" s="16"/>
      <c r="Z156" s="16"/>
      <c r="AA156" s="16"/>
      <c r="AB156" s="16"/>
      <c r="AC156" s="16"/>
    </row>
    <row r="157">
      <c r="A157" s="22" t="str">
        <f t="array" ref="A157">IF(E157="","",IFERROR(INDEX(CONFIGURACION!C:C,MATCH(E157,CONFIGURACION!E:E,0)),""))
</f>
        <v/>
      </c>
      <c r="B157" s="22" t="str">
        <f t="array" ref="B157">IF(E157="","",IFERROR(INDEX(CONFIGURACION!D:D,MATCH(E157,CONFIGURACION!E:E,0)),""))
</f>
        <v/>
      </c>
      <c r="C157" s="31"/>
      <c r="D157" s="9"/>
      <c r="E157" s="6"/>
      <c r="F157" s="24"/>
      <c r="G157" s="9"/>
      <c r="H157" s="32"/>
      <c r="I157" s="33" t="str">
        <f>IFERROR(__xludf.DUMMYFUNCTION("IF(F157="""","""",LET(
  nombre, TRIM(F157),
  primer, REGEXEXTRACT(nombre, ""^\S+""),
  resto, TRIM(REGEXREPLACE(nombre, ""^\S+\s*"", """")),
  iniciales, IF(
    resto="""",
    """",
    TEXTJOIN("""",1,ARRAYFORMULA(LEFT(SPLIT(resto,"" ""),1) &amp; "".""))"&amp;"
  ),
  UPPER(primer) &amp; "" "" &amp; UPPER(iniciales)
))"),"")</f>
        <v/>
      </c>
      <c r="J157" s="33" t="str">
        <f>IFERROR(__xludf.DUMMYFUNCTION("IF(H157="""","""",IFERROR(
IF(REGEXMATCH(E157,""VELOCIDAD""),
   IF(H157&gt;=MAX(INDEX(BAREMOS!F:X,MATCH(1,(BAREMOS!A:A=A157)*(BAREMOS!B:B=B157)*(BAREMOS!C:C=C157)*(BAREMOS!D:D=D157),0),0)),1,
      IF(H157&lt;=MIN(INDEX(BAREMOS!F:X,MATCH(1,(BAREMOS!A:A=A157)*("&amp;"BAREMOS!B:B=B157)*(BAREMOS!C:C=C157)*(BAREMOS!D:D=D157),0),0)),19,
         MATCH(H157,INDEX(BAREMOS!F:X,MATCH(1,(BAREMOS!A:A=A157)*(BAREMOS!B:B=B157)*(BAREMOS!C:C=C157)*(BAREMOS!D:D=D157),0),0),-1)
      )
   ),
   IF(H157&lt;=MIN(INDEX(BAREMOS!F:X,MATCH(1,"&amp;"(BAREMOS!A:A=A157)*(BAREMOS!B:B=B157)*(BAREMOS!C:C=C157)*(BAREMOS!D:D=D157),0),0)),1,
      IF(H157&gt;=MAX(INDEX(BAREMOS!F:X,MATCH(1,(BAREMOS!A:A=A157)*(BAREMOS!B:B=B157)*(BAREMOS!C:C=C157)*(BAREMOS!D:D=D157),0),0)),19,
         MATCH(H157,INDEX(BAREMOS!F:X"&amp;",MATCH(1,(BAREMOS!A:A=A157)*(BAREMOS!B:B=B157)*(BAREMOS!C:C=C157)*(BAREMOS!D:D=D157),0),0),1)
      )
   )
)
,""""))
"),"")</f>
        <v/>
      </c>
      <c r="K157" s="34" t="str">
        <f t="shared" si="1"/>
        <v/>
      </c>
      <c r="L157" s="16"/>
      <c r="M157" s="16"/>
      <c r="N157" s="16"/>
      <c r="O157" s="16"/>
      <c r="P157" s="16"/>
      <c r="Q157" s="16"/>
      <c r="R157" s="16"/>
      <c r="S157" s="16"/>
      <c r="T157" s="16"/>
      <c r="U157" s="16"/>
      <c r="V157" s="16"/>
      <c r="W157" s="16"/>
      <c r="X157" s="16"/>
      <c r="Y157" s="16"/>
      <c r="Z157" s="16"/>
      <c r="AA157" s="16"/>
      <c r="AB157" s="16"/>
      <c r="AC157" s="16"/>
    </row>
    <row r="158">
      <c r="A158" s="22" t="str">
        <f t="array" ref="A158">IF(E158="","",IFERROR(INDEX(CONFIGURACION!C:C,MATCH(E158,CONFIGURACION!E:E,0)),""))
</f>
        <v/>
      </c>
      <c r="B158" s="22" t="str">
        <f t="array" ref="B158">IF(E158="","",IFERROR(INDEX(CONFIGURACION!D:D,MATCH(E158,CONFIGURACION!E:E,0)),""))
</f>
        <v/>
      </c>
      <c r="C158" s="31"/>
      <c r="D158" s="9"/>
      <c r="E158" s="6"/>
      <c r="F158" s="24"/>
      <c r="G158" s="9"/>
      <c r="H158" s="32"/>
      <c r="I158" s="33" t="str">
        <f>IFERROR(__xludf.DUMMYFUNCTION("IF(F158="""","""",LET(
  nombre, TRIM(F158),
  primer, REGEXEXTRACT(nombre, ""^\S+""),
  resto, TRIM(REGEXREPLACE(nombre, ""^\S+\s*"", """")),
  iniciales, IF(
    resto="""",
    """",
    TEXTJOIN("""",1,ARRAYFORMULA(LEFT(SPLIT(resto,"" ""),1) &amp; "".""))"&amp;"
  ),
  UPPER(primer) &amp; "" "" &amp; UPPER(iniciales)
))"),"")</f>
        <v/>
      </c>
      <c r="J158" s="33" t="str">
        <f>IFERROR(__xludf.DUMMYFUNCTION("IF(H158="""","""",IFERROR(
IF(REGEXMATCH(E158,""VELOCIDAD""),
   IF(H158&gt;=MAX(INDEX(BAREMOS!F:X,MATCH(1,(BAREMOS!A:A=A158)*(BAREMOS!B:B=B158)*(BAREMOS!C:C=C158)*(BAREMOS!D:D=D158),0),0)),1,
      IF(H158&lt;=MIN(INDEX(BAREMOS!F:X,MATCH(1,(BAREMOS!A:A=A158)*("&amp;"BAREMOS!B:B=B158)*(BAREMOS!C:C=C158)*(BAREMOS!D:D=D158),0),0)),19,
         MATCH(H158,INDEX(BAREMOS!F:X,MATCH(1,(BAREMOS!A:A=A158)*(BAREMOS!B:B=B158)*(BAREMOS!C:C=C158)*(BAREMOS!D:D=D158),0),0),-1)
      )
   ),
   IF(H158&lt;=MIN(INDEX(BAREMOS!F:X,MATCH(1,"&amp;"(BAREMOS!A:A=A158)*(BAREMOS!B:B=B158)*(BAREMOS!C:C=C158)*(BAREMOS!D:D=D158),0),0)),1,
      IF(H158&gt;=MAX(INDEX(BAREMOS!F:X,MATCH(1,(BAREMOS!A:A=A158)*(BAREMOS!B:B=B158)*(BAREMOS!C:C=C158)*(BAREMOS!D:D=D158),0),0)),19,
         MATCH(H158,INDEX(BAREMOS!F:X"&amp;",MATCH(1,(BAREMOS!A:A=A158)*(BAREMOS!B:B=B158)*(BAREMOS!C:C=C158)*(BAREMOS!D:D=D158),0),0),1)
      )
   )
)
,""""))
"),"")</f>
        <v/>
      </c>
      <c r="K158" s="34" t="str">
        <f t="shared" si="1"/>
        <v/>
      </c>
      <c r="L158" s="16"/>
      <c r="M158" s="16"/>
      <c r="N158" s="16"/>
      <c r="O158" s="16"/>
      <c r="P158" s="16"/>
      <c r="Q158" s="16"/>
      <c r="R158" s="16"/>
      <c r="S158" s="16"/>
      <c r="T158" s="16"/>
      <c r="U158" s="16"/>
      <c r="V158" s="16"/>
      <c r="W158" s="16"/>
      <c r="X158" s="16"/>
      <c r="Y158" s="16"/>
      <c r="Z158" s="16"/>
      <c r="AA158" s="16"/>
      <c r="AB158" s="16"/>
      <c r="AC158" s="16"/>
    </row>
    <row r="159">
      <c r="A159" s="22" t="str">
        <f t="array" ref="A159">IF(E159="","",IFERROR(INDEX(CONFIGURACION!C:C,MATCH(E159,CONFIGURACION!E:E,0)),""))
</f>
        <v/>
      </c>
      <c r="B159" s="22" t="str">
        <f t="array" ref="B159">IF(E159="","",IFERROR(INDEX(CONFIGURACION!D:D,MATCH(E159,CONFIGURACION!E:E,0)),""))
</f>
        <v/>
      </c>
      <c r="C159" s="31"/>
      <c r="D159" s="9"/>
      <c r="E159" s="6"/>
      <c r="F159" s="24"/>
      <c r="G159" s="9"/>
      <c r="H159" s="32"/>
      <c r="I159" s="33" t="str">
        <f>IFERROR(__xludf.DUMMYFUNCTION("IF(F159="""","""",LET(
  nombre, TRIM(F159),
  primer, REGEXEXTRACT(nombre, ""^\S+""),
  resto, TRIM(REGEXREPLACE(nombre, ""^\S+\s*"", """")),
  iniciales, IF(
    resto="""",
    """",
    TEXTJOIN("""",1,ARRAYFORMULA(LEFT(SPLIT(resto,"" ""),1) &amp; "".""))"&amp;"
  ),
  UPPER(primer) &amp; "" "" &amp; UPPER(iniciales)
))"),"")</f>
        <v/>
      </c>
      <c r="J159" s="33" t="str">
        <f>IFERROR(__xludf.DUMMYFUNCTION("IF(H159="""","""",IFERROR(
IF(REGEXMATCH(E159,""VELOCIDAD""),
   IF(H159&gt;=MAX(INDEX(BAREMOS!F:X,MATCH(1,(BAREMOS!A:A=A159)*(BAREMOS!B:B=B159)*(BAREMOS!C:C=C159)*(BAREMOS!D:D=D159),0),0)),1,
      IF(H159&lt;=MIN(INDEX(BAREMOS!F:X,MATCH(1,(BAREMOS!A:A=A159)*("&amp;"BAREMOS!B:B=B159)*(BAREMOS!C:C=C159)*(BAREMOS!D:D=D159),0),0)),19,
         MATCH(H159,INDEX(BAREMOS!F:X,MATCH(1,(BAREMOS!A:A=A159)*(BAREMOS!B:B=B159)*(BAREMOS!C:C=C159)*(BAREMOS!D:D=D159),0),0),-1)
      )
   ),
   IF(H159&lt;=MIN(INDEX(BAREMOS!F:X,MATCH(1,"&amp;"(BAREMOS!A:A=A159)*(BAREMOS!B:B=B159)*(BAREMOS!C:C=C159)*(BAREMOS!D:D=D159),0),0)),1,
      IF(H159&gt;=MAX(INDEX(BAREMOS!F:X,MATCH(1,(BAREMOS!A:A=A159)*(BAREMOS!B:B=B159)*(BAREMOS!C:C=C159)*(BAREMOS!D:D=D159),0),0)),19,
         MATCH(H159,INDEX(BAREMOS!F:X"&amp;",MATCH(1,(BAREMOS!A:A=A159)*(BAREMOS!B:B=B159)*(BAREMOS!C:C=C159)*(BAREMOS!D:D=D159),0),0),1)
      )
   )
)
,""""))
"),"")</f>
        <v/>
      </c>
      <c r="K159" s="34" t="str">
        <f t="shared" si="1"/>
        <v/>
      </c>
      <c r="L159" s="16"/>
      <c r="M159" s="16"/>
      <c r="N159" s="16"/>
      <c r="O159" s="16"/>
      <c r="P159" s="16"/>
      <c r="Q159" s="16"/>
      <c r="R159" s="16"/>
      <c r="S159" s="16"/>
      <c r="T159" s="16"/>
      <c r="U159" s="16"/>
      <c r="V159" s="16"/>
      <c r="W159" s="16"/>
      <c r="X159" s="16"/>
      <c r="Y159" s="16"/>
      <c r="Z159" s="16"/>
      <c r="AA159" s="16"/>
      <c r="AB159" s="16"/>
      <c r="AC159" s="16"/>
    </row>
    <row r="160">
      <c r="A160" s="22" t="str">
        <f t="array" ref="A160">IF(E160="","",IFERROR(INDEX(CONFIGURACION!C:C,MATCH(E160,CONFIGURACION!E:E,0)),""))
</f>
        <v/>
      </c>
      <c r="B160" s="22" t="str">
        <f t="array" ref="B160">IF(E160="","",IFERROR(INDEX(CONFIGURACION!D:D,MATCH(E160,CONFIGURACION!E:E,0)),""))
</f>
        <v/>
      </c>
      <c r="C160" s="31"/>
      <c r="D160" s="9"/>
      <c r="E160" s="6"/>
      <c r="F160" s="24"/>
      <c r="G160" s="9"/>
      <c r="H160" s="32"/>
      <c r="I160" s="33" t="str">
        <f>IFERROR(__xludf.DUMMYFUNCTION("IF(F160="""","""",LET(
  nombre, TRIM(F160),
  primer, REGEXEXTRACT(nombre, ""^\S+""),
  resto, TRIM(REGEXREPLACE(nombre, ""^\S+\s*"", """")),
  iniciales, IF(
    resto="""",
    """",
    TEXTJOIN("""",1,ARRAYFORMULA(LEFT(SPLIT(resto,"" ""),1) &amp; "".""))"&amp;"
  ),
  UPPER(primer) &amp; "" "" &amp; UPPER(iniciales)
))"),"")</f>
        <v/>
      </c>
      <c r="J160" s="33" t="str">
        <f>IFERROR(__xludf.DUMMYFUNCTION("IF(H160="""","""",IFERROR(
IF(REGEXMATCH(E160,""VELOCIDAD""),
   IF(H160&gt;=MAX(INDEX(BAREMOS!F:X,MATCH(1,(BAREMOS!A:A=A160)*(BAREMOS!B:B=B160)*(BAREMOS!C:C=C160)*(BAREMOS!D:D=D160),0),0)),1,
      IF(H160&lt;=MIN(INDEX(BAREMOS!F:X,MATCH(1,(BAREMOS!A:A=A160)*("&amp;"BAREMOS!B:B=B160)*(BAREMOS!C:C=C160)*(BAREMOS!D:D=D160),0),0)),19,
         MATCH(H160,INDEX(BAREMOS!F:X,MATCH(1,(BAREMOS!A:A=A160)*(BAREMOS!B:B=B160)*(BAREMOS!C:C=C160)*(BAREMOS!D:D=D160),0),0),-1)
      )
   ),
   IF(H160&lt;=MIN(INDEX(BAREMOS!F:X,MATCH(1,"&amp;"(BAREMOS!A:A=A160)*(BAREMOS!B:B=B160)*(BAREMOS!C:C=C160)*(BAREMOS!D:D=D160),0),0)),1,
      IF(H160&gt;=MAX(INDEX(BAREMOS!F:X,MATCH(1,(BAREMOS!A:A=A160)*(BAREMOS!B:B=B160)*(BAREMOS!C:C=C160)*(BAREMOS!D:D=D160),0),0)),19,
         MATCH(H160,INDEX(BAREMOS!F:X"&amp;",MATCH(1,(BAREMOS!A:A=A160)*(BAREMOS!B:B=B160)*(BAREMOS!C:C=C160)*(BAREMOS!D:D=D160),0),0),1)
      )
   )
)
,""""))
"),"")</f>
        <v/>
      </c>
      <c r="K160" s="34" t="str">
        <f t="shared" si="1"/>
        <v/>
      </c>
      <c r="L160" s="16"/>
      <c r="M160" s="16"/>
      <c r="N160" s="16"/>
      <c r="O160" s="16"/>
      <c r="P160" s="16"/>
      <c r="Q160" s="16"/>
      <c r="R160" s="16"/>
      <c r="S160" s="16"/>
      <c r="T160" s="16"/>
      <c r="U160" s="16"/>
      <c r="V160" s="16"/>
      <c r="W160" s="16"/>
      <c r="X160" s="16"/>
      <c r="Y160" s="16"/>
      <c r="Z160" s="16"/>
      <c r="AA160" s="16"/>
      <c r="AB160" s="16"/>
      <c r="AC160" s="16"/>
    </row>
    <row r="161">
      <c r="A161" s="22" t="str">
        <f t="array" ref="A161">IF(E161="","",IFERROR(INDEX(CONFIGURACION!C:C,MATCH(E161,CONFIGURACION!E:E,0)),""))
</f>
        <v/>
      </c>
      <c r="B161" s="22" t="str">
        <f t="array" ref="B161">IF(E161="","",IFERROR(INDEX(CONFIGURACION!D:D,MATCH(E161,CONFIGURACION!E:E,0)),""))
</f>
        <v/>
      </c>
      <c r="C161" s="31"/>
      <c r="D161" s="9"/>
      <c r="E161" s="6"/>
      <c r="F161" s="24"/>
      <c r="G161" s="9"/>
      <c r="H161" s="32"/>
      <c r="I161" s="33" t="str">
        <f>IFERROR(__xludf.DUMMYFUNCTION("IF(F161="""","""",LET(
  nombre, TRIM(F161),
  primer, REGEXEXTRACT(nombre, ""^\S+""),
  resto, TRIM(REGEXREPLACE(nombre, ""^\S+\s*"", """")),
  iniciales, IF(
    resto="""",
    """",
    TEXTJOIN("""",1,ARRAYFORMULA(LEFT(SPLIT(resto,"" ""),1) &amp; "".""))"&amp;"
  ),
  UPPER(primer) &amp; "" "" &amp; UPPER(iniciales)
))"),"")</f>
        <v/>
      </c>
      <c r="J161" s="33" t="str">
        <f>IFERROR(__xludf.DUMMYFUNCTION("IF(H161="""","""",IFERROR(
IF(REGEXMATCH(E161,""VELOCIDAD""),
   IF(H161&gt;=MAX(INDEX(BAREMOS!F:X,MATCH(1,(BAREMOS!A:A=A161)*(BAREMOS!B:B=B161)*(BAREMOS!C:C=C161)*(BAREMOS!D:D=D161),0),0)),1,
      IF(H161&lt;=MIN(INDEX(BAREMOS!F:X,MATCH(1,(BAREMOS!A:A=A161)*("&amp;"BAREMOS!B:B=B161)*(BAREMOS!C:C=C161)*(BAREMOS!D:D=D161),0),0)),19,
         MATCH(H161,INDEX(BAREMOS!F:X,MATCH(1,(BAREMOS!A:A=A161)*(BAREMOS!B:B=B161)*(BAREMOS!C:C=C161)*(BAREMOS!D:D=D161),0),0),-1)
      )
   ),
   IF(H161&lt;=MIN(INDEX(BAREMOS!F:X,MATCH(1,"&amp;"(BAREMOS!A:A=A161)*(BAREMOS!B:B=B161)*(BAREMOS!C:C=C161)*(BAREMOS!D:D=D161),0),0)),1,
      IF(H161&gt;=MAX(INDEX(BAREMOS!F:X,MATCH(1,(BAREMOS!A:A=A161)*(BAREMOS!B:B=B161)*(BAREMOS!C:C=C161)*(BAREMOS!D:D=D161),0),0)),19,
         MATCH(H161,INDEX(BAREMOS!F:X"&amp;",MATCH(1,(BAREMOS!A:A=A161)*(BAREMOS!B:B=B161)*(BAREMOS!C:C=C161)*(BAREMOS!D:D=D161),0),0),1)
      )
   )
)
,""""))
"),"")</f>
        <v/>
      </c>
      <c r="K161" s="34" t="str">
        <f t="shared" si="1"/>
        <v/>
      </c>
      <c r="L161" s="16"/>
      <c r="M161" s="16"/>
      <c r="N161" s="16"/>
      <c r="O161" s="16"/>
      <c r="P161" s="16"/>
      <c r="Q161" s="16"/>
      <c r="R161" s="16"/>
      <c r="S161" s="16"/>
      <c r="T161" s="16"/>
      <c r="U161" s="16"/>
      <c r="V161" s="16"/>
      <c r="W161" s="16"/>
      <c r="X161" s="16"/>
      <c r="Y161" s="16"/>
      <c r="Z161" s="16"/>
      <c r="AA161" s="16"/>
      <c r="AB161" s="16"/>
      <c r="AC161" s="16"/>
    </row>
    <row r="162">
      <c r="A162" s="22" t="str">
        <f t="array" ref="A162">IF(E162="","",IFERROR(INDEX(CONFIGURACION!C:C,MATCH(E162,CONFIGURACION!E:E,0)),""))
</f>
        <v/>
      </c>
      <c r="B162" s="22" t="str">
        <f t="array" ref="B162">IF(E162="","",IFERROR(INDEX(CONFIGURACION!D:D,MATCH(E162,CONFIGURACION!E:E,0)),""))
</f>
        <v/>
      </c>
      <c r="C162" s="31"/>
      <c r="D162" s="9"/>
      <c r="E162" s="6"/>
      <c r="F162" s="24"/>
      <c r="G162" s="9"/>
      <c r="H162" s="32"/>
      <c r="I162" s="33" t="str">
        <f>IFERROR(__xludf.DUMMYFUNCTION("IF(F162="""","""",LET(
  nombre, TRIM(F162),
  primer, REGEXEXTRACT(nombre, ""^\S+""),
  resto, TRIM(REGEXREPLACE(nombre, ""^\S+\s*"", """")),
  iniciales, IF(
    resto="""",
    """",
    TEXTJOIN("""",1,ARRAYFORMULA(LEFT(SPLIT(resto,"" ""),1) &amp; "".""))"&amp;"
  ),
  UPPER(primer) &amp; "" "" &amp; UPPER(iniciales)
))"),"")</f>
        <v/>
      </c>
      <c r="J162" s="33" t="str">
        <f>IFERROR(__xludf.DUMMYFUNCTION("IF(H162="""","""",IFERROR(
IF(REGEXMATCH(E162,""VELOCIDAD""),
   IF(H162&gt;=MAX(INDEX(BAREMOS!F:X,MATCH(1,(BAREMOS!A:A=A162)*(BAREMOS!B:B=B162)*(BAREMOS!C:C=C162)*(BAREMOS!D:D=D162),0),0)),1,
      IF(H162&lt;=MIN(INDEX(BAREMOS!F:X,MATCH(1,(BAREMOS!A:A=A162)*("&amp;"BAREMOS!B:B=B162)*(BAREMOS!C:C=C162)*(BAREMOS!D:D=D162),0),0)),19,
         MATCH(H162,INDEX(BAREMOS!F:X,MATCH(1,(BAREMOS!A:A=A162)*(BAREMOS!B:B=B162)*(BAREMOS!C:C=C162)*(BAREMOS!D:D=D162),0),0),-1)
      )
   ),
   IF(H162&lt;=MIN(INDEX(BAREMOS!F:X,MATCH(1,"&amp;"(BAREMOS!A:A=A162)*(BAREMOS!B:B=B162)*(BAREMOS!C:C=C162)*(BAREMOS!D:D=D162),0),0)),1,
      IF(H162&gt;=MAX(INDEX(BAREMOS!F:X,MATCH(1,(BAREMOS!A:A=A162)*(BAREMOS!B:B=B162)*(BAREMOS!C:C=C162)*(BAREMOS!D:D=D162),0),0)),19,
         MATCH(H162,INDEX(BAREMOS!F:X"&amp;",MATCH(1,(BAREMOS!A:A=A162)*(BAREMOS!B:B=B162)*(BAREMOS!C:C=C162)*(BAREMOS!D:D=D162),0),0),1)
      )
   )
)
,""""))
"),"")</f>
        <v/>
      </c>
      <c r="K162" s="34" t="str">
        <f t="shared" si="1"/>
        <v/>
      </c>
      <c r="L162" s="16"/>
      <c r="M162" s="16"/>
      <c r="N162" s="16"/>
      <c r="O162" s="16"/>
      <c r="P162" s="16"/>
      <c r="Q162" s="16"/>
      <c r="R162" s="16"/>
      <c r="S162" s="16"/>
      <c r="T162" s="16"/>
      <c r="U162" s="16"/>
      <c r="V162" s="16"/>
      <c r="W162" s="16"/>
      <c r="X162" s="16"/>
      <c r="Y162" s="16"/>
      <c r="Z162" s="16"/>
      <c r="AA162" s="16"/>
      <c r="AB162" s="16"/>
      <c r="AC162" s="16"/>
    </row>
    <row r="163">
      <c r="A163" s="22" t="str">
        <f t="array" ref="A163">IF(E163="","",IFERROR(INDEX(CONFIGURACION!C:C,MATCH(E163,CONFIGURACION!E:E,0)),""))
</f>
        <v/>
      </c>
      <c r="B163" s="22" t="str">
        <f t="array" ref="B163">IF(E163="","",IFERROR(INDEX(CONFIGURACION!D:D,MATCH(E163,CONFIGURACION!E:E,0)),""))
</f>
        <v/>
      </c>
      <c r="C163" s="31"/>
      <c r="D163" s="9"/>
      <c r="E163" s="6"/>
      <c r="F163" s="24"/>
      <c r="G163" s="9"/>
      <c r="H163" s="32"/>
      <c r="I163" s="33" t="str">
        <f>IFERROR(__xludf.DUMMYFUNCTION("IF(F163="""","""",LET(
  nombre, TRIM(F163),
  primer, REGEXEXTRACT(nombre, ""^\S+""),
  resto, TRIM(REGEXREPLACE(nombre, ""^\S+\s*"", """")),
  iniciales, IF(
    resto="""",
    """",
    TEXTJOIN("""",1,ARRAYFORMULA(LEFT(SPLIT(resto,"" ""),1) &amp; "".""))"&amp;"
  ),
  UPPER(primer) &amp; "" "" &amp; UPPER(iniciales)
))"),"")</f>
        <v/>
      </c>
      <c r="J163" s="33" t="str">
        <f>IFERROR(__xludf.DUMMYFUNCTION("IF(H163="""","""",IFERROR(
IF(REGEXMATCH(E163,""VELOCIDAD""),
   IF(H163&gt;=MAX(INDEX(BAREMOS!F:X,MATCH(1,(BAREMOS!A:A=A163)*(BAREMOS!B:B=B163)*(BAREMOS!C:C=C163)*(BAREMOS!D:D=D163),0),0)),1,
      IF(H163&lt;=MIN(INDEX(BAREMOS!F:X,MATCH(1,(BAREMOS!A:A=A163)*("&amp;"BAREMOS!B:B=B163)*(BAREMOS!C:C=C163)*(BAREMOS!D:D=D163),0),0)),19,
         MATCH(H163,INDEX(BAREMOS!F:X,MATCH(1,(BAREMOS!A:A=A163)*(BAREMOS!B:B=B163)*(BAREMOS!C:C=C163)*(BAREMOS!D:D=D163),0),0),-1)
      )
   ),
   IF(H163&lt;=MIN(INDEX(BAREMOS!F:X,MATCH(1,"&amp;"(BAREMOS!A:A=A163)*(BAREMOS!B:B=B163)*(BAREMOS!C:C=C163)*(BAREMOS!D:D=D163),0),0)),1,
      IF(H163&gt;=MAX(INDEX(BAREMOS!F:X,MATCH(1,(BAREMOS!A:A=A163)*(BAREMOS!B:B=B163)*(BAREMOS!C:C=C163)*(BAREMOS!D:D=D163),0),0)),19,
         MATCH(H163,INDEX(BAREMOS!F:X"&amp;",MATCH(1,(BAREMOS!A:A=A163)*(BAREMOS!B:B=B163)*(BAREMOS!C:C=C163)*(BAREMOS!D:D=D163),0),0),1)
      )
   )
)
,""""))
"),"")</f>
        <v/>
      </c>
      <c r="K163" s="34" t="str">
        <f t="shared" si="1"/>
        <v/>
      </c>
      <c r="L163" s="16"/>
      <c r="M163" s="16"/>
      <c r="N163" s="16"/>
      <c r="O163" s="16"/>
      <c r="P163" s="16"/>
      <c r="Q163" s="16"/>
      <c r="R163" s="16"/>
      <c r="S163" s="16"/>
      <c r="T163" s="16"/>
      <c r="U163" s="16"/>
      <c r="V163" s="16"/>
      <c r="W163" s="16"/>
      <c r="X163" s="16"/>
      <c r="Y163" s="16"/>
      <c r="Z163" s="16"/>
      <c r="AA163" s="16"/>
      <c r="AB163" s="16"/>
      <c r="AC163" s="16"/>
    </row>
    <row r="164">
      <c r="A164" s="22" t="str">
        <f t="array" ref="A164">IF(E164="","",IFERROR(INDEX(CONFIGURACION!C:C,MATCH(E164,CONFIGURACION!E:E,0)),""))
</f>
        <v/>
      </c>
      <c r="B164" s="22" t="str">
        <f t="array" ref="B164">IF(E164="","",IFERROR(INDEX(CONFIGURACION!D:D,MATCH(E164,CONFIGURACION!E:E,0)),""))
</f>
        <v/>
      </c>
      <c r="C164" s="31"/>
      <c r="D164" s="9"/>
      <c r="E164" s="6"/>
      <c r="F164" s="24"/>
      <c r="G164" s="9"/>
      <c r="H164" s="32"/>
      <c r="I164" s="33" t="str">
        <f>IFERROR(__xludf.DUMMYFUNCTION("IF(F164="""","""",LET(
  nombre, TRIM(F164),
  primer, REGEXEXTRACT(nombre, ""^\S+""),
  resto, TRIM(REGEXREPLACE(nombre, ""^\S+\s*"", """")),
  iniciales, IF(
    resto="""",
    """",
    TEXTJOIN("""",1,ARRAYFORMULA(LEFT(SPLIT(resto,"" ""),1) &amp; "".""))"&amp;"
  ),
  UPPER(primer) &amp; "" "" &amp; UPPER(iniciales)
))"),"")</f>
        <v/>
      </c>
      <c r="J164" s="33" t="str">
        <f>IFERROR(__xludf.DUMMYFUNCTION("IF(H164="""","""",IFERROR(
IF(REGEXMATCH(E164,""VELOCIDAD""),
   IF(H164&gt;=MAX(INDEX(BAREMOS!F:X,MATCH(1,(BAREMOS!A:A=A164)*(BAREMOS!B:B=B164)*(BAREMOS!C:C=C164)*(BAREMOS!D:D=D164),0),0)),1,
      IF(H164&lt;=MIN(INDEX(BAREMOS!F:X,MATCH(1,(BAREMOS!A:A=A164)*("&amp;"BAREMOS!B:B=B164)*(BAREMOS!C:C=C164)*(BAREMOS!D:D=D164),0),0)),19,
         MATCH(H164,INDEX(BAREMOS!F:X,MATCH(1,(BAREMOS!A:A=A164)*(BAREMOS!B:B=B164)*(BAREMOS!C:C=C164)*(BAREMOS!D:D=D164),0),0),-1)
      )
   ),
   IF(H164&lt;=MIN(INDEX(BAREMOS!F:X,MATCH(1,"&amp;"(BAREMOS!A:A=A164)*(BAREMOS!B:B=B164)*(BAREMOS!C:C=C164)*(BAREMOS!D:D=D164),0),0)),1,
      IF(H164&gt;=MAX(INDEX(BAREMOS!F:X,MATCH(1,(BAREMOS!A:A=A164)*(BAREMOS!B:B=B164)*(BAREMOS!C:C=C164)*(BAREMOS!D:D=D164),0),0)),19,
         MATCH(H164,INDEX(BAREMOS!F:X"&amp;",MATCH(1,(BAREMOS!A:A=A164)*(BAREMOS!B:B=B164)*(BAREMOS!C:C=C164)*(BAREMOS!D:D=D164),0),0),1)
      )
   )
)
,""""))
"),"")</f>
        <v/>
      </c>
      <c r="K164" s="34" t="str">
        <f t="shared" si="1"/>
        <v/>
      </c>
      <c r="L164" s="16"/>
      <c r="M164" s="16"/>
      <c r="N164" s="16"/>
      <c r="O164" s="16"/>
      <c r="P164" s="16"/>
      <c r="Q164" s="16"/>
      <c r="R164" s="16"/>
      <c r="S164" s="16"/>
      <c r="T164" s="16"/>
      <c r="U164" s="16"/>
      <c r="V164" s="16"/>
      <c r="W164" s="16"/>
      <c r="X164" s="16"/>
      <c r="Y164" s="16"/>
      <c r="Z164" s="16"/>
      <c r="AA164" s="16"/>
      <c r="AB164" s="16"/>
      <c r="AC164" s="16"/>
    </row>
    <row r="165">
      <c r="A165" s="22" t="str">
        <f t="array" ref="A165">IF(E165="","",IFERROR(INDEX(CONFIGURACION!C:C,MATCH(E165,CONFIGURACION!E:E,0)),""))
</f>
        <v/>
      </c>
      <c r="B165" s="22" t="str">
        <f t="array" ref="B165">IF(E165="","",IFERROR(INDEX(CONFIGURACION!D:D,MATCH(E165,CONFIGURACION!E:E,0)),""))
</f>
        <v/>
      </c>
      <c r="C165" s="31"/>
      <c r="D165" s="9"/>
      <c r="E165" s="6"/>
      <c r="F165" s="24"/>
      <c r="G165" s="9"/>
      <c r="H165" s="32"/>
      <c r="I165" s="33" t="str">
        <f>IFERROR(__xludf.DUMMYFUNCTION("IF(F165="""","""",LET(
  nombre, TRIM(F165),
  primer, REGEXEXTRACT(nombre, ""^\S+""),
  resto, TRIM(REGEXREPLACE(nombre, ""^\S+\s*"", """")),
  iniciales, IF(
    resto="""",
    """",
    TEXTJOIN("""",1,ARRAYFORMULA(LEFT(SPLIT(resto,"" ""),1) &amp; "".""))"&amp;"
  ),
  UPPER(primer) &amp; "" "" &amp; UPPER(iniciales)
))"),"")</f>
        <v/>
      </c>
      <c r="J165" s="33" t="str">
        <f>IFERROR(__xludf.DUMMYFUNCTION("IF(H165="""","""",IFERROR(
IF(REGEXMATCH(E165,""VELOCIDAD""),
   IF(H165&gt;=MAX(INDEX(BAREMOS!F:X,MATCH(1,(BAREMOS!A:A=A165)*(BAREMOS!B:B=B165)*(BAREMOS!C:C=C165)*(BAREMOS!D:D=D165),0),0)),1,
      IF(H165&lt;=MIN(INDEX(BAREMOS!F:X,MATCH(1,(BAREMOS!A:A=A165)*("&amp;"BAREMOS!B:B=B165)*(BAREMOS!C:C=C165)*(BAREMOS!D:D=D165),0),0)),19,
         MATCH(H165,INDEX(BAREMOS!F:X,MATCH(1,(BAREMOS!A:A=A165)*(BAREMOS!B:B=B165)*(BAREMOS!C:C=C165)*(BAREMOS!D:D=D165),0),0),-1)
      )
   ),
   IF(H165&lt;=MIN(INDEX(BAREMOS!F:X,MATCH(1,"&amp;"(BAREMOS!A:A=A165)*(BAREMOS!B:B=B165)*(BAREMOS!C:C=C165)*(BAREMOS!D:D=D165),0),0)),1,
      IF(H165&gt;=MAX(INDEX(BAREMOS!F:X,MATCH(1,(BAREMOS!A:A=A165)*(BAREMOS!B:B=B165)*(BAREMOS!C:C=C165)*(BAREMOS!D:D=D165),0),0)),19,
         MATCH(H165,INDEX(BAREMOS!F:X"&amp;",MATCH(1,(BAREMOS!A:A=A165)*(BAREMOS!B:B=B165)*(BAREMOS!C:C=C165)*(BAREMOS!D:D=D165),0),0),1)
      )
   )
)
,""""))
"),"")</f>
        <v/>
      </c>
      <c r="K165" s="34" t="str">
        <f t="shared" si="1"/>
        <v/>
      </c>
      <c r="L165" s="16"/>
      <c r="M165" s="16"/>
      <c r="N165" s="16"/>
      <c r="O165" s="16"/>
      <c r="P165" s="16"/>
      <c r="Q165" s="16"/>
      <c r="R165" s="16"/>
      <c r="S165" s="16"/>
      <c r="T165" s="16"/>
      <c r="U165" s="16"/>
      <c r="V165" s="16"/>
      <c r="W165" s="16"/>
      <c r="X165" s="16"/>
      <c r="Y165" s="16"/>
      <c r="Z165" s="16"/>
      <c r="AA165" s="16"/>
      <c r="AB165" s="16"/>
      <c r="AC165" s="16"/>
    </row>
    <row r="166">
      <c r="A166" s="22" t="str">
        <f t="array" ref="A166">IF(E166="","",IFERROR(INDEX(CONFIGURACION!C:C,MATCH(E166,CONFIGURACION!E:E,0)),""))
</f>
        <v/>
      </c>
      <c r="B166" s="22" t="str">
        <f t="array" ref="B166">IF(E166="","",IFERROR(INDEX(CONFIGURACION!D:D,MATCH(E166,CONFIGURACION!E:E,0)),""))
</f>
        <v/>
      </c>
      <c r="C166" s="31"/>
      <c r="D166" s="9"/>
      <c r="E166" s="6"/>
      <c r="F166" s="24"/>
      <c r="G166" s="9"/>
      <c r="H166" s="32"/>
      <c r="I166" s="33" t="str">
        <f>IFERROR(__xludf.DUMMYFUNCTION("IF(F166="""","""",LET(
  nombre, TRIM(F166),
  primer, REGEXEXTRACT(nombre, ""^\S+""),
  resto, TRIM(REGEXREPLACE(nombre, ""^\S+\s*"", """")),
  iniciales, IF(
    resto="""",
    """",
    TEXTJOIN("""",1,ARRAYFORMULA(LEFT(SPLIT(resto,"" ""),1) &amp; "".""))"&amp;"
  ),
  UPPER(primer) &amp; "" "" &amp; UPPER(iniciales)
))"),"")</f>
        <v/>
      </c>
      <c r="J166" s="33" t="str">
        <f>IFERROR(__xludf.DUMMYFUNCTION("IF(H166="""","""",IFERROR(
IF(REGEXMATCH(E166,""VELOCIDAD""),
   IF(H166&gt;=MAX(INDEX(BAREMOS!F:X,MATCH(1,(BAREMOS!A:A=A166)*(BAREMOS!B:B=B166)*(BAREMOS!C:C=C166)*(BAREMOS!D:D=D166),0),0)),1,
      IF(H166&lt;=MIN(INDEX(BAREMOS!F:X,MATCH(1,(BAREMOS!A:A=A166)*("&amp;"BAREMOS!B:B=B166)*(BAREMOS!C:C=C166)*(BAREMOS!D:D=D166),0),0)),19,
         MATCH(H166,INDEX(BAREMOS!F:X,MATCH(1,(BAREMOS!A:A=A166)*(BAREMOS!B:B=B166)*(BAREMOS!C:C=C166)*(BAREMOS!D:D=D166),0),0),-1)
      )
   ),
   IF(H166&lt;=MIN(INDEX(BAREMOS!F:X,MATCH(1,"&amp;"(BAREMOS!A:A=A166)*(BAREMOS!B:B=B166)*(BAREMOS!C:C=C166)*(BAREMOS!D:D=D166),0),0)),1,
      IF(H166&gt;=MAX(INDEX(BAREMOS!F:X,MATCH(1,(BAREMOS!A:A=A166)*(BAREMOS!B:B=B166)*(BAREMOS!C:C=C166)*(BAREMOS!D:D=D166),0),0)),19,
         MATCH(H166,INDEX(BAREMOS!F:X"&amp;",MATCH(1,(BAREMOS!A:A=A166)*(BAREMOS!B:B=B166)*(BAREMOS!C:C=C166)*(BAREMOS!D:D=D166),0),0),1)
      )
   )
)
,""""))
"),"")</f>
        <v/>
      </c>
      <c r="K166" s="34" t="str">
        <f t="shared" si="1"/>
        <v/>
      </c>
      <c r="L166" s="16"/>
      <c r="M166" s="16"/>
      <c r="N166" s="16"/>
      <c r="O166" s="16"/>
      <c r="P166" s="16"/>
      <c r="Q166" s="16"/>
      <c r="R166" s="16"/>
      <c r="S166" s="16"/>
      <c r="T166" s="16"/>
      <c r="U166" s="16"/>
      <c r="V166" s="16"/>
      <c r="W166" s="16"/>
      <c r="X166" s="16"/>
      <c r="Y166" s="16"/>
      <c r="Z166" s="16"/>
      <c r="AA166" s="16"/>
      <c r="AB166" s="16"/>
      <c r="AC166" s="16"/>
    </row>
    <row r="167">
      <c r="A167" s="22" t="str">
        <f t="array" ref="A167">IF(E167="","",IFERROR(INDEX(CONFIGURACION!C:C,MATCH(E167,CONFIGURACION!E:E,0)),""))
</f>
        <v/>
      </c>
      <c r="B167" s="22" t="str">
        <f t="array" ref="B167">IF(E167="","",IFERROR(INDEX(CONFIGURACION!D:D,MATCH(E167,CONFIGURACION!E:E,0)),""))
</f>
        <v/>
      </c>
      <c r="C167" s="31"/>
      <c r="D167" s="9"/>
      <c r="E167" s="6"/>
      <c r="F167" s="24"/>
      <c r="G167" s="9"/>
      <c r="H167" s="32"/>
      <c r="I167" s="33" t="str">
        <f>IFERROR(__xludf.DUMMYFUNCTION("IF(F167="""","""",LET(
  nombre, TRIM(F167),
  primer, REGEXEXTRACT(nombre, ""^\S+""),
  resto, TRIM(REGEXREPLACE(nombre, ""^\S+\s*"", """")),
  iniciales, IF(
    resto="""",
    """",
    TEXTJOIN("""",1,ARRAYFORMULA(LEFT(SPLIT(resto,"" ""),1) &amp; "".""))"&amp;"
  ),
  UPPER(primer) &amp; "" "" &amp; UPPER(iniciales)
))"),"")</f>
        <v/>
      </c>
      <c r="J167" s="33" t="str">
        <f>IFERROR(__xludf.DUMMYFUNCTION("IF(H167="""","""",IFERROR(
IF(REGEXMATCH(E167,""VELOCIDAD""),
   IF(H167&gt;=MAX(INDEX(BAREMOS!F:X,MATCH(1,(BAREMOS!A:A=A167)*(BAREMOS!B:B=B167)*(BAREMOS!C:C=C167)*(BAREMOS!D:D=D167),0),0)),1,
      IF(H167&lt;=MIN(INDEX(BAREMOS!F:X,MATCH(1,(BAREMOS!A:A=A167)*("&amp;"BAREMOS!B:B=B167)*(BAREMOS!C:C=C167)*(BAREMOS!D:D=D167),0),0)),19,
         MATCH(H167,INDEX(BAREMOS!F:X,MATCH(1,(BAREMOS!A:A=A167)*(BAREMOS!B:B=B167)*(BAREMOS!C:C=C167)*(BAREMOS!D:D=D167),0),0),-1)
      )
   ),
   IF(H167&lt;=MIN(INDEX(BAREMOS!F:X,MATCH(1,"&amp;"(BAREMOS!A:A=A167)*(BAREMOS!B:B=B167)*(BAREMOS!C:C=C167)*(BAREMOS!D:D=D167),0),0)),1,
      IF(H167&gt;=MAX(INDEX(BAREMOS!F:X,MATCH(1,(BAREMOS!A:A=A167)*(BAREMOS!B:B=B167)*(BAREMOS!C:C=C167)*(BAREMOS!D:D=D167),0),0)),19,
         MATCH(H167,INDEX(BAREMOS!F:X"&amp;",MATCH(1,(BAREMOS!A:A=A167)*(BAREMOS!B:B=B167)*(BAREMOS!C:C=C167)*(BAREMOS!D:D=D167),0),0),1)
      )
   )
)
,""""))
"),"")</f>
        <v/>
      </c>
      <c r="K167" s="34" t="str">
        <f t="shared" si="1"/>
        <v/>
      </c>
      <c r="L167" s="16"/>
      <c r="M167" s="16"/>
      <c r="N167" s="16"/>
      <c r="O167" s="16"/>
      <c r="P167" s="16"/>
      <c r="Q167" s="16"/>
      <c r="R167" s="16"/>
      <c r="S167" s="16"/>
      <c r="T167" s="16"/>
      <c r="U167" s="16"/>
      <c r="V167" s="16"/>
      <c r="W167" s="16"/>
      <c r="X167" s="16"/>
      <c r="Y167" s="16"/>
      <c r="Z167" s="16"/>
      <c r="AA167" s="16"/>
      <c r="AB167" s="16"/>
      <c r="AC167" s="16"/>
    </row>
    <row r="168">
      <c r="A168" s="22" t="str">
        <f t="array" ref="A168">IF(E168="","",IFERROR(INDEX(CONFIGURACION!C:C,MATCH(E168,CONFIGURACION!E:E,0)),""))
</f>
        <v/>
      </c>
      <c r="B168" s="22" t="str">
        <f t="array" ref="B168">IF(E168="","",IFERROR(INDEX(CONFIGURACION!D:D,MATCH(E168,CONFIGURACION!E:E,0)),""))
</f>
        <v/>
      </c>
      <c r="C168" s="31"/>
      <c r="D168" s="9"/>
      <c r="E168" s="6"/>
      <c r="F168" s="24"/>
      <c r="G168" s="9"/>
      <c r="H168" s="32"/>
      <c r="I168" s="33" t="str">
        <f>IFERROR(__xludf.DUMMYFUNCTION("IF(F168="""","""",LET(
  nombre, TRIM(F168),
  primer, REGEXEXTRACT(nombre, ""^\S+""),
  resto, TRIM(REGEXREPLACE(nombre, ""^\S+\s*"", """")),
  iniciales, IF(
    resto="""",
    """",
    TEXTJOIN("""",1,ARRAYFORMULA(LEFT(SPLIT(resto,"" ""),1) &amp; "".""))"&amp;"
  ),
  UPPER(primer) &amp; "" "" &amp; UPPER(iniciales)
))"),"")</f>
        <v/>
      </c>
      <c r="J168" s="33" t="str">
        <f>IFERROR(__xludf.DUMMYFUNCTION("IF(H168="""","""",IFERROR(
IF(REGEXMATCH(E168,""VELOCIDAD""),
   IF(H168&gt;=MAX(INDEX(BAREMOS!F:X,MATCH(1,(BAREMOS!A:A=A168)*(BAREMOS!B:B=B168)*(BAREMOS!C:C=C168)*(BAREMOS!D:D=D168),0),0)),1,
      IF(H168&lt;=MIN(INDEX(BAREMOS!F:X,MATCH(1,(BAREMOS!A:A=A168)*("&amp;"BAREMOS!B:B=B168)*(BAREMOS!C:C=C168)*(BAREMOS!D:D=D168),0),0)),19,
         MATCH(H168,INDEX(BAREMOS!F:X,MATCH(1,(BAREMOS!A:A=A168)*(BAREMOS!B:B=B168)*(BAREMOS!C:C=C168)*(BAREMOS!D:D=D168),0),0),-1)
      )
   ),
   IF(H168&lt;=MIN(INDEX(BAREMOS!F:X,MATCH(1,"&amp;"(BAREMOS!A:A=A168)*(BAREMOS!B:B=B168)*(BAREMOS!C:C=C168)*(BAREMOS!D:D=D168),0),0)),1,
      IF(H168&gt;=MAX(INDEX(BAREMOS!F:X,MATCH(1,(BAREMOS!A:A=A168)*(BAREMOS!B:B=B168)*(BAREMOS!C:C=C168)*(BAREMOS!D:D=D168),0),0)),19,
         MATCH(H168,INDEX(BAREMOS!F:X"&amp;",MATCH(1,(BAREMOS!A:A=A168)*(BAREMOS!B:B=B168)*(BAREMOS!C:C=C168)*(BAREMOS!D:D=D168),0),0),1)
      )
   )
)
,""""))
"),"")</f>
        <v/>
      </c>
      <c r="K168" s="34" t="str">
        <f t="shared" si="1"/>
        <v/>
      </c>
      <c r="L168" s="16"/>
      <c r="M168" s="16"/>
      <c r="N168" s="16"/>
      <c r="O168" s="16"/>
      <c r="P168" s="16"/>
      <c r="Q168" s="16"/>
      <c r="R168" s="16"/>
      <c r="S168" s="16"/>
      <c r="T168" s="16"/>
      <c r="U168" s="16"/>
      <c r="V168" s="16"/>
      <c r="W168" s="16"/>
      <c r="X168" s="16"/>
      <c r="Y168" s="16"/>
      <c r="Z168" s="16"/>
      <c r="AA168" s="16"/>
      <c r="AB168" s="16"/>
      <c r="AC168" s="16"/>
    </row>
    <row r="169">
      <c r="A169" s="22" t="str">
        <f t="array" ref="A169">IF(E169="","",IFERROR(INDEX(CONFIGURACION!C:C,MATCH(E169,CONFIGURACION!E:E,0)),""))
</f>
        <v/>
      </c>
      <c r="B169" s="22" t="str">
        <f t="array" ref="B169">IF(E169="","",IFERROR(INDEX(CONFIGURACION!D:D,MATCH(E169,CONFIGURACION!E:E,0)),""))
</f>
        <v/>
      </c>
      <c r="C169" s="31"/>
      <c r="D169" s="9"/>
      <c r="E169" s="6"/>
      <c r="F169" s="24"/>
      <c r="G169" s="9"/>
      <c r="H169" s="32"/>
      <c r="I169" s="33" t="str">
        <f>IFERROR(__xludf.DUMMYFUNCTION("IF(F169="""","""",LET(
  nombre, TRIM(F169),
  primer, REGEXEXTRACT(nombre, ""^\S+""),
  resto, TRIM(REGEXREPLACE(nombre, ""^\S+\s*"", """")),
  iniciales, IF(
    resto="""",
    """",
    TEXTJOIN("""",1,ARRAYFORMULA(LEFT(SPLIT(resto,"" ""),1) &amp; "".""))"&amp;"
  ),
  UPPER(primer) &amp; "" "" &amp; UPPER(iniciales)
))"),"")</f>
        <v/>
      </c>
      <c r="J169" s="33" t="str">
        <f>IFERROR(__xludf.DUMMYFUNCTION("IF(H169="""","""",IFERROR(
IF(REGEXMATCH(E169,""VELOCIDAD""),
   IF(H169&gt;=MAX(INDEX(BAREMOS!F:X,MATCH(1,(BAREMOS!A:A=A169)*(BAREMOS!B:B=B169)*(BAREMOS!C:C=C169)*(BAREMOS!D:D=D169),0),0)),1,
      IF(H169&lt;=MIN(INDEX(BAREMOS!F:X,MATCH(1,(BAREMOS!A:A=A169)*("&amp;"BAREMOS!B:B=B169)*(BAREMOS!C:C=C169)*(BAREMOS!D:D=D169),0),0)),19,
         MATCH(H169,INDEX(BAREMOS!F:X,MATCH(1,(BAREMOS!A:A=A169)*(BAREMOS!B:B=B169)*(BAREMOS!C:C=C169)*(BAREMOS!D:D=D169),0),0),-1)
      )
   ),
   IF(H169&lt;=MIN(INDEX(BAREMOS!F:X,MATCH(1,"&amp;"(BAREMOS!A:A=A169)*(BAREMOS!B:B=B169)*(BAREMOS!C:C=C169)*(BAREMOS!D:D=D169),0),0)),1,
      IF(H169&gt;=MAX(INDEX(BAREMOS!F:X,MATCH(1,(BAREMOS!A:A=A169)*(BAREMOS!B:B=B169)*(BAREMOS!C:C=C169)*(BAREMOS!D:D=D169),0),0)),19,
         MATCH(H169,INDEX(BAREMOS!F:X"&amp;",MATCH(1,(BAREMOS!A:A=A169)*(BAREMOS!B:B=B169)*(BAREMOS!C:C=C169)*(BAREMOS!D:D=D169),0),0),1)
      )
   )
)
,""""))
"),"")</f>
        <v/>
      </c>
      <c r="K169" s="34" t="str">
        <f t="shared" si="1"/>
        <v/>
      </c>
      <c r="L169" s="16"/>
      <c r="M169" s="16"/>
      <c r="N169" s="16"/>
      <c r="O169" s="16"/>
      <c r="P169" s="16"/>
      <c r="Q169" s="16"/>
      <c r="R169" s="16"/>
      <c r="S169" s="16"/>
      <c r="T169" s="16"/>
      <c r="U169" s="16"/>
      <c r="V169" s="16"/>
      <c r="W169" s="16"/>
      <c r="X169" s="16"/>
      <c r="Y169" s="16"/>
      <c r="Z169" s="16"/>
      <c r="AA169" s="16"/>
      <c r="AB169" s="16"/>
      <c r="AC169" s="16"/>
    </row>
    <row r="170">
      <c r="A170" s="22" t="str">
        <f t="array" ref="A170">IF(E170="","",IFERROR(INDEX(CONFIGURACION!C:C,MATCH(E170,CONFIGURACION!E:E,0)),""))
</f>
        <v/>
      </c>
      <c r="B170" s="22" t="str">
        <f t="array" ref="B170">IF(E170="","",IFERROR(INDEX(CONFIGURACION!D:D,MATCH(E170,CONFIGURACION!E:E,0)),""))
</f>
        <v/>
      </c>
      <c r="C170" s="31"/>
      <c r="D170" s="9"/>
      <c r="E170" s="6"/>
      <c r="F170" s="24"/>
      <c r="G170" s="9"/>
      <c r="H170" s="32"/>
      <c r="I170" s="33" t="str">
        <f>IFERROR(__xludf.DUMMYFUNCTION("IF(F170="""","""",LET(
  nombre, TRIM(F170),
  primer, REGEXEXTRACT(nombre, ""^\S+""),
  resto, TRIM(REGEXREPLACE(nombre, ""^\S+\s*"", """")),
  iniciales, IF(
    resto="""",
    """",
    TEXTJOIN("""",1,ARRAYFORMULA(LEFT(SPLIT(resto,"" ""),1) &amp; "".""))"&amp;"
  ),
  UPPER(primer) &amp; "" "" &amp; UPPER(iniciales)
))"),"")</f>
        <v/>
      </c>
      <c r="J170" s="33" t="str">
        <f>IFERROR(__xludf.DUMMYFUNCTION("IF(H170="""","""",IFERROR(
IF(REGEXMATCH(E170,""VELOCIDAD""),
   IF(H170&gt;=MAX(INDEX(BAREMOS!F:X,MATCH(1,(BAREMOS!A:A=A170)*(BAREMOS!B:B=B170)*(BAREMOS!C:C=C170)*(BAREMOS!D:D=D170),0),0)),1,
      IF(H170&lt;=MIN(INDEX(BAREMOS!F:X,MATCH(1,(BAREMOS!A:A=A170)*("&amp;"BAREMOS!B:B=B170)*(BAREMOS!C:C=C170)*(BAREMOS!D:D=D170),0),0)),19,
         MATCH(H170,INDEX(BAREMOS!F:X,MATCH(1,(BAREMOS!A:A=A170)*(BAREMOS!B:B=B170)*(BAREMOS!C:C=C170)*(BAREMOS!D:D=D170),0),0),-1)
      )
   ),
   IF(H170&lt;=MIN(INDEX(BAREMOS!F:X,MATCH(1,"&amp;"(BAREMOS!A:A=A170)*(BAREMOS!B:B=B170)*(BAREMOS!C:C=C170)*(BAREMOS!D:D=D170),0),0)),1,
      IF(H170&gt;=MAX(INDEX(BAREMOS!F:X,MATCH(1,(BAREMOS!A:A=A170)*(BAREMOS!B:B=B170)*(BAREMOS!C:C=C170)*(BAREMOS!D:D=D170),0),0)),19,
         MATCH(H170,INDEX(BAREMOS!F:X"&amp;",MATCH(1,(BAREMOS!A:A=A170)*(BAREMOS!B:B=B170)*(BAREMOS!C:C=C170)*(BAREMOS!D:D=D170),0),0),1)
      )
   )
)
,""""))
"),"")</f>
        <v/>
      </c>
      <c r="K170" s="34" t="str">
        <f t="shared" si="1"/>
        <v/>
      </c>
      <c r="L170" s="16"/>
      <c r="M170" s="16"/>
      <c r="N170" s="16"/>
      <c r="O170" s="16"/>
      <c r="P170" s="16"/>
      <c r="Q170" s="16"/>
      <c r="R170" s="16"/>
      <c r="S170" s="16"/>
      <c r="T170" s="16"/>
      <c r="U170" s="16"/>
      <c r="V170" s="16"/>
      <c r="W170" s="16"/>
      <c r="X170" s="16"/>
      <c r="Y170" s="16"/>
      <c r="Z170" s="16"/>
      <c r="AA170" s="16"/>
      <c r="AB170" s="16"/>
      <c r="AC170" s="16"/>
    </row>
    <row r="171">
      <c r="A171" s="22" t="str">
        <f t="array" ref="A171">IF(E171="","",IFERROR(INDEX(CONFIGURACION!C:C,MATCH(E171,CONFIGURACION!E:E,0)),""))
</f>
        <v/>
      </c>
      <c r="B171" s="22" t="str">
        <f t="array" ref="B171">IF(E171="","",IFERROR(INDEX(CONFIGURACION!D:D,MATCH(E171,CONFIGURACION!E:E,0)),""))
</f>
        <v/>
      </c>
      <c r="C171" s="31"/>
      <c r="D171" s="9"/>
      <c r="E171" s="6"/>
      <c r="F171" s="24"/>
      <c r="G171" s="9"/>
      <c r="H171" s="32"/>
      <c r="I171" s="33" t="str">
        <f>IFERROR(__xludf.DUMMYFUNCTION("IF(F171="""","""",LET(
  nombre, TRIM(F171),
  primer, REGEXEXTRACT(nombre, ""^\S+""),
  resto, TRIM(REGEXREPLACE(nombre, ""^\S+\s*"", """")),
  iniciales, IF(
    resto="""",
    """",
    TEXTJOIN("""",1,ARRAYFORMULA(LEFT(SPLIT(resto,"" ""),1) &amp; "".""))"&amp;"
  ),
  UPPER(primer) &amp; "" "" &amp; UPPER(iniciales)
))"),"")</f>
        <v/>
      </c>
      <c r="J171" s="33" t="str">
        <f>IFERROR(__xludf.DUMMYFUNCTION("IF(H171="""","""",IFERROR(
IF(REGEXMATCH(E171,""VELOCIDAD""),
   IF(H171&gt;=MAX(INDEX(BAREMOS!F:X,MATCH(1,(BAREMOS!A:A=A171)*(BAREMOS!B:B=B171)*(BAREMOS!C:C=C171)*(BAREMOS!D:D=D171),0),0)),1,
      IF(H171&lt;=MIN(INDEX(BAREMOS!F:X,MATCH(1,(BAREMOS!A:A=A171)*("&amp;"BAREMOS!B:B=B171)*(BAREMOS!C:C=C171)*(BAREMOS!D:D=D171),0),0)),19,
         MATCH(H171,INDEX(BAREMOS!F:X,MATCH(1,(BAREMOS!A:A=A171)*(BAREMOS!B:B=B171)*(BAREMOS!C:C=C171)*(BAREMOS!D:D=D171),0),0),-1)
      )
   ),
   IF(H171&lt;=MIN(INDEX(BAREMOS!F:X,MATCH(1,"&amp;"(BAREMOS!A:A=A171)*(BAREMOS!B:B=B171)*(BAREMOS!C:C=C171)*(BAREMOS!D:D=D171),0),0)),1,
      IF(H171&gt;=MAX(INDEX(BAREMOS!F:X,MATCH(1,(BAREMOS!A:A=A171)*(BAREMOS!B:B=B171)*(BAREMOS!C:C=C171)*(BAREMOS!D:D=D171),0),0)),19,
         MATCH(H171,INDEX(BAREMOS!F:X"&amp;",MATCH(1,(BAREMOS!A:A=A171)*(BAREMOS!B:B=B171)*(BAREMOS!C:C=C171)*(BAREMOS!D:D=D171),0),0),1)
      )
   )
)
,""""))
"),"")</f>
        <v/>
      </c>
      <c r="K171" s="34" t="str">
        <f t="shared" si="1"/>
        <v/>
      </c>
      <c r="L171" s="16"/>
      <c r="M171" s="16"/>
      <c r="N171" s="16"/>
      <c r="O171" s="16"/>
      <c r="P171" s="16"/>
      <c r="Q171" s="16"/>
      <c r="R171" s="16"/>
      <c r="S171" s="16"/>
      <c r="T171" s="16"/>
      <c r="U171" s="16"/>
      <c r="V171" s="16"/>
      <c r="W171" s="16"/>
      <c r="X171" s="16"/>
      <c r="Y171" s="16"/>
      <c r="Z171" s="16"/>
      <c r="AA171" s="16"/>
      <c r="AB171" s="16"/>
      <c r="AC171" s="16"/>
    </row>
    <row r="172">
      <c r="A172" s="22" t="str">
        <f t="array" ref="A172">IF(E172="","",IFERROR(INDEX(CONFIGURACION!C:C,MATCH(E172,CONFIGURACION!E:E,0)),""))
</f>
        <v/>
      </c>
      <c r="B172" s="22" t="str">
        <f t="array" ref="B172">IF(E172="","",IFERROR(INDEX(CONFIGURACION!D:D,MATCH(E172,CONFIGURACION!E:E,0)),""))
</f>
        <v/>
      </c>
      <c r="C172" s="31"/>
      <c r="D172" s="9"/>
      <c r="E172" s="6"/>
      <c r="F172" s="24"/>
      <c r="G172" s="9"/>
      <c r="H172" s="32"/>
      <c r="I172" s="33" t="str">
        <f>IFERROR(__xludf.DUMMYFUNCTION("IF(F172="""","""",LET(
  nombre, TRIM(F172),
  primer, REGEXEXTRACT(nombre, ""^\S+""),
  resto, TRIM(REGEXREPLACE(nombre, ""^\S+\s*"", """")),
  iniciales, IF(
    resto="""",
    """",
    TEXTJOIN("""",1,ARRAYFORMULA(LEFT(SPLIT(resto,"" ""),1) &amp; "".""))"&amp;"
  ),
  UPPER(primer) &amp; "" "" &amp; UPPER(iniciales)
))"),"")</f>
        <v/>
      </c>
      <c r="J172" s="33" t="str">
        <f>IFERROR(__xludf.DUMMYFUNCTION("IF(H172="""","""",IFERROR(
IF(REGEXMATCH(E172,""VELOCIDAD""),
   IF(H172&gt;=MAX(INDEX(BAREMOS!F:X,MATCH(1,(BAREMOS!A:A=A172)*(BAREMOS!B:B=B172)*(BAREMOS!C:C=C172)*(BAREMOS!D:D=D172),0),0)),1,
      IF(H172&lt;=MIN(INDEX(BAREMOS!F:X,MATCH(1,(BAREMOS!A:A=A172)*("&amp;"BAREMOS!B:B=B172)*(BAREMOS!C:C=C172)*(BAREMOS!D:D=D172),0),0)),19,
         MATCH(H172,INDEX(BAREMOS!F:X,MATCH(1,(BAREMOS!A:A=A172)*(BAREMOS!B:B=B172)*(BAREMOS!C:C=C172)*(BAREMOS!D:D=D172),0),0),-1)
      )
   ),
   IF(H172&lt;=MIN(INDEX(BAREMOS!F:X,MATCH(1,"&amp;"(BAREMOS!A:A=A172)*(BAREMOS!B:B=B172)*(BAREMOS!C:C=C172)*(BAREMOS!D:D=D172),0),0)),1,
      IF(H172&gt;=MAX(INDEX(BAREMOS!F:X,MATCH(1,(BAREMOS!A:A=A172)*(BAREMOS!B:B=B172)*(BAREMOS!C:C=C172)*(BAREMOS!D:D=D172),0),0)),19,
         MATCH(H172,INDEX(BAREMOS!F:X"&amp;",MATCH(1,(BAREMOS!A:A=A172)*(BAREMOS!B:B=B172)*(BAREMOS!C:C=C172)*(BAREMOS!D:D=D172),0),0),1)
      )
   )
)
,""""))
"),"")</f>
        <v/>
      </c>
      <c r="K172" s="34" t="str">
        <f t="shared" si="1"/>
        <v/>
      </c>
      <c r="L172" s="16"/>
      <c r="M172" s="16"/>
      <c r="N172" s="16"/>
      <c r="O172" s="16"/>
      <c r="P172" s="16"/>
      <c r="Q172" s="16"/>
      <c r="R172" s="16"/>
      <c r="S172" s="16"/>
      <c r="T172" s="16"/>
      <c r="U172" s="16"/>
      <c r="V172" s="16"/>
      <c r="W172" s="16"/>
      <c r="X172" s="16"/>
      <c r="Y172" s="16"/>
      <c r="Z172" s="16"/>
      <c r="AA172" s="16"/>
      <c r="AB172" s="16"/>
      <c r="AC172" s="16"/>
    </row>
    <row r="173">
      <c r="A173" s="22" t="str">
        <f t="array" ref="A173">IF(E173="","",IFERROR(INDEX(CONFIGURACION!C:C,MATCH(E173,CONFIGURACION!E:E,0)),""))
</f>
        <v/>
      </c>
      <c r="B173" s="22" t="str">
        <f t="array" ref="B173">IF(E173="","",IFERROR(INDEX(CONFIGURACION!D:D,MATCH(E173,CONFIGURACION!E:E,0)),""))
</f>
        <v/>
      </c>
      <c r="C173" s="31"/>
      <c r="D173" s="9"/>
      <c r="E173" s="6"/>
      <c r="F173" s="24"/>
      <c r="G173" s="9"/>
      <c r="H173" s="32"/>
      <c r="I173" s="33" t="str">
        <f>IFERROR(__xludf.DUMMYFUNCTION("IF(F173="""","""",LET(
  nombre, TRIM(F173),
  primer, REGEXEXTRACT(nombre, ""^\S+""),
  resto, TRIM(REGEXREPLACE(nombre, ""^\S+\s*"", """")),
  iniciales, IF(
    resto="""",
    """",
    TEXTJOIN("""",1,ARRAYFORMULA(LEFT(SPLIT(resto,"" ""),1) &amp; "".""))"&amp;"
  ),
  UPPER(primer) &amp; "" "" &amp; UPPER(iniciales)
))"),"")</f>
        <v/>
      </c>
      <c r="J173" s="33" t="str">
        <f>IFERROR(__xludf.DUMMYFUNCTION("IF(H173="""","""",IFERROR(
IF(REGEXMATCH(E173,""VELOCIDAD""),
   IF(H173&gt;=MAX(INDEX(BAREMOS!F:X,MATCH(1,(BAREMOS!A:A=A173)*(BAREMOS!B:B=B173)*(BAREMOS!C:C=C173)*(BAREMOS!D:D=D173),0),0)),1,
      IF(H173&lt;=MIN(INDEX(BAREMOS!F:X,MATCH(1,(BAREMOS!A:A=A173)*("&amp;"BAREMOS!B:B=B173)*(BAREMOS!C:C=C173)*(BAREMOS!D:D=D173),0),0)),19,
         MATCH(H173,INDEX(BAREMOS!F:X,MATCH(1,(BAREMOS!A:A=A173)*(BAREMOS!B:B=B173)*(BAREMOS!C:C=C173)*(BAREMOS!D:D=D173),0),0),-1)
      )
   ),
   IF(H173&lt;=MIN(INDEX(BAREMOS!F:X,MATCH(1,"&amp;"(BAREMOS!A:A=A173)*(BAREMOS!B:B=B173)*(BAREMOS!C:C=C173)*(BAREMOS!D:D=D173),0),0)),1,
      IF(H173&gt;=MAX(INDEX(BAREMOS!F:X,MATCH(1,(BAREMOS!A:A=A173)*(BAREMOS!B:B=B173)*(BAREMOS!C:C=C173)*(BAREMOS!D:D=D173),0),0)),19,
         MATCH(H173,INDEX(BAREMOS!F:X"&amp;",MATCH(1,(BAREMOS!A:A=A173)*(BAREMOS!B:B=B173)*(BAREMOS!C:C=C173)*(BAREMOS!D:D=D173),0),0),1)
      )
   )
)
,""""))
"),"")</f>
        <v/>
      </c>
      <c r="K173" s="34" t="str">
        <f t="shared" si="1"/>
        <v/>
      </c>
      <c r="L173" s="16"/>
      <c r="M173" s="16"/>
      <c r="N173" s="16"/>
      <c r="O173" s="16"/>
      <c r="P173" s="16"/>
      <c r="Q173" s="16"/>
      <c r="R173" s="16"/>
      <c r="S173" s="16"/>
      <c r="T173" s="16"/>
      <c r="U173" s="16"/>
      <c r="V173" s="16"/>
      <c r="W173" s="16"/>
      <c r="X173" s="16"/>
      <c r="Y173" s="16"/>
      <c r="Z173" s="16"/>
      <c r="AA173" s="16"/>
      <c r="AB173" s="16"/>
      <c r="AC173" s="16"/>
    </row>
    <row r="174">
      <c r="A174" s="22" t="str">
        <f t="array" ref="A174">IF(E174="","",IFERROR(INDEX(CONFIGURACION!C:C,MATCH(E174,CONFIGURACION!E:E,0)),""))
</f>
        <v/>
      </c>
      <c r="B174" s="22" t="str">
        <f t="array" ref="B174">IF(E174="","",IFERROR(INDEX(CONFIGURACION!D:D,MATCH(E174,CONFIGURACION!E:E,0)),""))
</f>
        <v/>
      </c>
      <c r="C174" s="31"/>
      <c r="D174" s="9"/>
      <c r="E174" s="6"/>
      <c r="F174" s="24"/>
      <c r="G174" s="9"/>
      <c r="H174" s="32"/>
      <c r="I174" s="33" t="str">
        <f>IFERROR(__xludf.DUMMYFUNCTION("IF(F174="""","""",LET(
  nombre, TRIM(F174),
  primer, REGEXEXTRACT(nombre, ""^\S+""),
  resto, TRIM(REGEXREPLACE(nombre, ""^\S+\s*"", """")),
  iniciales, IF(
    resto="""",
    """",
    TEXTJOIN("""",1,ARRAYFORMULA(LEFT(SPLIT(resto,"" ""),1) &amp; "".""))"&amp;"
  ),
  UPPER(primer) &amp; "" "" &amp; UPPER(iniciales)
))"),"")</f>
        <v/>
      </c>
      <c r="J174" s="33" t="str">
        <f>IFERROR(__xludf.DUMMYFUNCTION("IF(H174="""","""",IFERROR(
IF(REGEXMATCH(E174,""VELOCIDAD""),
   IF(H174&gt;=MAX(INDEX(BAREMOS!F:X,MATCH(1,(BAREMOS!A:A=A174)*(BAREMOS!B:B=B174)*(BAREMOS!C:C=C174)*(BAREMOS!D:D=D174),0),0)),1,
      IF(H174&lt;=MIN(INDEX(BAREMOS!F:X,MATCH(1,(BAREMOS!A:A=A174)*("&amp;"BAREMOS!B:B=B174)*(BAREMOS!C:C=C174)*(BAREMOS!D:D=D174),0),0)),19,
         MATCH(H174,INDEX(BAREMOS!F:X,MATCH(1,(BAREMOS!A:A=A174)*(BAREMOS!B:B=B174)*(BAREMOS!C:C=C174)*(BAREMOS!D:D=D174),0),0),-1)
      )
   ),
   IF(H174&lt;=MIN(INDEX(BAREMOS!F:X,MATCH(1,"&amp;"(BAREMOS!A:A=A174)*(BAREMOS!B:B=B174)*(BAREMOS!C:C=C174)*(BAREMOS!D:D=D174),0),0)),1,
      IF(H174&gt;=MAX(INDEX(BAREMOS!F:X,MATCH(1,(BAREMOS!A:A=A174)*(BAREMOS!B:B=B174)*(BAREMOS!C:C=C174)*(BAREMOS!D:D=D174),0),0)),19,
         MATCH(H174,INDEX(BAREMOS!F:X"&amp;",MATCH(1,(BAREMOS!A:A=A174)*(BAREMOS!B:B=B174)*(BAREMOS!C:C=C174)*(BAREMOS!D:D=D174),0),0),1)
      )
   )
)
,""""))
"),"")</f>
        <v/>
      </c>
      <c r="K174" s="34" t="str">
        <f t="shared" si="1"/>
        <v/>
      </c>
      <c r="L174" s="16"/>
      <c r="M174" s="16"/>
      <c r="N174" s="16"/>
      <c r="O174" s="16"/>
      <c r="P174" s="16"/>
      <c r="Q174" s="16"/>
      <c r="R174" s="16"/>
      <c r="S174" s="16"/>
      <c r="T174" s="16"/>
      <c r="U174" s="16"/>
      <c r="V174" s="16"/>
      <c r="W174" s="16"/>
      <c r="X174" s="16"/>
      <c r="Y174" s="16"/>
      <c r="Z174" s="16"/>
      <c r="AA174" s="16"/>
      <c r="AB174" s="16"/>
      <c r="AC174" s="16"/>
    </row>
    <row r="175">
      <c r="A175" s="22" t="str">
        <f t="array" ref="A175">IF(E175="","",IFERROR(INDEX(CONFIGURACION!C:C,MATCH(E175,CONFIGURACION!E:E,0)),""))
</f>
        <v/>
      </c>
      <c r="B175" s="22" t="str">
        <f t="array" ref="B175">IF(E175="","",IFERROR(INDEX(CONFIGURACION!D:D,MATCH(E175,CONFIGURACION!E:E,0)),""))
</f>
        <v/>
      </c>
      <c r="C175" s="31"/>
      <c r="D175" s="9"/>
      <c r="E175" s="6"/>
      <c r="F175" s="24"/>
      <c r="G175" s="9"/>
      <c r="H175" s="32"/>
      <c r="I175" s="33" t="str">
        <f>IFERROR(__xludf.DUMMYFUNCTION("IF(F175="""","""",LET(
  nombre, TRIM(F175),
  primer, REGEXEXTRACT(nombre, ""^\S+""),
  resto, TRIM(REGEXREPLACE(nombre, ""^\S+\s*"", """")),
  iniciales, IF(
    resto="""",
    """",
    TEXTJOIN("""",1,ARRAYFORMULA(LEFT(SPLIT(resto,"" ""),1) &amp; "".""))"&amp;"
  ),
  UPPER(primer) &amp; "" "" &amp; UPPER(iniciales)
))"),"")</f>
        <v/>
      </c>
      <c r="J175" s="33" t="str">
        <f>IFERROR(__xludf.DUMMYFUNCTION("IF(H175="""","""",IFERROR(
IF(REGEXMATCH(E175,""VELOCIDAD""),
   IF(H175&gt;=MAX(INDEX(BAREMOS!F:X,MATCH(1,(BAREMOS!A:A=A175)*(BAREMOS!B:B=B175)*(BAREMOS!C:C=C175)*(BAREMOS!D:D=D175),0),0)),1,
      IF(H175&lt;=MIN(INDEX(BAREMOS!F:X,MATCH(1,(BAREMOS!A:A=A175)*("&amp;"BAREMOS!B:B=B175)*(BAREMOS!C:C=C175)*(BAREMOS!D:D=D175),0),0)),19,
         MATCH(H175,INDEX(BAREMOS!F:X,MATCH(1,(BAREMOS!A:A=A175)*(BAREMOS!B:B=B175)*(BAREMOS!C:C=C175)*(BAREMOS!D:D=D175),0),0),-1)
      )
   ),
   IF(H175&lt;=MIN(INDEX(BAREMOS!F:X,MATCH(1,"&amp;"(BAREMOS!A:A=A175)*(BAREMOS!B:B=B175)*(BAREMOS!C:C=C175)*(BAREMOS!D:D=D175),0),0)),1,
      IF(H175&gt;=MAX(INDEX(BAREMOS!F:X,MATCH(1,(BAREMOS!A:A=A175)*(BAREMOS!B:B=B175)*(BAREMOS!C:C=C175)*(BAREMOS!D:D=D175),0),0)),19,
         MATCH(H175,INDEX(BAREMOS!F:X"&amp;",MATCH(1,(BAREMOS!A:A=A175)*(BAREMOS!B:B=B175)*(BAREMOS!C:C=C175)*(BAREMOS!D:D=D175),0),0),1)
      )
   )
)
,""""))
"),"")</f>
        <v/>
      </c>
      <c r="K175" s="34" t="str">
        <f t="shared" si="1"/>
        <v/>
      </c>
      <c r="L175" s="16"/>
      <c r="M175" s="16"/>
      <c r="N175" s="16"/>
      <c r="O175" s="16"/>
      <c r="P175" s="16"/>
      <c r="Q175" s="16"/>
      <c r="R175" s="16"/>
      <c r="S175" s="16"/>
      <c r="T175" s="16"/>
      <c r="U175" s="16"/>
      <c r="V175" s="16"/>
      <c r="W175" s="16"/>
      <c r="X175" s="16"/>
      <c r="Y175" s="16"/>
      <c r="Z175" s="16"/>
      <c r="AA175" s="16"/>
      <c r="AB175" s="16"/>
      <c r="AC175" s="16"/>
    </row>
    <row r="176">
      <c r="A176" s="22" t="str">
        <f t="array" ref="A176">IF(E176="","",IFERROR(INDEX(CONFIGURACION!C:C,MATCH(E176,CONFIGURACION!E:E,0)),""))
</f>
        <v/>
      </c>
      <c r="B176" s="22" t="str">
        <f t="array" ref="B176">IF(E176="","",IFERROR(INDEX(CONFIGURACION!D:D,MATCH(E176,CONFIGURACION!E:E,0)),""))
</f>
        <v/>
      </c>
      <c r="C176" s="31"/>
      <c r="D176" s="9"/>
      <c r="E176" s="6"/>
      <c r="F176" s="24"/>
      <c r="G176" s="9"/>
      <c r="H176" s="32"/>
      <c r="I176" s="33" t="str">
        <f>IFERROR(__xludf.DUMMYFUNCTION("IF(F176="""","""",LET(
  nombre, TRIM(F176),
  primer, REGEXEXTRACT(nombre, ""^\S+""),
  resto, TRIM(REGEXREPLACE(nombre, ""^\S+\s*"", """")),
  iniciales, IF(
    resto="""",
    """",
    TEXTJOIN("""",1,ARRAYFORMULA(LEFT(SPLIT(resto,"" ""),1) &amp; "".""))"&amp;"
  ),
  UPPER(primer) &amp; "" "" &amp; UPPER(iniciales)
))"),"")</f>
        <v/>
      </c>
      <c r="J176" s="33" t="str">
        <f>IFERROR(__xludf.DUMMYFUNCTION("IF(H176="""","""",IFERROR(
IF(REGEXMATCH(E176,""VELOCIDAD""),
   IF(H176&gt;=MAX(INDEX(BAREMOS!F:X,MATCH(1,(BAREMOS!A:A=A176)*(BAREMOS!B:B=B176)*(BAREMOS!C:C=C176)*(BAREMOS!D:D=D176),0),0)),1,
      IF(H176&lt;=MIN(INDEX(BAREMOS!F:X,MATCH(1,(BAREMOS!A:A=A176)*("&amp;"BAREMOS!B:B=B176)*(BAREMOS!C:C=C176)*(BAREMOS!D:D=D176),0),0)),19,
         MATCH(H176,INDEX(BAREMOS!F:X,MATCH(1,(BAREMOS!A:A=A176)*(BAREMOS!B:B=B176)*(BAREMOS!C:C=C176)*(BAREMOS!D:D=D176),0),0),-1)
      )
   ),
   IF(H176&lt;=MIN(INDEX(BAREMOS!F:X,MATCH(1,"&amp;"(BAREMOS!A:A=A176)*(BAREMOS!B:B=B176)*(BAREMOS!C:C=C176)*(BAREMOS!D:D=D176),0),0)),1,
      IF(H176&gt;=MAX(INDEX(BAREMOS!F:X,MATCH(1,(BAREMOS!A:A=A176)*(BAREMOS!B:B=B176)*(BAREMOS!C:C=C176)*(BAREMOS!D:D=D176),0),0)),19,
         MATCH(H176,INDEX(BAREMOS!F:X"&amp;",MATCH(1,(BAREMOS!A:A=A176)*(BAREMOS!B:B=B176)*(BAREMOS!C:C=C176)*(BAREMOS!D:D=D176),0),0),1)
      )
   )
)
,""""))
"),"")</f>
        <v/>
      </c>
      <c r="K176" s="34" t="str">
        <f t="shared" si="1"/>
        <v/>
      </c>
      <c r="L176" s="16"/>
      <c r="M176" s="16"/>
      <c r="N176" s="16"/>
      <c r="O176" s="16"/>
      <c r="P176" s="16"/>
      <c r="Q176" s="16"/>
      <c r="R176" s="16"/>
      <c r="S176" s="16"/>
      <c r="T176" s="16"/>
      <c r="U176" s="16"/>
      <c r="V176" s="16"/>
      <c r="W176" s="16"/>
      <c r="X176" s="16"/>
      <c r="Y176" s="16"/>
      <c r="Z176" s="16"/>
      <c r="AA176" s="16"/>
      <c r="AB176" s="16"/>
      <c r="AC176" s="16"/>
    </row>
    <row r="177">
      <c r="A177" s="22" t="str">
        <f t="array" ref="A177">IF(E177="","",IFERROR(INDEX(CONFIGURACION!C:C,MATCH(E177,CONFIGURACION!E:E,0)),""))
</f>
        <v/>
      </c>
      <c r="B177" s="22" t="str">
        <f t="array" ref="B177">IF(E177="","",IFERROR(INDEX(CONFIGURACION!D:D,MATCH(E177,CONFIGURACION!E:E,0)),""))
</f>
        <v/>
      </c>
      <c r="C177" s="31"/>
      <c r="D177" s="9"/>
      <c r="E177" s="6"/>
      <c r="F177" s="24"/>
      <c r="G177" s="9"/>
      <c r="H177" s="32"/>
      <c r="I177" s="33" t="str">
        <f>IFERROR(__xludf.DUMMYFUNCTION("IF(F177="""","""",LET(
  nombre, TRIM(F177),
  primer, REGEXEXTRACT(nombre, ""^\S+""),
  resto, TRIM(REGEXREPLACE(nombre, ""^\S+\s*"", """")),
  iniciales, IF(
    resto="""",
    """",
    TEXTJOIN("""",1,ARRAYFORMULA(LEFT(SPLIT(resto,"" ""),1) &amp; "".""))"&amp;"
  ),
  UPPER(primer) &amp; "" "" &amp; UPPER(iniciales)
))"),"")</f>
        <v/>
      </c>
      <c r="J177" s="33" t="str">
        <f>IFERROR(__xludf.DUMMYFUNCTION("IF(H177="""","""",IFERROR(
IF(REGEXMATCH(E177,""VELOCIDAD""),
   IF(H177&gt;=MAX(INDEX(BAREMOS!F:X,MATCH(1,(BAREMOS!A:A=A177)*(BAREMOS!B:B=B177)*(BAREMOS!C:C=C177)*(BAREMOS!D:D=D177),0),0)),1,
      IF(H177&lt;=MIN(INDEX(BAREMOS!F:X,MATCH(1,(BAREMOS!A:A=A177)*("&amp;"BAREMOS!B:B=B177)*(BAREMOS!C:C=C177)*(BAREMOS!D:D=D177),0),0)),19,
         MATCH(H177,INDEX(BAREMOS!F:X,MATCH(1,(BAREMOS!A:A=A177)*(BAREMOS!B:B=B177)*(BAREMOS!C:C=C177)*(BAREMOS!D:D=D177),0),0),-1)
      )
   ),
   IF(H177&lt;=MIN(INDEX(BAREMOS!F:X,MATCH(1,"&amp;"(BAREMOS!A:A=A177)*(BAREMOS!B:B=B177)*(BAREMOS!C:C=C177)*(BAREMOS!D:D=D177),0),0)),1,
      IF(H177&gt;=MAX(INDEX(BAREMOS!F:X,MATCH(1,(BAREMOS!A:A=A177)*(BAREMOS!B:B=B177)*(BAREMOS!C:C=C177)*(BAREMOS!D:D=D177),0),0)),19,
         MATCH(H177,INDEX(BAREMOS!F:X"&amp;",MATCH(1,(BAREMOS!A:A=A177)*(BAREMOS!B:B=B177)*(BAREMOS!C:C=C177)*(BAREMOS!D:D=D177),0),0),1)
      )
   )
)
,""""))
"),"")</f>
        <v/>
      </c>
      <c r="K177" s="34" t="str">
        <f t="shared" si="1"/>
        <v/>
      </c>
      <c r="L177" s="16"/>
      <c r="M177" s="16"/>
      <c r="N177" s="16"/>
      <c r="O177" s="16"/>
      <c r="P177" s="16"/>
      <c r="Q177" s="16"/>
      <c r="R177" s="16"/>
      <c r="S177" s="16"/>
      <c r="T177" s="16"/>
      <c r="U177" s="16"/>
      <c r="V177" s="16"/>
      <c r="W177" s="16"/>
      <c r="X177" s="16"/>
      <c r="Y177" s="16"/>
      <c r="Z177" s="16"/>
      <c r="AA177" s="16"/>
      <c r="AB177" s="16"/>
      <c r="AC177" s="16"/>
    </row>
    <row r="178">
      <c r="A178" s="22" t="str">
        <f t="array" ref="A178">IF(E178="","",IFERROR(INDEX(CONFIGURACION!C:C,MATCH(E178,CONFIGURACION!E:E,0)),""))
</f>
        <v/>
      </c>
      <c r="B178" s="22" t="str">
        <f t="array" ref="B178">IF(E178="","",IFERROR(INDEX(CONFIGURACION!D:D,MATCH(E178,CONFIGURACION!E:E,0)),""))
</f>
        <v/>
      </c>
      <c r="C178" s="31"/>
      <c r="D178" s="9"/>
      <c r="E178" s="6"/>
      <c r="F178" s="24"/>
      <c r="G178" s="9"/>
      <c r="H178" s="32"/>
      <c r="I178" s="33" t="str">
        <f>IFERROR(__xludf.DUMMYFUNCTION("IF(F178="""","""",LET(
  nombre, TRIM(F178),
  primer, REGEXEXTRACT(nombre, ""^\S+""),
  resto, TRIM(REGEXREPLACE(nombre, ""^\S+\s*"", """")),
  iniciales, IF(
    resto="""",
    """",
    TEXTJOIN("""",1,ARRAYFORMULA(LEFT(SPLIT(resto,"" ""),1) &amp; "".""))"&amp;"
  ),
  UPPER(primer) &amp; "" "" &amp; UPPER(iniciales)
))"),"")</f>
        <v/>
      </c>
      <c r="J178" s="33" t="str">
        <f>IFERROR(__xludf.DUMMYFUNCTION("IF(H178="""","""",IFERROR(
IF(REGEXMATCH(E178,""VELOCIDAD""),
   IF(H178&gt;=MAX(INDEX(BAREMOS!F:X,MATCH(1,(BAREMOS!A:A=A178)*(BAREMOS!B:B=B178)*(BAREMOS!C:C=C178)*(BAREMOS!D:D=D178),0),0)),1,
      IF(H178&lt;=MIN(INDEX(BAREMOS!F:X,MATCH(1,(BAREMOS!A:A=A178)*("&amp;"BAREMOS!B:B=B178)*(BAREMOS!C:C=C178)*(BAREMOS!D:D=D178),0),0)),19,
         MATCH(H178,INDEX(BAREMOS!F:X,MATCH(1,(BAREMOS!A:A=A178)*(BAREMOS!B:B=B178)*(BAREMOS!C:C=C178)*(BAREMOS!D:D=D178),0),0),-1)
      )
   ),
   IF(H178&lt;=MIN(INDEX(BAREMOS!F:X,MATCH(1,"&amp;"(BAREMOS!A:A=A178)*(BAREMOS!B:B=B178)*(BAREMOS!C:C=C178)*(BAREMOS!D:D=D178),0),0)),1,
      IF(H178&gt;=MAX(INDEX(BAREMOS!F:X,MATCH(1,(BAREMOS!A:A=A178)*(BAREMOS!B:B=B178)*(BAREMOS!C:C=C178)*(BAREMOS!D:D=D178),0),0)),19,
         MATCH(H178,INDEX(BAREMOS!F:X"&amp;",MATCH(1,(BAREMOS!A:A=A178)*(BAREMOS!B:B=B178)*(BAREMOS!C:C=C178)*(BAREMOS!D:D=D178),0),0),1)
      )
   )
)
,""""))
"),"")</f>
        <v/>
      </c>
      <c r="K178" s="34" t="str">
        <f t="shared" si="1"/>
        <v/>
      </c>
      <c r="L178" s="16"/>
      <c r="M178" s="16"/>
      <c r="N178" s="16"/>
      <c r="O178" s="16"/>
      <c r="P178" s="16"/>
      <c r="Q178" s="16"/>
      <c r="R178" s="16"/>
      <c r="S178" s="16"/>
      <c r="T178" s="16"/>
      <c r="U178" s="16"/>
      <c r="V178" s="16"/>
      <c r="W178" s="16"/>
      <c r="X178" s="16"/>
      <c r="Y178" s="16"/>
      <c r="Z178" s="16"/>
      <c r="AA178" s="16"/>
      <c r="AB178" s="16"/>
      <c r="AC178" s="16"/>
    </row>
    <row r="179">
      <c r="A179" s="22" t="str">
        <f t="array" ref="A179">IF(E179="","",IFERROR(INDEX(CONFIGURACION!C:C,MATCH(E179,CONFIGURACION!E:E,0)),""))
</f>
        <v/>
      </c>
      <c r="B179" s="22" t="str">
        <f t="array" ref="B179">IF(E179="","",IFERROR(INDEX(CONFIGURACION!D:D,MATCH(E179,CONFIGURACION!E:E,0)),""))
</f>
        <v/>
      </c>
      <c r="C179" s="31"/>
      <c r="D179" s="9"/>
      <c r="E179" s="6"/>
      <c r="F179" s="24"/>
      <c r="G179" s="9"/>
      <c r="H179" s="32"/>
      <c r="I179" s="33" t="str">
        <f>IFERROR(__xludf.DUMMYFUNCTION("IF(F179="""","""",LET(
  nombre, TRIM(F179),
  primer, REGEXEXTRACT(nombre, ""^\S+""),
  resto, TRIM(REGEXREPLACE(nombre, ""^\S+\s*"", """")),
  iniciales, IF(
    resto="""",
    """",
    TEXTJOIN("""",1,ARRAYFORMULA(LEFT(SPLIT(resto,"" ""),1) &amp; "".""))"&amp;"
  ),
  UPPER(primer) &amp; "" "" &amp; UPPER(iniciales)
))"),"")</f>
        <v/>
      </c>
      <c r="J179" s="33" t="str">
        <f>IFERROR(__xludf.DUMMYFUNCTION("IF(H179="""","""",IFERROR(
IF(REGEXMATCH(E179,""VELOCIDAD""),
   IF(H179&gt;=MAX(INDEX(BAREMOS!F:X,MATCH(1,(BAREMOS!A:A=A179)*(BAREMOS!B:B=B179)*(BAREMOS!C:C=C179)*(BAREMOS!D:D=D179),0),0)),1,
      IF(H179&lt;=MIN(INDEX(BAREMOS!F:X,MATCH(1,(BAREMOS!A:A=A179)*("&amp;"BAREMOS!B:B=B179)*(BAREMOS!C:C=C179)*(BAREMOS!D:D=D179),0),0)),19,
         MATCH(H179,INDEX(BAREMOS!F:X,MATCH(1,(BAREMOS!A:A=A179)*(BAREMOS!B:B=B179)*(BAREMOS!C:C=C179)*(BAREMOS!D:D=D179),0),0),-1)
      )
   ),
   IF(H179&lt;=MIN(INDEX(BAREMOS!F:X,MATCH(1,"&amp;"(BAREMOS!A:A=A179)*(BAREMOS!B:B=B179)*(BAREMOS!C:C=C179)*(BAREMOS!D:D=D179),0),0)),1,
      IF(H179&gt;=MAX(INDEX(BAREMOS!F:X,MATCH(1,(BAREMOS!A:A=A179)*(BAREMOS!B:B=B179)*(BAREMOS!C:C=C179)*(BAREMOS!D:D=D179),0),0)),19,
         MATCH(H179,INDEX(BAREMOS!F:X"&amp;",MATCH(1,(BAREMOS!A:A=A179)*(BAREMOS!B:B=B179)*(BAREMOS!C:C=C179)*(BAREMOS!D:D=D179),0),0),1)
      )
   )
)
,""""))
"),"")</f>
        <v/>
      </c>
      <c r="K179" s="34" t="str">
        <f t="shared" si="1"/>
        <v/>
      </c>
      <c r="L179" s="16"/>
      <c r="M179" s="16"/>
      <c r="N179" s="16"/>
      <c r="O179" s="16"/>
      <c r="P179" s="16"/>
      <c r="Q179" s="16"/>
      <c r="R179" s="16"/>
      <c r="S179" s="16"/>
      <c r="T179" s="16"/>
      <c r="U179" s="16"/>
      <c r="V179" s="16"/>
      <c r="W179" s="16"/>
      <c r="X179" s="16"/>
      <c r="Y179" s="16"/>
      <c r="Z179" s="16"/>
      <c r="AA179" s="16"/>
      <c r="AB179" s="16"/>
      <c r="AC179" s="16"/>
    </row>
    <row r="180">
      <c r="A180" s="22" t="str">
        <f t="array" ref="A180">IF(E180="","",IFERROR(INDEX(CONFIGURACION!C:C,MATCH(E180,CONFIGURACION!E:E,0)),""))
</f>
        <v/>
      </c>
      <c r="B180" s="22" t="str">
        <f t="array" ref="B180">IF(E180="","",IFERROR(INDEX(CONFIGURACION!D:D,MATCH(E180,CONFIGURACION!E:E,0)),""))
</f>
        <v/>
      </c>
      <c r="C180" s="31"/>
      <c r="D180" s="9"/>
      <c r="E180" s="6"/>
      <c r="F180" s="24"/>
      <c r="G180" s="9"/>
      <c r="H180" s="32"/>
      <c r="I180" s="33" t="str">
        <f>IFERROR(__xludf.DUMMYFUNCTION("IF(F180="""","""",LET(
  nombre, TRIM(F180),
  primer, REGEXEXTRACT(nombre, ""^\S+""),
  resto, TRIM(REGEXREPLACE(nombre, ""^\S+\s*"", """")),
  iniciales, IF(
    resto="""",
    """",
    TEXTJOIN("""",1,ARRAYFORMULA(LEFT(SPLIT(resto,"" ""),1) &amp; "".""))"&amp;"
  ),
  UPPER(primer) &amp; "" "" &amp; UPPER(iniciales)
))"),"")</f>
        <v/>
      </c>
      <c r="J180" s="33" t="str">
        <f>IFERROR(__xludf.DUMMYFUNCTION("IF(H180="""","""",IFERROR(
IF(REGEXMATCH(E180,""VELOCIDAD""),
   IF(H180&gt;=MAX(INDEX(BAREMOS!F:X,MATCH(1,(BAREMOS!A:A=A180)*(BAREMOS!B:B=B180)*(BAREMOS!C:C=C180)*(BAREMOS!D:D=D180),0),0)),1,
      IF(H180&lt;=MIN(INDEX(BAREMOS!F:X,MATCH(1,(BAREMOS!A:A=A180)*("&amp;"BAREMOS!B:B=B180)*(BAREMOS!C:C=C180)*(BAREMOS!D:D=D180),0),0)),19,
         MATCH(H180,INDEX(BAREMOS!F:X,MATCH(1,(BAREMOS!A:A=A180)*(BAREMOS!B:B=B180)*(BAREMOS!C:C=C180)*(BAREMOS!D:D=D180),0),0),-1)
      )
   ),
   IF(H180&lt;=MIN(INDEX(BAREMOS!F:X,MATCH(1,"&amp;"(BAREMOS!A:A=A180)*(BAREMOS!B:B=B180)*(BAREMOS!C:C=C180)*(BAREMOS!D:D=D180),0),0)),1,
      IF(H180&gt;=MAX(INDEX(BAREMOS!F:X,MATCH(1,(BAREMOS!A:A=A180)*(BAREMOS!B:B=B180)*(BAREMOS!C:C=C180)*(BAREMOS!D:D=D180),0),0)),19,
         MATCH(H180,INDEX(BAREMOS!F:X"&amp;",MATCH(1,(BAREMOS!A:A=A180)*(BAREMOS!B:B=B180)*(BAREMOS!C:C=C180)*(BAREMOS!D:D=D180),0),0),1)
      )
   )
)
,""""))
"),"")</f>
        <v/>
      </c>
      <c r="K180" s="34" t="str">
        <f t="shared" si="1"/>
        <v/>
      </c>
      <c r="L180" s="16"/>
      <c r="M180" s="16"/>
      <c r="N180" s="16"/>
      <c r="O180" s="16"/>
      <c r="P180" s="16"/>
      <c r="Q180" s="16"/>
      <c r="R180" s="16"/>
      <c r="S180" s="16"/>
      <c r="T180" s="16"/>
      <c r="U180" s="16"/>
      <c r="V180" s="16"/>
      <c r="W180" s="16"/>
      <c r="X180" s="16"/>
      <c r="Y180" s="16"/>
      <c r="Z180" s="16"/>
      <c r="AA180" s="16"/>
      <c r="AB180" s="16"/>
      <c r="AC180" s="16"/>
    </row>
    <row r="181">
      <c r="A181" s="22" t="str">
        <f t="array" ref="A181">IF(E181="","",IFERROR(INDEX(CONFIGURACION!C:C,MATCH(E181,CONFIGURACION!E:E,0)),""))
</f>
        <v/>
      </c>
      <c r="B181" s="22" t="str">
        <f t="array" ref="B181">IF(E181="","",IFERROR(INDEX(CONFIGURACION!D:D,MATCH(E181,CONFIGURACION!E:E,0)),""))
</f>
        <v/>
      </c>
      <c r="C181" s="31"/>
      <c r="D181" s="9"/>
      <c r="E181" s="6"/>
      <c r="F181" s="24"/>
      <c r="G181" s="9"/>
      <c r="H181" s="32"/>
      <c r="I181" s="33" t="str">
        <f>IFERROR(__xludf.DUMMYFUNCTION("IF(F181="""","""",LET(
  nombre, TRIM(F181),
  primer, REGEXEXTRACT(nombre, ""^\S+""),
  resto, TRIM(REGEXREPLACE(nombre, ""^\S+\s*"", """")),
  iniciales, IF(
    resto="""",
    """",
    TEXTJOIN("""",1,ARRAYFORMULA(LEFT(SPLIT(resto,"" ""),1) &amp; "".""))"&amp;"
  ),
  UPPER(primer) &amp; "" "" &amp; UPPER(iniciales)
))"),"")</f>
        <v/>
      </c>
      <c r="J181" s="33" t="str">
        <f>IFERROR(__xludf.DUMMYFUNCTION("IF(H181="""","""",IFERROR(
IF(REGEXMATCH(E181,""VELOCIDAD""),
   IF(H181&gt;=MAX(INDEX(BAREMOS!F:X,MATCH(1,(BAREMOS!A:A=A181)*(BAREMOS!B:B=B181)*(BAREMOS!C:C=C181)*(BAREMOS!D:D=D181),0),0)),1,
      IF(H181&lt;=MIN(INDEX(BAREMOS!F:X,MATCH(1,(BAREMOS!A:A=A181)*("&amp;"BAREMOS!B:B=B181)*(BAREMOS!C:C=C181)*(BAREMOS!D:D=D181),0),0)),19,
         MATCH(H181,INDEX(BAREMOS!F:X,MATCH(1,(BAREMOS!A:A=A181)*(BAREMOS!B:B=B181)*(BAREMOS!C:C=C181)*(BAREMOS!D:D=D181),0),0),-1)
      )
   ),
   IF(H181&lt;=MIN(INDEX(BAREMOS!F:X,MATCH(1,"&amp;"(BAREMOS!A:A=A181)*(BAREMOS!B:B=B181)*(BAREMOS!C:C=C181)*(BAREMOS!D:D=D181),0),0)),1,
      IF(H181&gt;=MAX(INDEX(BAREMOS!F:X,MATCH(1,(BAREMOS!A:A=A181)*(BAREMOS!B:B=B181)*(BAREMOS!C:C=C181)*(BAREMOS!D:D=D181),0),0)),19,
         MATCH(H181,INDEX(BAREMOS!F:X"&amp;",MATCH(1,(BAREMOS!A:A=A181)*(BAREMOS!B:B=B181)*(BAREMOS!C:C=C181)*(BAREMOS!D:D=D181),0),0),1)
      )
   )
)
,""""))
"),"")</f>
        <v/>
      </c>
      <c r="K181" s="34" t="str">
        <f t="shared" si="1"/>
        <v/>
      </c>
      <c r="L181" s="16"/>
      <c r="M181" s="16"/>
      <c r="N181" s="16"/>
      <c r="O181" s="16"/>
      <c r="P181" s="16"/>
      <c r="Q181" s="16"/>
      <c r="R181" s="16"/>
      <c r="S181" s="16"/>
      <c r="T181" s="16"/>
      <c r="U181" s="16"/>
      <c r="V181" s="16"/>
      <c r="W181" s="16"/>
      <c r="X181" s="16"/>
      <c r="Y181" s="16"/>
      <c r="Z181" s="16"/>
      <c r="AA181" s="16"/>
      <c r="AB181" s="16"/>
      <c r="AC181" s="16"/>
    </row>
    <row r="182">
      <c r="A182" s="22" t="str">
        <f t="array" ref="A182">IF(E182="","",IFERROR(INDEX(CONFIGURACION!C:C,MATCH(E182,CONFIGURACION!E:E,0)),""))
</f>
        <v/>
      </c>
      <c r="B182" s="22" t="str">
        <f t="array" ref="B182">IF(E182="","",IFERROR(INDEX(CONFIGURACION!D:D,MATCH(E182,CONFIGURACION!E:E,0)),""))
</f>
        <v/>
      </c>
      <c r="C182" s="31"/>
      <c r="D182" s="9"/>
      <c r="E182" s="6"/>
      <c r="F182" s="24"/>
      <c r="G182" s="9"/>
      <c r="H182" s="32"/>
      <c r="I182" s="33" t="str">
        <f>IFERROR(__xludf.DUMMYFUNCTION("IF(F182="""","""",LET(
  nombre, TRIM(F182),
  primer, REGEXEXTRACT(nombre, ""^\S+""),
  resto, TRIM(REGEXREPLACE(nombre, ""^\S+\s*"", """")),
  iniciales, IF(
    resto="""",
    """",
    TEXTJOIN("""",1,ARRAYFORMULA(LEFT(SPLIT(resto,"" ""),1) &amp; "".""))"&amp;"
  ),
  UPPER(primer) &amp; "" "" &amp; UPPER(iniciales)
))"),"")</f>
        <v/>
      </c>
      <c r="J182" s="33" t="str">
        <f>IFERROR(__xludf.DUMMYFUNCTION("IF(H182="""","""",IFERROR(
IF(REGEXMATCH(E182,""VELOCIDAD""),
   IF(H182&gt;=MAX(INDEX(BAREMOS!F:X,MATCH(1,(BAREMOS!A:A=A182)*(BAREMOS!B:B=B182)*(BAREMOS!C:C=C182)*(BAREMOS!D:D=D182),0),0)),1,
      IF(H182&lt;=MIN(INDEX(BAREMOS!F:X,MATCH(1,(BAREMOS!A:A=A182)*("&amp;"BAREMOS!B:B=B182)*(BAREMOS!C:C=C182)*(BAREMOS!D:D=D182),0),0)),19,
         MATCH(H182,INDEX(BAREMOS!F:X,MATCH(1,(BAREMOS!A:A=A182)*(BAREMOS!B:B=B182)*(BAREMOS!C:C=C182)*(BAREMOS!D:D=D182),0),0),-1)
      )
   ),
   IF(H182&lt;=MIN(INDEX(BAREMOS!F:X,MATCH(1,"&amp;"(BAREMOS!A:A=A182)*(BAREMOS!B:B=B182)*(BAREMOS!C:C=C182)*(BAREMOS!D:D=D182),0),0)),1,
      IF(H182&gt;=MAX(INDEX(BAREMOS!F:X,MATCH(1,(BAREMOS!A:A=A182)*(BAREMOS!B:B=B182)*(BAREMOS!C:C=C182)*(BAREMOS!D:D=D182),0),0)),19,
         MATCH(H182,INDEX(BAREMOS!F:X"&amp;",MATCH(1,(BAREMOS!A:A=A182)*(BAREMOS!B:B=B182)*(BAREMOS!C:C=C182)*(BAREMOS!D:D=D182),0),0),1)
      )
   )
)
,""""))
"),"")</f>
        <v/>
      </c>
      <c r="K182" s="34" t="str">
        <f t="shared" si="1"/>
        <v/>
      </c>
      <c r="L182" s="16"/>
      <c r="M182" s="16"/>
      <c r="N182" s="16"/>
      <c r="O182" s="16"/>
      <c r="P182" s="16"/>
      <c r="Q182" s="16"/>
      <c r="R182" s="16"/>
      <c r="S182" s="16"/>
      <c r="T182" s="16"/>
      <c r="U182" s="16"/>
      <c r="V182" s="16"/>
      <c r="W182" s="16"/>
      <c r="X182" s="16"/>
      <c r="Y182" s="16"/>
      <c r="Z182" s="16"/>
      <c r="AA182" s="16"/>
      <c r="AB182" s="16"/>
      <c r="AC182" s="16"/>
    </row>
    <row r="183">
      <c r="A183" s="22" t="str">
        <f t="array" ref="A183">IF(E183="","",IFERROR(INDEX(CONFIGURACION!C:C,MATCH(E183,CONFIGURACION!E:E,0)),""))
</f>
        <v/>
      </c>
      <c r="B183" s="22" t="str">
        <f t="array" ref="B183">IF(E183="","",IFERROR(INDEX(CONFIGURACION!D:D,MATCH(E183,CONFIGURACION!E:E,0)),""))
</f>
        <v/>
      </c>
      <c r="C183" s="31"/>
      <c r="D183" s="9"/>
      <c r="E183" s="6"/>
      <c r="F183" s="24"/>
      <c r="G183" s="9"/>
      <c r="H183" s="32"/>
      <c r="I183" s="33" t="str">
        <f>IFERROR(__xludf.DUMMYFUNCTION("IF(F183="""","""",LET(
  nombre, TRIM(F183),
  primer, REGEXEXTRACT(nombre, ""^\S+""),
  resto, TRIM(REGEXREPLACE(nombre, ""^\S+\s*"", """")),
  iniciales, IF(
    resto="""",
    """",
    TEXTJOIN("""",1,ARRAYFORMULA(LEFT(SPLIT(resto,"" ""),1) &amp; "".""))"&amp;"
  ),
  UPPER(primer) &amp; "" "" &amp; UPPER(iniciales)
))"),"")</f>
        <v/>
      </c>
      <c r="J183" s="33" t="str">
        <f>IFERROR(__xludf.DUMMYFUNCTION("IF(H183="""","""",IFERROR(
IF(REGEXMATCH(E183,""VELOCIDAD""),
   IF(H183&gt;=MAX(INDEX(BAREMOS!F:X,MATCH(1,(BAREMOS!A:A=A183)*(BAREMOS!B:B=B183)*(BAREMOS!C:C=C183)*(BAREMOS!D:D=D183),0),0)),1,
      IF(H183&lt;=MIN(INDEX(BAREMOS!F:X,MATCH(1,(BAREMOS!A:A=A183)*("&amp;"BAREMOS!B:B=B183)*(BAREMOS!C:C=C183)*(BAREMOS!D:D=D183),0),0)),19,
         MATCH(H183,INDEX(BAREMOS!F:X,MATCH(1,(BAREMOS!A:A=A183)*(BAREMOS!B:B=B183)*(BAREMOS!C:C=C183)*(BAREMOS!D:D=D183),0),0),-1)
      )
   ),
   IF(H183&lt;=MIN(INDEX(BAREMOS!F:X,MATCH(1,"&amp;"(BAREMOS!A:A=A183)*(BAREMOS!B:B=B183)*(BAREMOS!C:C=C183)*(BAREMOS!D:D=D183),0),0)),1,
      IF(H183&gt;=MAX(INDEX(BAREMOS!F:X,MATCH(1,(BAREMOS!A:A=A183)*(BAREMOS!B:B=B183)*(BAREMOS!C:C=C183)*(BAREMOS!D:D=D183),0),0)),19,
         MATCH(H183,INDEX(BAREMOS!F:X"&amp;",MATCH(1,(BAREMOS!A:A=A183)*(BAREMOS!B:B=B183)*(BAREMOS!C:C=C183)*(BAREMOS!D:D=D183),0),0),1)
      )
   )
)
,""""))
"),"")</f>
        <v/>
      </c>
      <c r="K183" s="34" t="str">
        <f t="shared" si="1"/>
        <v/>
      </c>
      <c r="L183" s="16"/>
      <c r="M183" s="16"/>
      <c r="N183" s="16"/>
      <c r="O183" s="16"/>
      <c r="P183" s="16"/>
      <c r="Q183" s="16"/>
      <c r="R183" s="16"/>
      <c r="S183" s="16"/>
      <c r="T183" s="16"/>
      <c r="U183" s="16"/>
      <c r="V183" s="16"/>
      <c r="W183" s="16"/>
      <c r="X183" s="16"/>
      <c r="Y183" s="16"/>
      <c r="Z183" s="16"/>
      <c r="AA183" s="16"/>
      <c r="AB183" s="16"/>
      <c r="AC183" s="16"/>
    </row>
    <row r="184">
      <c r="A184" s="22" t="str">
        <f t="array" ref="A184">IF(E184="","",IFERROR(INDEX(CONFIGURACION!C:C,MATCH(E184,CONFIGURACION!E:E,0)),""))
</f>
        <v/>
      </c>
      <c r="B184" s="22" t="str">
        <f t="array" ref="B184">IF(E184="","",IFERROR(INDEX(CONFIGURACION!D:D,MATCH(E184,CONFIGURACION!E:E,0)),""))
</f>
        <v/>
      </c>
      <c r="C184" s="31"/>
      <c r="D184" s="9"/>
      <c r="E184" s="6"/>
      <c r="F184" s="24"/>
      <c r="G184" s="9"/>
      <c r="H184" s="32"/>
      <c r="I184" s="33" t="str">
        <f>IFERROR(__xludf.DUMMYFUNCTION("IF(F184="""","""",LET(
  nombre, TRIM(F184),
  primer, REGEXEXTRACT(nombre, ""^\S+""),
  resto, TRIM(REGEXREPLACE(nombre, ""^\S+\s*"", """")),
  iniciales, IF(
    resto="""",
    """",
    TEXTJOIN("""",1,ARRAYFORMULA(LEFT(SPLIT(resto,"" ""),1) &amp; "".""))"&amp;"
  ),
  UPPER(primer) &amp; "" "" &amp; UPPER(iniciales)
))"),"")</f>
        <v/>
      </c>
      <c r="J184" s="33" t="str">
        <f>IFERROR(__xludf.DUMMYFUNCTION("IF(H184="""","""",IFERROR(
IF(REGEXMATCH(E184,""VELOCIDAD""),
   IF(H184&gt;=MAX(INDEX(BAREMOS!F:X,MATCH(1,(BAREMOS!A:A=A184)*(BAREMOS!B:B=B184)*(BAREMOS!C:C=C184)*(BAREMOS!D:D=D184),0),0)),1,
      IF(H184&lt;=MIN(INDEX(BAREMOS!F:X,MATCH(1,(BAREMOS!A:A=A184)*("&amp;"BAREMOS!B:B=B184)*(BAREMOS!C:C=C184)*(BAREMOS!D:D=D184),0),0)),19,
         MATCH(H184,INDEX(BAREMOS!F:X,MATCH(1,(BAREMOS!A:A=A184)*(BAREMOS!B:B=B184)*(BAREMOS!C:C=C184)*(BAREMOS!D:D=D184),0),0),-1)
      )
   ),
   IF(H184&lt;=MIN(INDEX(BAREMOS!F:X,MATCH(1,"&amp;"(BAREMOS!A:A=A184)*(BAREMOS!B:B=B184)*(BAREMOS!C:C=C184)*(BAREMOS!D:D=D184),0),0)),1,
      IF(H184&gt;=MAX(INDEX(BAREMOS!F:X,MATCH(1,(BAREMOS!A:A=A184)*(BAREMOS!B:B=B184)*(BAREMOS!C:C=C184)*(BAREMOS!D:D=D184),0),0)),19,
         MATCH(H184,INDEX(BAREMOS!F:X"&amp;",MATCH(1,(BAREMOS!A:A=A184)*(BAREMOS!B:B=B184)*(BAREMOS!C:C=C184)*(BAREMOS!D:D=D184),0),0),1)
      )
   )
)
,""""))
"),"")</f>
        <v/>
      </c>
      <c r="K184" s="34" t="str">
        <f t="shared" si="1"/>
        <v/>
      </c>
      <c r="L184" s="16"/>
      <c r="M184" s="16"/>
      <c r="N184" s="16"/>
      <c r="O184" s="16"/>
      <c r="P184" s="16"/>
      <c r="Q184" s="16"/>
      <c r="R184" s="16"/>
      <c r="S184" s="16"/>
      <c r="T184" s="16"/>
      <c r="U184" s="16"/>
      <c r="V184" s="16"/>
      <c r="W184" s="16"/>
      <c r="X184" s="16"/>
      <c r="Y184" s="16"/>
      <c r="Z184" s="16"/>
      <c r="AA184" s="16"/>
      <c r="AB184" s="16"/>
      <c r="AC184" s="16"/>
    </row>
    <row r="185">
      <c r="A185" s="22" t="str">
        <f t="array" ref="A185">IF(E185="","",IFERROR(INDEX(CONFIGURACION!C:C,MATCH(E185,CONFIGURACION!E:E,0)),""))
</f>
        <v/>
      </c>
      <c r="B185" s="22" t="str">
        <f t="array" ref="B185">IF(E185="","",IFERROR(INDEX(CONFIGURACION!D:D,MATCH(E185,CONFIGURACION!E:E,0)),""))
</f>
        <v/>
      </c>
      <c r="C185" s="31"/>
      <c r="D185" s="9"/>
      <c r="E185" s="6"/>
      <c r="F185" s="24"/>
      <c r="G185" s="9"/>
      <c r="H185" s="32"/>
      <c r="I185" s="33" t="str">
        <f>IFERROR(__xludf.DUMMYFUNCTION("IF(F185="""","""",LET(
  nombre, TRIM(F185),
  primer, REGEXEXTRACT(nombre, ""^\S+""),
  resto, TRIM(REGEXREPLACE(nombre, ""^\S+\s*"", """")),
  iniciales, IF(
    resto="""",
    """",
    TEXTJOIN("""",1,ARRAYFORMULA(LEFT(SPLIT(resto,"" ""),1) &amp; "".""))"&amp;"
  ),
  UPPER(primer) &amp; "" "" &amp; UPPER(iniciales)
))"),"")</f>
        <v/>
      </c>
      <c r="J185" s="33" t="str">
        <f>IFERROR(__xludf.DUMMYFUNCTION("IF(H185="""","""",IFERROR(
IF(REGEXMATCH(E185,""VELOCIDAD""),
   IF(H185&gt;=MAX(INDEX(BAREMOS!F:X,MATCH(1,(BAREMOS!A:A=A185)*(BAREMOS!B:B=B185)*(BAREMOS!C:C=C185)*(BAREMOS!D:D=D185),0),0)),1,
      IF(H185&lt;=MIN(INDEX(BAREMOS!F:X,MATCH(1,(BAREMOS!A:A=A185)*("&amp;"BAREMOS!B:B=B185)*(BAREMOS!C:C=C185)*(BAREMOS!D:D=D185),0),0)),19,
         MATCH(H185,INDEX(BAREMOS!F:X,MATCH(1,(BAREMOS!A:A=A185)*(BAREMOS!B:B=B185)*(BAREMOS!C:C=C185)*(BAREMOS!D:D=D185),0),0),-1)
      )
   ),
   IF(H185&lt;=MIN(INDEX(BAREMOS!F:X,MATCH(1,"&amp;"(BAREMOS!A:A=A185)*(BAREMOS!B:B=B185)*(BAREMOS!C:C=C185)*(BAREMOS!D:D=D185),0),0)),1,
      IF(H185&gt;=MAX(INDEX(BAREMOS!F:X,MATCH(1,(BAREMOS!A:A=A185)*(BAREMOS!B:B=B185)*(BAREMOS!C:C=C185)*(BAREMOS!D:D=D185),0),0)),19,
         MATCH(H185,INDEX(BAREMOS!F:X"&amp;",MATCH(1,(BAREMOS!A:A=A185)*(BAREMOS!B:B=B185)*(BAREMOS!C:C=C185)*(BAREMOS!D:D=D185),0),0),1)
      )
   )
)
,""""))
"),"")</f>
        <v/>
      </c>
      <c r="K185" s="34" t="str">
        <f t="shared" si="1"/>
        <v/>
      </c>
      <c r="L185" s="16"/>
      <c r="M185" s="16"/>
      <c r="N185" s="16"/>
      <c r="O185" s="16"/>
      <c r="P185" s="16"/>
      <c r="Q185" s="16"/>
      <c r="R185" s="16"/>
      <c r="S185" s="16"/>
      <c r="T185" s="16"/>
      <c r="U185" s="16"/>
      <c r="V185" s="16"/>
      <c r="W185" s="16"/>
      <c r="X185" s="16"/>
      <c r="Y185" s="16"/>
      <c r="Z185" s="16"/>
      <c r="AA185" s="16"/>
      <c r="AB185" s="16"/>
      <c r="AC185" s="16"/>
    </row>
    <row r="186">
      <c r="A186" s="22" t="str">
        <f t="array" ref="A186">IF(E186="","",IFERROR(INDEX(CONFIGURACION!C:C,MATCH(E186,CONFIGURACION!E:E,0)),""))
</f>
        <v/>
      </c>
      <c r="B186" s="22" t="str">
        <f t="array" ref="B186">IF(E186="","",IFERROR(INDEX(CONFIGURACION!D:D,MATCH(E186,CONFIGURACION!E:E,0)),""))
</f>
        <v/>
      </c>
      <c r="C186" s="31"/>
      <c r="D186" s="9"/>
      <c r="E186" s="6"/>
      <c r="F186" s="24"/>
      <c r="G186" s="9"/>
      <c r="H186" s="32"/>
      <c r="I186" s="33" t="str">
        <f>IFERROR(__xludf.DUMMYFUNCTION("IF(F186="""","""",LET(
  nombre, TRIM(F186),
  primer, REGEXEXTRACT(nombre, ""^\S+""),
  resto, TRIM(REGEXREPLACE(nombre, ""^\S+\s*"", """")),
  iniciales, IF(
    resto="""",
    """",
    TEXTJOIN("""",1,ARRAYFORMULA(LEFT(SPLIT(resto,"" ""),1) &amp; "".""))"&amp;"
  ),
  UPPER(primer) &amp; "" "" &amp; UPPER(iniciales)
))"),"")</f>
        <v/>
      </c>
      <c r="J186" s="33" t="str">
        <f>IFERROR(__xludf.DUMMYFUNCTION("IF(H186="""","""",IFERROR(
IF(REGEXMATCH(E186,""VELOCIDAD""),
   IF(H186&gt;=MAX(INDEX(BAREMOS!F:X,MATCH(1,(BAREMOS!A:A=A186)*(BAREMOS!B:B=B186)*(BAREMOS!C:C=C186)*(BAREMOS!D:D=D186),0),0)),1,
      IF(H186&lt;=MIN(INDEX(BAREMOS!F:X,MATCH(1,(BAREMOS!A:A=A186)*("&amp;"BAREMOS!B:B=B186)*(BAREMOS!C:C=C186)*(BAREMOS!D:D=D186),0),0)),19,
         MATCH(H186,INDEX(BAREMOS!F:X,MATCH(1,(BAREMOS!A:A=A186)*(BAREMOS!B:B=B186)*(BAREMOS!C:C=C186)*(BAREMOS!D:D=D186),0),0),-1)
      )
   ),
   IF(H186&lt;=MIN(INDEX(BAREMOS!F:X,MATCH(1,"&amp;"(BAREMOS!A:A=A186)*(BAREMOS!B:B=B186)*(BAREMOS!C:C=C186)*(BAREMOS!D:D=D186),0),0)),1,
      IF(H186&gt;=MAX(INDEX(BAREMOS!F:X,MATCH(1,(BAREMOS!A:A=A186)*(BAREMOS!B:B=B186)*(BAREMOS!C:C=C186)*(BAREMOS!D:D=D186),0),0)),19,
         MATCH(H186,INDEX(BAREMOS!F:X"&amp;",MATCH(1,(BAREMOS!A:A=A186)*(BAREMOS!B:B=B186)*(BAREMOS!C:C=C186)*(BAREMOS!D:D=D186),0),0),1)
      )
   )
)
,""""))
"),"")</f>
        <v/>
      </c>
      <c r="K186" s="34" t="str">
        <f t="shared" si="1"/>
        <v/>
      </c>
      <c r="L186" s="16"/>
      <c r="M186" s="16"/>
      <c r="N186" s="16"/>
      <c r="O186" s="16"/>
      <c r="P186" s="16"/>
      <c r="Q186" s="16"/>
      <c r="R186" s="16"/>
      <c r="S186" s="16"/>
      <c r="T186" s="16"/>
      <c r="U186" s="16"/>
      <c r="V186" s="16"/>
      <c r="W186" s="16"/>
      <c r="X186" s="16"/>
      <c r="Y186" s="16"/>
      <c r="Z186" s="16"/>
      <c r="AA186" s="16"/>
      <c r="AB186" s="16"/>
      <c r="AC186" s="16"/>
    </row>
    <row r="187">
      <c r="A187" s="22" t="str">
        <f t="array" ref="A187">IF(E187="","",IFERROR(INDEX(CONFIGURACION!C:C,MATCH(E187,CONFIGURACION!E:E,0)),""))
</f>
        <v/>
      </c>
      <c r="B187" s="22" t="str">
        <f t="array" ref="B187">IF(E187="","",IFERROR(INDEX(CONFIGURACION!D:D,MATCH(E187,CONFIGURACION!E:E,0)),""))
</f>
        <v/>
      </c>
      <c r="C187" s="31"/>
      <c r="D187" s="9"/>
      <c r="E187" s="6"/>
      <c r="F187" s="24"/>
      <c r="G187" s="9"/>
      <c r="H187" s="32"/>
      <c r="I187" s="33" t="str">
        <f>IFERROR(__xludf.DUMMYFUNCTION("IF(F187="""","""",LET(
  nombre, TRIM(F187),
  primer, REGEXEXTRACT(nombre, ""^\S+""),
  resto, TRIM(REGEXREPLACE(nombre, ""^\S+\s*"", """")),
  iniciales, IF(
    resto="""",
    """",
    TEXTJOIN("""",1,ARRAYFORMULA(LEFT(SPLIT(resto,"" ""),1) &amp; "".""))"&amp;"
  ),
  UPPER(primer) &amp; "" "" &amp; UPPER(iniciales)
))"),"")</f>
        <v/>
      </c>
      <c r="J187" s="33" t="str">
        <f>IFERROR(__xludf.DUMMYFUNCTION("IF(H187="""","""",IFERROR(
IF(REGEXMATCH(E187,""VELOCIDAD""),
   IF(H187&gt;=MAX(INDEX(BAREMOS!F:X,MATCH(1,(BAREMOS!A:A=A187)*(BAREMOS!B:B=B187)*(BAREMOS!C:C=C187)*(BAREMOS!D:D=D187),0),0)),1,
      IF(H187&lt;=MIN(INDEX(BAREMOS!F:X,MATCH(1,(BAREMOS!A:A=A187)*("&amp;"BAREMOS!B:B=B187)*(BAREMOS!C:C=C187)*(BAREMOS!D:D=D187),0),0)),19,
         MATCH(H187,INDEX(BAREMOS!F:X,MATCH(1,(BAREMOS!A:A=A187)*(BAREMOS!B:B=B187)*(BAREMOS!C:C=C187)*(BAREMOS!D:D=D187),0),0),-1)
      )
   ),
   IF(H187&lt;=MIN(INDEX(BAREMOS!F:X,MATCH(1,"&amp;"(BAREMOS!A:A=A187)*(BAREMOS!B:B=B187)*(BAREMOS!C:C=C187)*(BAREMOS!D:D=D187),0),0)),1,
      IF(H187&gt;=MAX(INDEX(BAREMOS!F:X,MATCH(1,(BAREMOS!A:A=A187)*(BAREMOS!B:B=B187)*(BAREMOS!C:C=C187)*(BAREMOS!D:D=D187),0),0)),19,
         MATCH(H187,INDEX(BAREMOS!F:X"&amp;",MATCH(1,(BAREMOS!A:A=A187)*(BAREMOS!B:B=B187)*(BAREMOS!C:C=C187)*(BAREMOS!D:D=D187),0),0),1)
      )
   )
)
,""""))
"),"")</f>
        <v/>
      </c>
      <c r="K187" s="34" t="str">
        <f t="shared" si="1"/>
        <v/>
      </c>
      <c r="L187" s="16"/>
      <c r="M187" s="16"/>
      <c r="N187" s="16"/>
      <c r="O187" s="16"/>
      <c r="P187" s="16"/>
      <c r="Q187" s="16"/>
      <c r="R187" s="16"/>
      <c r="S187" s="16"/>
      <c r="T187" s="16"/>
      <c r="U187" s="16"/>
      <c r="V187" s="16"/>
      <c r="W187" s="16"/>
      <c r="X187" s="16"/>
      <c r="Y187" s="16"/>
      <c r="Z187" s="16"/>
      <c r="AA187" s="16"/>
      <c r="AB187" s="16"/>
      <c r="AC187" s="16"/>
    </row>
    <row r="188">
      <c r="A188" s="22" t="str">
        <f t="array" ref="A188">IF(E188="","",IFERROR(INDEX(CONFIGURACION!C:C,MATCH(E188,CONFIGURACION!E:E,0)),""))
</f>
        <v/>
      </c>
      <c r="B188" s="22" t="str">
        <f t="array" ref="B188">IF(E188="","",IFERROR(INDEX(CONFIGURACION!D:D,MATCH(E188,CONFIGURACION!E:E,0)),""))
</f>
        <v/>
      </c>
      <c r="C188" s="31"/>
      <c r="D188" s="9"/>
      <c r="E188" s="6"/>
      <c r="F188" s="24"/>
      <c r="G188" s="9"/>
      <c r="H188" s="32"/>
      <c r="I188" s="33" t="str">
        <f>IFERROR(__xludf.DUMMYFUNCTION("IF(F188="""","""",LET(
  nombre, TRIM(F188),
  primer, REGEXEXTRACT(nombre, ""^\S+""),
  resto, TRIM(REGEXREPLACE(nombre, ""^\S+\s*"", """")),
  iniciales, IF(
    resto="""",
    """",
    TEXTJOIN("""",1,ARRAYFORMULA(LEFT(SPLIT(resto,"" ""),1) &amp; "".""))"&amp;"
  ),
  UPPER(primer) &amp; "" "" &amp; UPPER(iniciales)
))"),"")</f>
        <v/>
      </c>
      <c r="J188" s="33" t="str">
        <f>IFERROR(__xludf.DUMMYFUNCTION("IF(H188="""","""",IFERROR(
IF(REGEXMATCH(E188,""VELOCIDAD""),
   IF(H188&gt;=MAX(INDEX(BAREMOS!F:X,MATCH(1,(BAREMOS!A:A=A188)*(BAREMOS!B:B=B188)*(BAREMOS!C:C=C188)*(BAREMOS!D:D=D188),0),0)),1,
      IF(H188&lt;=MIN(INDEX(BAREMOS!F:X,MATCH(1,(BAREMOS!A:A=A188)*("&amp;"BAREMOS!B:B=B188)*(BAREMOS!C:C=C188)*(BAREMOS!D:D=D188),0),0)),19,
         MATCH(H188,INDEX(BAREMOS!F:X,MATCH(1,(BAREMOS!A:A=A188)*(BAREMOS!B:B=B188)*(BAREMOS!C:C=C188)*(BAREMOS!D:D=D188),0),0),-1)
      )
   ),
   IF(H188&lt;=MIN(INDEX(BAREMOS!F:X,MATCH(1,"&amp;"(BAREMOS!A:A=A188)*(BAREMOS!B:B=B188)*(BAREMOS!C:C=C188)*(BAREMOS!D:D=D188),0),0)),1,
      IF(H188&gt;=MAX(INDEX(BAREMOS!F:X,MATCH(1,(BAREMOS!A:A=A188)*(BAREMOS!B:B=B188)*(BAREMOS!C:C=C188)*(BAREMOS!D:D=D188),0),0)),19,
         MATCH(H188,INDEX(BAREMOS!F:X"&amp;",MATCH(1,(BAREMOS!A:A=A188)*(BAREMOS!B:B=B188)*(BAREMOS!C:C=C188)*(BAREMOS!D:D=D188),0),0),1)
      )
   )
)
,""""))
"),"")</f>
        <v/>
      </c>
      <c r="K188" s="34" t="str">
        <f t="shared" si="1"/>
        <v/>
      </c>
      <c r="L188" s="16"/>
      <c r="M188" s="16"/>
      <c r="N188" s="16"/>
      <c r="O188" s="16"/>
      <c r="P188" s="16"/>
      <c r="Q188" s="16"/>
      <c r="R188" s="16"/>
      <c r="S188" s="16"/>
      <c r="T188" s="16"/>
      <c r="U188" s="16"/>
      <c r="V188" s="16"/>
      <c r="W188" s="16"/>
      <c r="X188" s="16"/>
      <c r="Y188" s="16"/>
      <c r="Z188" s="16"/>
      <c r="AA188" s="16"/>
      <c r="AB188" s="16"/>
      <c r="AC188" s="16"/>
    </row>
    <row r="189">
      <c r="A189" s="22" t="str">
        <f t="array" ref="A189">IF(E189="","",IFERROR(INDEX(CONFIGURACION!C:C,MATCH(E189,CONFIGURACION!E:E,0)),""))
</f>
        <v/>
      </c>
      <c r="B189" s="22" t="str">
        <f t="array" ref="B189">IF(E189="","",IFERROR(INDEX(CONFIGURACION!D:D,MATCH(E189,CONFIGURACION!E:E,0)),""))
</f>
        <v/>
      </c>
      <c r="C189" s="31"/>
      <c r="D189" s="9"/>
      <c r="E189" s="6"/>
      <c r="F189" s="24"/>
      <c r="G189" s="9"/>
      <c r="H189" s="32"/>
      <c r="I189" s="33" t="str">
        <f>IFERROR(__xludf.DUMMYFUNCTION("IF(F189="""","""",LET(
  nombre, TRIM(F189),
  primer, REGEXEXTRACT(nombre, ""^\S+""),
  resto, TRIM(REGEXREPLACE(nombre, ""^\S+\s*"", """")),
  iniciales, IF(
    resto="""",
    """",
    TEXTJOIN("""",1,ARRAYFORMULA(LEFT(SPLIT(resto,"" ""),1) &amp; "".""))"&amp;"
  ),
  UPPER(primer) &amp; "" "" &amp; UPPER(iniciales)
))"),"")</f>
        <v/>
      </c>
      <c r="J189" s="33" t="str">
        <f>IFERROR(__xludf.DUMMYFUNCTION("IF(H189="""","""",IFERROR(
IF(REGEXMATCH(E189,""VELOCIDAD""),
   IF(H189&gt;=MAX(INDEX(BAREMOS!F:X,MATCH(1,(BAREMOS!A:A=A189)*(BAREMOS!B:B=B189)*(BAREMOS!C:C=C189)*(BAREMOS!D:D=D189),0),0)),1,
      IF(H189&lt;=MIN(INDEX(BAREMOS!F:X,MATCH(1,(BAREMOS!A:A=A189)*("&amp;"BAREMOS!B:B=B189)*(BAREMOS!C:C=C189)*(BAREMOS!D:D=D189),0),0)),19,
         MATCH(H189,INDEX(BAREMOS!F:X,MATCH(1,(BAREMOS!A:A=A189)*(BAREMOS!B:B=B189)*(BAREMOS!C:C=C189)*(BAREMOS!D:D=D189),0),0),-1)
      )
   ),
   IF(H189&lt;=MIN(INDEX(BAREMOS!F:X,MATCH(1,"&amp;"(BAREMOS!A:A=A189)*(BAREMOS!B:B=B189)*(BAREMOS!C:C=C189)*(BAREMOS!D:D=D189),0),0)),1,
      IF(H189&gt;=MAX(INDEX(BAREMOS!F:X,MATCH(1,(BAREMOS!A:A=A189)*(BAREMOS!B:B=B189)*(BAREMOS!C:C=C189)*(BAREMOS!D:D=D189),0),0)),19,
         MATCH(H189,INDEX(BAREMOS!F:X"&amp;",MATCH(1,(BAREMOS!A:A=A189)*(BAREMOS!B:B=B189)*(BAREMOS!C:C=C189)*(BAREMOS!D:D=D189),0),0),1)
      )
   )
)
,""""))
"),"")</f>
        <v/>
      </c>
      <c r="K189" s="34" t="str">
        <f t="shared" si="1"/>
        <v/>
      </c>
      <c r="L189" s="16"/>
      <c r="M189" s="16"/>
      <c r="N189" s="16"/>
      <c r="O189" s="16"/>
      <c r="P189" s="16"/>
      <c r="Q189" s="16"/>
      <c r="R189" s="16"/>
      <c r="S189" s="16"/>
      <c r="T189" s="16"/>
      <c r="U189" s="16"/>
      <c r="V189" s="16"/>
      <c r="W189" s="16"/>
      <c r="X189" s="16"/>
      <c r="Y189" s="16"/>
      <c r="Z189" s="16"/>
      <c r="AA189" s="16"/>
      <c r="AB189" s="16"/>
      <c r="AC189" s="16"/>
    </row>
    <row r="190">
      <c r="A190" s="22" t="str">
        <f t="array" ref="A190">IF(E190="","",IFERROR(INDEX(CONFIGURACION!C:C,MATCH(E190,CONFIGURACION!E:E,0)),""))
</f>
        <v/>
      </c>
      <c r="B190" s="22" t="str">
        <f t="array" ref="B190">IF(E190="","",IFERROR(INDEX(CONFIGURACION!D:D,MATCH(E190,CONFIGURACION!E:E,0)),""))
</f>
        <v/>
      </c>
      <c r="C190" s="31"/>
      <c r="D190" s="9"/>
      <c r="E190" s="6"/>
      <c r="F190" s="24"/>
      <c r="G190" s="9"/>
      <c r="H190" s="32"/>
      <c r="I190" s="33" t="str">
        <f>IFERROR(__xludf.DUMMYFUNCTION("IF(F190="""","""",LET(
  nombre, TRIM(F190),
  primer, REGEXEXTRACT(nombre, ""^\S+""),
  resto, TRIM(REGEXREPLACE(nombre, ""^\S+\s*"", """")),
  iniciales, IF(
    resto="""",
    """",
    TEXTJOIN("""",1,ARRAYFORMULA(LEFT(SPLIT(resto,"" ""),1) &amp; "".""))"&amp;"
  ),
  UPPER(primer) &amp; "" "" &amp; UPPER(iniciales)
))"),"")</f>
        <v/>
      </c>
      <c r="J190" s="33" t="str">
        <f>IFERROR(__xludf.DUMMYFUNCTION("IF(H190="""","""",IFERROR(
IF(REGEXMATCH(E190,""VELOCIDAD""),
   IF(H190&gt;=MAX(INDEX(BAREMOS!F:X,MATCH(1,(BAREMOS!A:A=A190)*(BAREMOS!B:B=B190)*(BAREMOS!C:C=C190)*(BAREMOS!D:D=D190),0),0)),1,
      IF(H190&lt;=MIN(INDEX(BAREMOS!F:X,MATCH(1,(BAREMOS!A:A=A190)*("&amp;"BAREMOS!B:B=B190)*(BAREMOS!C:C=C190)*(BAREMOS!D:D=D190),0),0)),19,
         MATCH(H190,INDEX(BAREMOS!F:X,MATCH(1,(BAREMOS!A:A=A190)*(BAREMOS!B:B=B190)*(BAREMOS!C:C=C190)*(BAREMOS!D:D=D190),0),0),-1)
      )
   ),
   IF(H190&lt;=MIN(INDEX(BAREMOS!F:X,MATCH(1,"&amp;"(BAREMOS!A:A=A190)*(BAREMOS!B:B=B190)*(BAREMOS!C:C=C190)*(BAREMOS!D:D=D190),0),0)),1,
      IF(H190&gt;=MAX(INDEX(BAREMOS!F:X,MATCH(1,(BAREMOS!A:A=A190)*(BAREMOS!B:B=B190)*(BAREMOS!C:C=C190)*(BAREMOS!D:D=D190),0),0)),19,
         MATCH(H190,INDEX(BAREMOS!F:X"&amp;",MATCH(1,(BAREMOS!A:A=A190)*(BAREMOS!B:B=B190)*(BAREMOS!C:C=C190)*(BAREMOS!D:D=D190),0),0),1)
      )
   )
)
,""""))
"),"")</f>
        <v/>
      </c>
      <c r="K190" s="34" t="str">
        <f t="shared" si="1"/>
        <v/>
      </c>
      <c r="L190" s="16"/>
      <c r="M190" s="16"/>
      <c r="N190" s="16"/>
      <c r="O190" s="16"/>
      <c r="P190" s="16"/>
      <c r="Q190" s="16"/>
      <c r="R190" s="16"/>
      <c r="S190" s="16"/>
      <c r="T190" s="16"/>
      <c r="U190" s="16"/>
      <c r="V190" s="16"/>
      <c r="W190" s="16"/>
      <c r="X190" s="16"/>
      <c r="Y190" s="16"/>
      <c r="Z190" s="16"/>
      <c r="AA190" s="16"/>
      <c r="AB190" s="16"/>
      <c r="AC190" s="16"/>
    </row>
    <row r="191">
      <c r="A191" s="22" t="str">
        <f t="array" ref="A191">IF(E191="","",IFERROR(INDEX(CONFIGURACION!C:C,MATCH(E191,CONFIGURACION!E:E,0)),""))
</f>
        <v/>
      </c>
      <c r="B191" s="22" t="str">
        <f t="array" ref="B191">IF(E191="","",IFERROR(INDEX(CONFIGURACION!D:D,MATCH(E191,CONFIGURACION!E:E,0)),""))
</f>
        <v/>
      </c>
      <c r="C191" s="31"/>
      <c r="D191" s="9"/>
      <c r="E191" s="6"/>
      <c r="F191" s="24"/>
      <c r="G191" s="9"/>
      <c r="H191" s="32"/>
      <c r="I191" s="33" t="str">
        <f>IFERROR(__xludf.DUMMYFUNCTION("IF(F191="""","""",LET(
  nombre, TRIM(F191),
  primer, REGEXEXTRACT(nombre, ""^\S+""),
  resto, TRIM(REGEXREPLACE(nombre, ""^\S+\s*"", """")),
  iniciales, IF(
    resto="""",
    """",
    TEXTJOIN("""",1,ARRAYFORMULA(LEFT(SPLIT(resto,"" ""),1) &amp; "".""))"&amp;"
  ),
  UPPER(primer) &amp; "" "" &amp; UPPER(iniciales)
))"),"")</f>
        <v/>
      </c>
      <c r="J191" s="33" t="str">
        <f>IFERROR(__xludf.DUMMYFUNCTION("IF(H191="""","""",IFERROR(
IF(REGEXMATCH(E191,""VELOCIDAD""),
   IF(H191&gt;=MAX(INDEX(BAREMOS!F:X,MATCH(1,(BAREMOS!A:A=A191)*(BAREMOS!B:B=B191)*(BAREMOS!C:C=C191)*(BAREMOS!D:D=D191),0),0)),1,
      IF(H191&lt;=MIN(INDEX(BAREMOS!F:X,MATCH(1,(BAREMOS!A:A=A191)*("&amp;"BAREMOS!B:B=B191)*(BAREMOS!C:C=C191)*(BAREMOS!D:D=D191),0),0)),19,
         MATCH(H191,INDEX(BAREMOS!F:X,MATCH(1,(BAREMOS!A:A=A191)*(BAREMOS!B:B=B191)*(BAREMOS!C:C=C191)*(BAREMOS!D:D=D191),0),0),-1)
      )
   ),
   IF(H191&lt;=MIN(INDEX(BAREMOS!F:X,MATCH(1,"&amp;"(BAREMOS!A:A=A191)*(BAREMOS!B:B=B191)*(BAREMOS!C:C=C191)*(BAREMOS!D:D=D191),0),0)),1,
      IF(H191&gt;=MAX(INDEX(BAREMOS!F:X,MATCH(1,(BAREMOS!A:A=A191)*(BAREMOS!B:B=B191)*(BAREMOS!C:C=C191)*(BAREMOS!D:D=D191),0),0)),19,
         MATCH(H191,INDEX(BAREMOS!F:X"&amp;",MATCH(1,(BAREMOS!A:A=A191)*(BAREMOS!B:B=B191)*(BAREMOS!C:C=C191)*(BAREMOS!D:D=D191),0),0),1)
      )
   )
)
,""""))
"),"")</f>
        <v/>
      </c>
      <c r="K191" s="34" t="str">
        <f t="shared" si="1"/>
        <v/>
      </c>
      <c r="L191" s="16"/>
      <c r="M191" s="16"/>
      <c r="N191" s="16"/>
      <c r="O191" s="16"/>
      <c r="P191" s="16"/>
      <c r="Q191" s="16"/>
      <c r="R191" s="16"/>
      <c r="S191" s="16"/>
      <c r="T191" s="16"/>
      <c r="U191" s="16"/>
      <c r="V191" s="16"/>
      <c r="W191" s="16"/>
      <c r="X191" s="16"/>
      <c r="Y191" s="16"/>
      <c r="Z191" s="16"/>
      <c r="AA191" s="16"/>
      <c r="AB191" s="16"/>
      <c r="AC191" s="16"/>
    </row>
    <row r="192">
      <c r="A192" s="22" t="str">
        <f t="array" ref="A192">IF(E192="","",IFERROR(INDEX(CONFIGURACION!C:C,MATCH(E192,CONFIGURACION!E:E,0)),""))
</f>
        <v/>
      </c>
      <c r="B192" s="22" t="str">
        <f t="array" ref="B192">IF(E192="","",IFERROR(INDEX(CONFIGURACION!D:D,MATCH(E192,CONFIGURACION!E:E,0)),""))
</f>
        <v/>
      </c>
      <c r="C192" s="31"/>
      <c r="D192" s="9"/>
      <c r="E192" s="6"/>
      <c r="F192" s="24"/>
      <c r="G192" s="9"/>
      <c r="H192" s="32"/>
      <c r="I192" s="33" t="str">
        <f>IFERROR(__xludf.DUMMYFUNCTION("IF(F192="""","""",LET(
  nombre, TRIM(F192),
  primer, REGEXEXTRACT(nombre, ""^\S+""),
  resto, TRIM(REGEXREPLACE(nombre, ""^\S+\s*"", """")),
  iniciales, IF(
    resto="""",
    """",
    TEXTJOIN("""",1,ARRAYFORMULA(LEFT(SPLIT(resto,"" ""),1) &amp; "".""))"&amp;"
  ),
  UPPER(primer) &amp; "" "" &amp; UPPER(iniciales)
))"),"")</f>
        <v/>
      </c>
      <c r="J192" s="33" t="str">
        <f>IFERROR(__xludf.DUMMYFUNCTION("IF(H192="""","""",IFERROR(
IF(REGEXMATCH(E192,""VELOCIDAD""),
   IF(H192&gt;=MAX(INDEX(BAREMOS!F:X,MATCH(1,(BAREMOS!A:A=A192)*(BAREMOS!B:B=B192)*(BAREMOS!C:C=C192)*(BAREMOS!D:D=D192),0),0)),1,
      IF(H192&lt;=MIN(INDEX(BAREMOS!F:X,MATCH(1,(BAREMOS!A:A=A192)*("&amp;"BAREMOS!B:B=B192)*(BAREMOS!C:C=C192)*(BAREMOS!D:D=D192),0),0)),19,
         MATCH(H192,INDEX(BAREMOS!F:X,MATCH(1,(BAREMOS!A:A=A192)*(BAREMOS!B:B=B192)*(BAREMOS!C:C=C192)*(BAREMOS!D:D=D192),0),0),-1)
      )
   ),
   IF(H192&lt;=MIN(INDEX(BAREMOS!F:X,MATCH(1,"&amp;"(BAREMOS!A:A=A192)*(BAREMOS!B:B=B192)*(BAREMOS!C:C=C192)*(BAREMOS!D:D=D192),0),0)),1,
      IF(H192&gt;=MAX(INDEX(BAREMOS!F:X,MATCH(1,(BAREMOS!A:A=A192)*(BAREMOS!B:B=B192)*(BAREMOS!C:C=C192)*(BAREMOS!D:D=D192),0),0)),19,
         MATCH(H192,INDEX(BAREMOS!F:X"&amp;",MATCH(1,(BAREMOS!A:A=A192)*(BAREMOS!B:B=B192)*(BAREMOS!C:C=C192)*(BAREMOS!D:D=D192),0),0),1)
      )
   )
)
,""""))
"),"")</f>
        <v/>
      </c>
      <c r="K192" s="34" t="str">
        <f t="shared" si="1"/>
        <v/>
      </c>
      <c r="L192" s="16"/>
      <c r="M192" s="16"/>
      <c r="N192" s="16"/>
      <c r="O192" s="16"/>
      <c r="P192" s="16"/>
      <c r="Q192" s="16"/>
      <c r="R192" s="16"/>
      <c r="S192" s="16"/>
      <c r="T192" s="16"/>
      <c r="U192" s="16"/>
      <c r="V192" s="16"/>
      <c r="W192" s="16"/>
      <c r="X192" s="16"/>
      <c r="Y192" s="16"/>
      <c r="Z192" s="16"/>
      <c r="AA192" s="16"/>
      <c r="AB192" s="16"/>
      <c r="AC192" s="16"/>
    </row>
    <row r="193">
      <c r="A193" s="22" t="str">
        <f t="array" ref="A193">IF(E193="","",IFERROR(INDEX(CONFIGURACION!C:C,MATCH(E193,CONFIGURACION!E:E,0)),""))
</f>
        <v/>
      </c>
      <c r="B193" s="22" t="str">
        <f t="array" ref="B193">IF(E193="","",IFERROR(INDEX(CONFIGURACION!D:D,MATCH(E193,CONFIGURACION!E:E,0)),""))
</f>
        <v/>
      </c>
      <c r="C193" s="31"/>
      <c r="D193" s="9"/>
      <c r="E193" s="6"/>
      <c r="F193" s="24"/>
      <c r="G193" s="9"/>
      <c r="H193" s="32"/>
      <c r="I193" s="33" t="str">
        <f>IFERROR(__xludf.DUMMYFUNCTION("IF(F193="""","""",LET(
  nombre, TRIM(F193),
  primer, REGEXEXTRACT(nombre, ""^\S+""),
  resto, TRIM(REGEXREPLACE(nombre, ""^\S+\s*"", """")),
  iniciales, IF(
    resto="""",
    """",
    TEXTJOIN("""",1,ARRAYFORMULA(LEFT(SPLIT(resto,"" ""),1) &amp; "".""))"&amp;"
  ),
  UPPER(primer) &amp; "" "" &amp; UPPER(iniciales)
))"),"")</f>
        <v/>
      </c>
      <c r="J193" s="33" t="str">
        <f>IFERROR(__xludf.DUMMYFUNCTION("IF(H193="""","""",IFERROR(
IF(REGEXMATCH(E193,""VELOCIDAD""),
   IF(H193&gt;=MAX(INDEX(BAREMOS!F:X,MATCH(1,(BAREMOS!A:A=A193)*(BAREMOS!B:B=B193)*(BAREMOS!C:C=C193)*(BAREMOS!D:D=D193),0),0)),1,
      IF(H193&lt;=MIN(INDEX(BAREMOS!F:X,MATCH(1,(BAREMOS!A:A=A193)*("&amp;"BAREMOS!B:B=B193)*(BAREMOS!C:C=C193)*(BAREMOS!D:D=D193),0),0)),19,
         MATCH(H193,INDEX(BAREMOS!F:X,MATCH(1,(BAREMOS!A:A=A193)*(BAREMOS!B:B=B193)*(BAREMOS!C:C=C193)*(BAREMOS!D:D=D193),0),0),-1)
      )
   ),
   IF(H193&lt;=MIN(INDEX(BAREMOS!F:X,MATCH(1,"&amp;"(BAREMOS!A:A=A193)*(BAREMOS!B:B=B193)*(BAREMOS!C:C=C193)*(BAREMOS!D:D=D193),0),0)),1,
      IF(H193&gt;=MAX(INDEX(BAREMOS!F:X,MATCH(1,(BAREMOS!A:A=A193)*(BAREMOS!B:B=B193)*(BAREMOS!C:C=C193)*(BAREMOS!D:D=D193),0),0)),19,
         MATCH(H193,INDEX(BAREMOS!F:X"&amp;",MATCH(1,(BAREMOS!A:A=A193)*(BAREMOS!B:B=B193)*(BAREMOS!C:C=C193)*(BAREMOS!D:D=D193),0),0),1)
      )
   )
)
,""""))
"),"")</f>
        <v/>
      </c>
      <c r="K193" s="34" t="str">
        <f t="shared" si="1"/>
        <v/>
      </c>
      <c r="L193" s="16"/>
      <c r="M193" s="16"/>
      <c r="N193" s="16"/>
      <c r="O193" s="16"/>
      <c r="P193" s="16"/>
      <c r="Q193" s="16"/>
      <c r="R193" s="16"/>
      <c r="S193" s="16"/>
      <c r="T193" s="16"/>
      <c r="U193" s="16"/>
      <c r="V193" s="16"/>
      <c r="W193" s="16"/>
      <c r="X193" s="16"/>
      <c r="Y193" s="16"/>
      <c r="Z193" s="16"/>
      <c r="AA193" s="16"/>
      <c r="AB193" s="16"/>
      <c r="AC193" s="16"/>
    </row>
    <row r="194">
      <c r="A194" s="22" t="str">
        <f t="array" ref="A194">IF(E194="","",IFERROR(INDEX(CONFIGURACION!C:C,MATCH(E194,CONFIGURACION!E:E,0)),""))
</f>
        <v/>
      </c>
      <c r="B194" s="22" t="str">
        <f t="array" ref="B194">IF(E194="","",IFERROR(INDEX(CONFIGURACION!D:D,MATCH(E194,CONFIGURACION!E:E,0)),""))
</f>
        <v/>
      </c>
      <c r="C194" s="31"/>
      <c r="D194" s="9"/>
      <c r="E194" s="6"/>
      <c r="F194" s="24"/>
      <c r="G194" s="9"/>
      <c r="H194" s="32"/>
      <c r="I194" s="33" t="str">
        <f>IFERROR(__xludf.DUMMYFUNCTION("IF(F194="""","""",LET(
  nombre, TRIM(F194),
  primer, REGEXEXTRACT(nombre, ""^\S+""),
  resto, TRIM(REGEXREPLACE(nombre, ""^\S+\s*"", """")),
  iniciales, IF(
    resto="""",
    """",
    TEXTJOIN("""",1,ARRAYFORMULA(LEFT(SPLIT(resto,"" ""),1) &amp; "".""))"&amp;"
  ),
  UPPER(primer) &amp; "" "" &amp; UPPER(iniciales)
))"),"")</f>
        <v/>
      </c>
      <c r="J194" s="33" t="str">
        <f>IFERROR(__xludf.DUMMYFUNCTION("IF(H194="""","""",IFERROR(
IF(REGEXMATCH(E194,""VELOCIDAD""),
   IF(H194&gt;=MAX(INDEX(BAREMOS!F:X,MATCH(1,(BAREMOS!A:A=A194)*(BAREMOS!B:B=B194)*(BAREMOS!C:C=C194)*(BAREMOS!D:D=D194),0),0)),1,
      IF(H194&lt;=MIN(INDEX(BAREMOS!F:X,MATCH(1,(BAREMOS!A:A=A194)*("&amp;"BAREMOS!B:B=B194)*(BAREMOS!C:C=C194)*(BAREMOS!D:D=D194),0),0)),19,
         MATCH(H194,INDEX(BAREMOS!F:X,MATCH(1,(BAREMOS!A:A=A194)*(BAREMOS!B:B=B194)*(BAREMOS!C:C=C194)*(BAREMOS!D:D=D194),0),0),-1)
      )
   ),
   IF(H194&lt;=MIN(INDEX(BAREMOS!F:X,MATCH(1,"&amp;"(BAREMOS!A:A=A194)*(BAREMOS!B:B=B194)*(BAREMOS!C:C=C194)*(BAREMOS!D:D=D194),0),0)),1,
      IF(H194&gt;=MAX(INDEX(BAREMOS!F:X,MATCH(1,(BAREMOS!A:A=A194)*(BAREMOS!B:B=B194)*(BAREMOS!C:C=C194)*(BAREMOS!D:D=D194),0),0)),19,
         MATCH(H194,INDEX(BAREMOS!F:X"&amp;",MATCH(1,(BAREMOS!A:A=A194)*(BAREMOS!B:B=B194)*(BAREMOS!C:C=C194)*(BAREMOS!D:D=D194),0),0),1)
      )
   )
)
,""""))
"),"")</f>
        <v/>
      </c>
      <c r="K194" s="34" t="str">
        <f t="shared" si="1"/>
        <v/>
      </c>
      <c r="L194" s="16"/>
      <c r="M194" s="16"/>
      <c r="N194" s="16"/>
      <c r="O194" s="16"/>
      <c r="P194" s="16"/>
      <c r="Q194" s="16"/>
      <c r="R194" s="16"/>
      <c r="S194" s="16"/>
      <c r="T194" s="16"/>
      <c r="U194" s="16"/>
      <c r="V194" s="16"/>
      <c r="W194" s="16"/>
      <c r="X194" s="16"/>
      <c r="Y194" s="16"/>
      <c r="Z194" s="16"/>
      <c r="AA194" s="16"/>
      <c r="AB194" s="16"/>
      <c r="AC194" s="16"/>
    </row>
    <row r="195">
      <c r="A195" s="22" t="str">
        <f t="array" ref="A195">IF(E195="","",IFERROR(INDEX(CONFIGURACION!C:C,MATCH(E195,CONFIGURACION!E:E,0)),""))
</f>
        <v/>
      </c>
      <c r="B195" s="22" t="str">
        <f t="array" ref="B195">IF(E195="","",IFERROR(INDEX(CONFIGURACION!D:D,MATCH(E195,CONFIGURACION!E:E,0)),""))
</f>
        <v/>
      </c>
      <c r="C195" s="31"/>
      <c r="D195" s="9"/>
      <c r="E195" s="6"/>
      <c r="F195" s="24"/>
      <c r="G195" s="9"/>
      <c r="H195" s="32"/>
      <c r="I195" s="33" t="str">
        <f>IFERROR(__xludf.DUMMYFUNCTION("IF(F195="""","""",LET(
  nombre, TRIM(F195),
  primer, REGEXEXTRACT(nombre, ""^\S+""),
  resto, TRIM(REGEXREPLACE(nombre, ""^\S+\s*"", """")),
  iniciales, IF(
    resto="""",
    """",
    TEXTJOIN("""",1,ARRAYFORMULA(LEFT(SPLIT(resto,"" ""),1) &amp; "".""))"&amp;"
  ),
  UPPER(primer) &amp; "" "" &amp; UPPER(iniciales)
))"),"")</f>
        <v/>
      </c>
      <c r="J195" s="33" t="str">
        <f>IFERROR(__xludf.DUMMYFUNCTION("IF(H195="""","""",IFERROR(
IF(REGEXMATCH(E195,""VELOCIDAD""),
   IF(H195&gt;=MAX(INDEX(BAREMOS!F:X,MATCH(1,(BAREMOS!A:A=A195)*(BAREMOS!B:B=B195)*(BAREMOS!C:C=C195)*(BAREMOS!D:D=D195),0),0)),1,
      IF(H195&lt;=MIN(INDEX(BAREMOS!F:X,MATCH(1,(BAREMOS!A:A=A195)*("&amp;"BAREMOS!B:B=B195)*(BAREMOS!C:C=C195)*(BAREMOS!D:D=D195),0),0)),19,
         MATCH(H195,INDEX(BAREMOS!F:X,MATCH(1,(BAREMOS!A:A=A195)*(BAREMOS!B:B=B195)*(BAREMOS!C:C=C195)*(BAREMOS!D:D=D195),0),0),-1)
      )
   ),
   IF(H195&lt;=MIN(INDEX(BAREMOS!F:X,MATCH(1,"&amp;"(BAREMOS!A:A=A195)*(BAREMOS!B:B=B195)*(BAREMOS!C:C=C195)*(BAREMOS!D:D=D195),0),0)),1,
      IF(H195&gt;=MAX(INDEX(BAREMOS!F:X,MATCH(1,(BAREMOS!A:A=A195)*(BAREMOS!B:B=B195)*(BAREMOS!C:C=C195)*(BAREMOS!D:D=D195),0),0)),19,
         MATCH(H195,INDEX(BAREMOS!F:X"&amp;",MATCH(1,(BAREMOS!A:A=A195)*(BAREMOS!B:B=B195)*(BAREMOS!C:C=C195)*(BAREMOS!D:D=D195),0),0),1)
      )
   )
)
,""""))
"),"")</f>
        <v/>
      </c>
      <c r="K195" s="34" t="str">
        <f t="shared" si="1"/>
        <v/>
      </c>
      <c r="L195" s="16"/>
      <c r="M195" s="16"/>
      <c r="N195" s="16"/>
      <c r="O195" s="16"/>
      <c r="P195" s="16"/>
      <c r="Q195" s="16"/>
      <c r="R195" s="16"/>
      <c r="S195" s="16"/>
      <c r="T195" s="16"/>
      <c r="U195" s="16"/>
      <c r="V195" s="16"/>
      <c r="W195" s="16"/>
      <c r="X195" s="16"/>
      <c r="Y195" s="16"/>
      <c r="Z195" s="16"/>
      <c r="AA195" s="16"/>
      <c r="AB195" s="16"/>
      <c r="AC195" s="16"/>
    </row>
    <row r="196">
      <c r="A196" s="22" t="str">
        <f t="array" ref="A196">IF(E196="","",IFERROR(INDEX(CONFIGURACION!C:C,MATCH(E196,CONFIGURACION!E:E,0)),""))
</f>
        <v/>
      </c>
      <c r="B196" s="22" t="str">
        <f t="array" ref="B196">IF(E196="","",IFERROR(INDEX(CONFIGURACION!D:D,MATCH(E196,CONFIGURACION!E:E,0)),""))
</f>
        <v/>
      </c>
      <c r="C196" s="31"/>
      <c r="D196" s="9"/>
      <c r="E196" s="6"/>
      <c r="F196" s="24"/>
      <c r="G196" s="9"/>
      <c r="H196" s="32"/>
      <c r="I196" s="33" t="str">
        <f>IFERROR(__xludf.DUMMYFUNCTION("IF(F196="""","""",LET(
  nombre, TRIM(F196),
  primer, REGEXEXTRACT(nombre, ""^\S+""),
  resto, TRIM(REGEXREPLACE(nombre, ""^\S+\s*"", """")),
  iniciales, IF(
    resto="""",
    """",
    TEXTJOIN("""",1,ARRAYFORMULA(LEFT(SPLIT(resto,"" ""),1) &amp; "".""))"&amp;"
  ),
  UPPER(primer) &amp; "" "" &amp; UPPER(iniciales)
))"),"")</f>
        <v/>
      </c>
      <c r="J196" s="33" t="str">
        <f>IFERROR(__xludf.DUMMYFUNCTION("IF(H196="""","""",IFERROR(
IF(REGEXMATCH(E196,""VELOCIDAD""),
   IF(H196&gt;=MAX(INDEX(BAREMOS!F:X,MATCH(1,(BAREMOS!A:A=A196)*(BAREMOS!B:B=B196)*(BAREMOS!C:C=C196)*(BAREMOS!D:D=D196),0),0)),1,
      IF(H196&lt;=MIN(INDEX(BAREMOS!F:X,MATCH(1,(BAREMOS!A:A=A196)*("&amp;"BAREMOS!B:B=B196)*(BAREMOS!C:C=C196)*(BAREMOS!D:D=D196),0),0)),19,
         MATCH(H196,INDEX(BAREMOS!F:X,MATCH(1,(BAREMOS!A:A=A196)*(BAREMOS!B:B=B196)*(BAREMOS!C:C=C196)*(BAREMOS!D:D=D196),0),0),-1)
      )
   ),
   IF(H196&lt;=MIN(INDEX(BAREMOS!F:X,MATCH(1,"&amp;"(BAREMOS!A:A=A196)*(BAREMOS!B:B=B196)*(BAREMOS!C:C=C196)*(BAREMOS!D:D=D196),0),0)),1,
      IF(H196&gt;=MAX(INDEX(BAREMOS!F:X,MATCH(1,(BAREMOS!A:A=A196)*(BAREMOS!B:B=B196)*(BAREMOS!C:C=C196)*(BAREMOS!D:D=D196),0),0)),19,
         MATCH(H196,INDEX(BAREMOS!F:X"&amp;",MATCH(1,(BAREMOS!A:A=A196)*(BAREMOS!B:B=B196)*(BAREMOS!C:C=C196)*(BAREMOS!D:D=D196),0),0),1)
      )
   )
)
,""""))
"),"")</f>
        <v/>
      </c>
      <c r="K196" s="34" t="str">
        <f t="shared" si="1"/>
        <v/>
      </c>
      <c r="L196" s="16"/>
      <c r="M196" s="16"/>
      <c r="N196" s="16"/>
      <c r="O196" s="16"/>
      <c r="P196" s="16"/>
      <c r="Q196" s="16"/>
      <c r="R196" s="16"/>
      <c r="S196" s="16"/>
      <c r="T196" s="16"/>
      <c r="U196" s="16"/>
      <c r="V196" s="16"/>
      <c r="W196" s="16"/>
      <c r="X196" s="16"/>
      <c r="Y196" s="16"/>
      <c r="Z196" s="16"/>
      <c r="AA196" s="16"/>
      <c r="AB196" s="16"/>
      <c r="AC196" s="16"/>
    </row>
    <row r="197">
      <c r="A197" s="22" t="str">
        <f t="array" ref="A197">IF(E197="","",IFERROR(INDEX(CONFIGURACION!C:C,MATCH(E197,CONFIGURACION!E:E,0)),""))
</f>
        <v/>
      </c>
      <c r="B197" s="22" t="str">
        <f t="array" ref="B197">IF(E197="","",IFERROR(INDEX(CONFIGURACION!D:D,MATCH(E197,CONFIGURACION!E:E,0)),""))
</f>
        <v/>
      </c>
      <c r="C197" s="31"/>
      <c r="D197" s="9"/>
      <c r="E197" s="6"/>
      <c r="F197" s="24"/>
      <c r="G197" s="9"/>
      <c r="H197" s="32"/>
      <c r="I197" s="33" t="str">
        <f>IFERROR(__xludf.DUMMYFUNCTION("IF(F197="""","""",LET(
  nombre, TRIM(F197),
  primer, REGEXEXTRACT(nombre, ""^\S+""),
  resto, TRIM(REGEXREPLACE(nombre, ""^\S+\s*"", """")),
  iniciales, IF(
    resto="""",
    """",
    TEXTJOIN("""",1,ARRAYFORMULA(LEFT(SPLIT(resto,"" ""),1) &amp; "".""))"&amp;"
  ),
  UPPER(primer) &amp; "" "" &amp; UPPER(iniciales)
))"),"")</f>
        <v/>
      </c>
      <c r="J197" s="33" t="str">
        <f>IFERROR(__xludf.DUMMYFUNCTION("IF(H197="""","""",IFERROR(
IF(REGEXMATCH(E197,""VELOCIDAD""),
   IF(H197&gt;=MAX(INDEX(BAREMOS!F:X,MATCH(1,(BAREMOS!A:A=A197)*(BAREMOS!B:B=B197)*(BAREMOS!C:C=C197)*(BAREMOS!D:D=D197),0),0)),1,
      IF(H197&lt;=MIN(INDEX(BAREMOS!F:X,MATCH(1,(BAREMOS!A:A=A197)*("&amp;"BAREMOS!B:B=B197)*(BAREMOS!C:C=C197)*(BAREMOS!D:D=D197),0),0)),19,
         MATCH(H197,INDEX(BAREMOS!F:X,MATCH(1,(BAREMOS!A:A=A197)*(BAREMOS!B:B=B197)*(BAREMOS!C:C=C197)*(BAREMOS!D:D=D197),0),0),-1)
      )
   ),
   IF(H197&lt;=MIN(INDEX(BAREMOS!F:X,MATCH(1,"&amp;"(BAREMOS!A:A=A197)*(BAREMOS!B:B=B197)*(BAREMOS!C:C=C197)*(BAREMOS!D:D=D197),0),0)),1,
      IF(H197&gt;=MAX(INDEX(BAREMOS!F:X,MATCH(1,(BAREMOS!A:A=A197)*(BAREMOS!B:B=B197)*(BAREMOS!C:C=C197)*(BAREMOS!D:D=D197),0),0)),19,
         MATCH(H197,INDEX(BAREMOS!F:X"&amp;",MATCH(1,(BAREMOS!A:A=A197)*(BAREMOS!B:B=B197)*(BAREMOS!C:C=C197)*(BAREMOS!D:D=D197),0),0),1)
      )
   )
)
,""""))
"),"")</f>
        <v/>
      </c>
      <c r="K197" s="34" t="str">
        <f t="shared" si="1"/>
        <v/>
      </c>
      <c r="L197" s="16"/>
      <c r="M197" s="16"/>
      <c r="N197" s="16"/>
      <c r="O197" s="16"/>
      <c r="P197" s="16"/>
      <c r="Q197" s="16"/>
      <c r="R197" s="16"/>
      <c r="S197" s="16"/>
      <c r="T197" s="16"/>
      <c r="U197" s="16"/>
      <c r="V197" s="16"/>
      <c r="W197" s="16"/>
      <c r="X197" s="16"/>
      <c r="Y197" s="16"/>
      <c r="Z197" s="16"/>
      <c r="AA197" s="16"/>
      <c r="AB197" s="16"/>
      <c r="AC197" s="16"/>
    </row>
    <row r="198">
      <c r="A198" s="22" t="str">
        <f t="array" ref="A198">IF(E198="","",IFERROR(INDEX(CONFIGURACION!C:C,MATCH(E198,CONFIGURACION!E:E,0)),""))
</f>
        <v/>
      </c>
      <c r="B198" s="22" t="str">
        <f t="array" ref="B198">IF(E198="","",IFERROR(INDEX(CONFIGURACION!D:D,MATCH(E198,CONFIGURACION!E:E,0)),""))
</f>
        <v/>
      </c>
      <c r="C198" s="31"/>
      <c r="D198" s="9"/>
      <c r="E198" s="6"/>
      <c r="F198" s="24"/>
      <c r="G198" s="9"/>
      <c r="H198" s="32"/>
      <c r="I198" s="33" t="str">
        <f>IFERROR(__xludf.DUMMYFUNCTION("IF(F198="""","""",LET(
  nombre, TRIM(F198),
  primer, REGEXEXTRACT(nombre, ""^\S+""),
  resto, TRIM(REGEXREPLACE(nombre, ""^\S+\s*"", """")),
  iniciales, IF(
    resto="""",
    """",
    TEXTJOIN("""",1,ARRAYFORMULA(LEFT(SPLIT(resto,"" ""),1) &amp; "".""))"&amp;"
  ),
  UPPER(primer) &amp; "" "" &amp; UPPER(iniciales)
))"),"")</f>
        <v/>
      </c>
      <c r="J198" s="33" t="str">
        <f>IFERROR(__xludf.DUMMYFUNCTION("IF(H198="""","""",IFERROR(
IF(REGEXMATCH(E198,""VELOCIDAD""),
   IF(H198&gt;=MAX(INDEX(BAREMOS!F:X,MATCH(1,(BAREMOS!A:A=A198)*(BAREMOS!B:B=B198)*(BAREMOS!C:C=C198)*(BAREMOS!D:D=D198),0),0)),1,
      IF(H198&lt;=MIN(INDEX(BAREMOS!F:X,MATCH(1,(BAREMOS!A:A=A198)*("&amp;"BAREMOS!B:B=B198)*(BAREMOS!C:C=C198)*(BAREMOS!D:D=D198),0),0)),19,
         MATCH(H198,INDEX(BAREMOS!F:X,MATCH(1,(BAREMOS!A:A=A198)*(BAREMOS!B:B=B198)*(BAREMOS!C:C=C198)*(BAREMOS!D:D=D198),0),0),-1)
      )
   ),
   IF(H198&lt;=MIN(INDEX(BAREMOS!F:X,MATCH(1,"&amp;"(BAREMOS!A:A=A198)*(BAREMOS!B:B=B198)*(BAREMOS!C:C=C198)*(BAREMOS!D:D=D198),0),0)),1,
      IF(H198&gt;=MAX(INDEX(BAREMOS!F:X,MATCH(1,(BAREMOS!A:A=A198)*(BAREMOS!B:B=B198)*(BAREMOS!C:C=C198)*(BAREMOS!D:D=D198),0),0)),19,
         MATCH(H198,INDEX(BAREMOS!F:X"&amp;",MATCH(1,(BAREMOS!A:A=A198)*(BAREMOS!B:B=B198)*(BAREMOS!C:C=C198)*(BAREMOS!D:D=D198),0),0),1)
      )
   )
)
,""""))
"),"")</f>
        <v/>
      </c>
      <c r="K198" s="34" t="str">
        <f t="shared" si="1"/>
        <v/>
      </c>
      <c r="L198" s="16"/>
      <c r="M198" s="16"/>
      <c r="N198" s="16"/>
      <c r="O198" s="16"/>
      <c r="P198" s="16"/>
      <c r="Q198" s="16"/>
      <c r="R198" s="16"/>
      <c r="S198" s="16"/>
      <c r="T198" s="16"/>
      <c r="U198" s="16"/>
      <c r="V198" s="16"/>
      <c r="W198" s="16"/>
      <c r="X198" s="16"/>
      <c r="Y198" s="16"/>
      <c r="Z198" s="16"/>
      <c r="AA198" s="16"/>
      <c r="AB198" s="16"/>
      <c r="AC198" s="16"/>
    </row>
    <row r="199">
      <c r="A199" s="22" t="str">
        <f t="array" ref="A199">IF(E199="","",IFERROR(INDEX(CONFIGURACION!C:C,MATCH(E199,CONFIGURACION!E:E,0)),""))
</f>
        <v/>
      </c>
      <c r="B199" s="22" t="str">
        <f t="array" ref="B199">IF(E199="","",IFERROR(INDEX(CONFIGURACION!D:D,MATCH(E199,CONFIGURACION!E:E,0)),""))
</f>
        <v/>
      </c>
      <c r="C199" s="31"/>
      <c r="D199" s="9"/>
      <c r="E199" s="6"/>
      <c r="F199" s="24"/>
      <c r="G199" s="9"/>
      <c r="H199" s="32"/>
      <c r="I199" s="33" t="str">
        <f>IFERROR(__xludf.DUMMYFUNCTION("IF(F199="""","""",LET(
  nombre, TRIM(F199),
  primer, REGEXEXTRACT(nombre, ""^\S+""),
  resto, TRIM(REGEXREPLACE(nombre, ""^\S+\s*"", """")),
  iniciales, IF(
    resto="""",
    """",
    TEXTJOIN("""",1,ARRAYFORMULA(LEFT(SPLIT(resto,"" ""),1) &amp; "".""))"&amp;"
  ),
  UPPER(primer) &amp; "" "" &amp; UPPER(iniciales)
))"),"")</f>
        <v/>
      </c>
      <c r="J199" s="33" t="str">
        <f>IFERROR(__xludf.DUMMYFUNCTION("IF(H199="""","""",IFERROR(
IF(REGEXMATCH(E199,""VELOCIDAD""),
   IF(H199&gt;=MAX(INDEX(BAREMOS!F:X,MATCH(1,(BAREMOS!A:A=A199)*(BAREMOS!B:B=B199)*(BAREMOS!C:C=C199)*(BAREMOS!D:D=D199),0),0)),1,
      IF(H199&lt;=MIN(INDEX(BAREMOS!F:X,MATCH(1,(BAREMOS!A:A=A199)*("&amp;"BAREMOS!B:B=B199)*(BAREMOS!C:C=C199)*(BAREMOS!D:D=D199),0),0)),19,
         MATCH(H199,INDEX(BAREMOS!F:X,MATCH(1,(BAREMOS!A:A=A199)*(BAREMOS!B:B=B199)*(BAREMOS!C:C=C199)*(BAREMOS!D:D=D199),0),0),-1)
      )
   ),
   IF(H199&lt;=MIN(INDEX(BAREMOS!F:X,MATCH(1,"&amp;"(BAREMOS!A:A=A199)*(BAREMOS!B:B=B199)*(BAREMOS!C:C=C199)*(BAREMOS!D:D=D199),0),0)),1,
      IF(H199&gt;=MAX(INDEX(BAREMOS!F:X,MATCH(1,(BAREMOS!A:A=A199)*(BAREMOS!B:B=B199)*(BAREMOS!C:C=C199)*(BAREMOS!D:D=D199),0),0)),19,
         MATCH(H199,INDEX(BAREMOS!F:X"&amp;",MATCH(1,(BAREMOS!A:A=A199)*(BAREMOS!B:B=B199)*(BAREMOS!C:C=C199)*(BAREMOS!D:D=D199),0),0),1)
      )
   )
)
,""""))
"),"")</f>
        <v/>
      </c>
      <c r="K199" s="34" t="str">
        <f t="shared" si="1"/>
        <v/>
      </c>
      <c r="L199" s="16"/>
      <c r="M199" s="16"/>
      <c r="N199" s="16"/>
      <c r="O199" s="16"/>
      <c r="P199" s="16"/>
      <c r="Q199" s="16"/>
      <c r="R199" s="16"/>
      <c r="S199" s="16"/>
      <c r="T199" s="16"/>
      <c r="U199" s="16"/>
      <c r="V199" s="16"/>
      <c r="W199" s="16"/>
      <c r="X199" s="16"/>
      <c r="Y199" s="16"/>
      <c r="Z199" s="16"/>
      <c r="AA199" s="16"/>
      <c r="AB199" s="16"/>
      <c r="AC199" s="16"/>
    </row>
    <row r="200">
      <c r="A200" s="22" t="str">
        <f t="array" ref="A200">IF(E200="","",IFERROR(INDEX(CONFIGURACION!C:C,MATCH(E200,CONFIGURACION!E:E,0)),""))
</f>
        <v/>
      </c>
      <c r="B200" s="22" t="str">
        <f t="array" ref="B200">IF(E200="","",IFERROR(INDEX(CONFIGURACION!D:D,MATCH(E200,CONFIGURACION!E:E,0)),""))
</f>
        <v/>
      </c>
      <c r="C200" s="31"/>
      <c r="D200" s="9"/>
      <c r="E200" s="6"/>
      <c r="F200" s="24"/>
      <c r="G200" s="9"/>
      <c r="H200" s="32"/>
      <c r="I200" s="33" t="str">
        <f>IFERROR(__xludf.DUMMYFUNCTION("IF(F200="""","""",LET(
  nombre, TRIM(F200),
  primer, REGEXEXTRACT(nombre, ""^\S+""),
  resto, TRIM(REGEXREPLACE(nombre, ""^\S+\s*"", """")),
  iniciales, IF(
    resto="""",
    """",
    TEXTJOIN("""",1,ARRAYFORMULA(LEFT(SPLIT(resto,"" ""),1) &amp; "".""))"&amp;"
  ),
  UPPER(primer) &amp; "" "" &amp; UPPER(iniciales)
))"),"")</f>
        <v/>
      </c>
      <c r="J200" s="33" t="str">
        <f>IFERROR(__xludf.DUMMYFUNCTION("IF(H200="""","""",IFERROR(
IF(REGEXMATCH(E200,""VELOCIDAD""),
   IF(H200&gt;=MAX(INDEX(BAREMOS!F:X,MATCH(1,(BAREMOS!A:A=A200)*(BAREMOS!B:B=B200)*(BAREMOS!C:C=C200)*(BAREMOS!D:D=D200),0),0)),1,
      IF(H200&lt;=MIN(INDEX(BAREMOS!F:X,MATCH(1,(BAREMOS!A:A=A200)*("&amp;"BAREMOS!B:B=B200)*(BAREMOS!C:C=C200)*(BAREMOS!D:D=D200),0),0)),19,
         MATCH(H200,INDEX(BAREMOS!F:X,MATCH(1,(BAREMOS!A:A=A200)*(BAREMOS!B:B=B200)*(BAREMOS!C:C=C200)*(BAREMOS!D:D=D200),0),0),-1)
      )
   ),
   IF(H200&lt;=MIN(INDEX(BAREMOS!F:X,MATCH(1,"&amp;"(BAREMOS!A:A=A200)*(BAREMOS!B:B=B200)*(BAREMOS!C:C=C200)*(BAREMOS!D:D=D200),0),0)),1,
      IF(H200&gt;=MAX(INDEX(BAREMOS!F:X,MATCH(1,(BAREMOS!A:A=A200)*(BAREMOS!B:B=B200)*(BAREMOS!C:C=C200)*(BAREMOS!D:D=D200),0),0)),19,
         MATCH(H200,INDEX(BAREMOS!F:X"&amp;",MATCH(1,(BAREMOS!A:A=A200)*(BAREMOS!B:B=B200)*(BAREMOS!C:C=C200)*(BAREMOS!D:D=D200),0),0),1)
      )
   )
)
,""""))
"),"")</f>
        <v/>
      </c>
      <c r="K200" s="34" t="str">
        <f t="shared" si="1"/>
        <v/>
      </c>
      <c r="L200" s="16"/>
      <c r="M200" s="16"/>
      <c r="N200" s="16"/>
      <c r="O200" s="16"/>
      <c r="P200" s="16"/>
      <c r="Q200" s="16"/>
      <c r="R200" s="16"/>
      <c r="S200" s="16"/>
      <c r="T200" s="16"/>
      <c r="U200" s="16"/>
      <c r="V200" s="16"/>
      <c r="W200" s="16"/>
      <c r="X200" s="16"/>
      <c r="Y200" s="16"/>
      <c r="Z200" s="16"/>
      <c r="AA200" s="16"/>
      <c r="AB200" s="16"/>
      <c r="AC200" s="16"/>
    </row>
    <row r="201">
      <c r="A201" s="22" t="str">
        <f t="array" ref="A201">IF(E201="","",IFERROR(INDEX(CONFIGURACION!C:C,MATCH(E201,CONFIGURACION!E:E,0)),""))
</f>
        <v/>
      </c>
      <c r="B201" s="22" t="str">
        <f t="array" ref="B201">IF(E201="","",IFERROR(INDEX(CONFIGURACION!D:D,MATCH(E201,CONFIGURACION!E:E,0)),""))
</f>
        <v/>
      </c>
      <c r="C201" s="31"/>
      <c r="D201" s="9"/>
      <c r="E201" s="6"/>
      <c r="F201" s="24"/>
      <c r="G201" s="9"/>
      <c r="H201" s="32"/>
      <c r="I201" s="33" t="str">
        <f>IFERROR(__xludf.DUMMYFUNCTION("IF(F201="""","""",LET(
  nombre, TRIM(F201),
  primer, REGEXEXTRACT(nombre, ""^\S+""),
  resto, TRIM(REGEXREPLACE(nombre, ""^\S+\s*"", """")),
  iniciales, IF(
    resto="""",
    """",
    TEXTJOIN("""",1,ARRAYFORMULA(LEFT(SPLIT(resto,"" ""),1) &amp; "".""))"&amp;"
  ),
  UPPER(primer) &amp; "" "" &amp; UPPER(iniciales)
))"),"")</f>
        <v/>
      </c>
      <c r="J201" s="33" t="str">
        <f>IFERROR(__xludf.DUMMYFUNCTION("IF(H201="""","""",IFERROR(
IF(REGEXMATCH(E201,""VELOCIDAD""),
   IF(H201&gt;=MAX(INDEX(BAREMOS!F:X,MATCH(1,(BAREMOS!A:A=A201)*(BAREMOS!B:B=B201)*(BAREMOS!C:C=C201)*(BAREMOS!D:D=D201),0),0)),1,
      IF(H201&lt;=MIN(INDEX(BAREMOS!F:X,MATCH(1,(BAREMOS!A:A=A201)*("&amp;"BAREMOS!B:B=B201)*(BAREMOS!C:C=C201)*(BAREMOS!D:D=D201),0),0)),19,
         MATCH(H201,INDEX(BAREMOS!F:X,MATCH(1,(BAREMOS!A:A=A201)*(BAREMOS!B:B=B201)*(BAREMOS!C:C=C201)*(BAREMOS!D:D=D201),0),0),-1)
      )
   ),
   IF(H201&lt;=MIN(INDEX(BAREMOS!F:X,MATCH(1,"&amp;"(BAREMOS!A:A=A201)*(BAREMOS!B:B=B201)*(BAREMOS!C:C=C201)*(BAREMOS!D:D=D201),0),0)),1,
      IF(H201&gt;=MAX(INDEX(BAREMOS!F:X,MATCH(1,(BAREMOS!A:A=A201)*(BAREMOS!B:B=B201)*(BAREMOS!C:C=C201)*(BAREMOS!D:D=D201),0),0)),19,
         MATCH(H201,INDEX(BAREMOS!F:X"&amp;",MATCH(1,(BAREMOS!A:A=A201)*(BAREMOS!B:B=B201)*(BAREMOS!C:C=C201)*(BAREMOS!D:D=D201),0),0),1)
      )
   )
)
,""""))
"),"")</f>
        <v/>
      </c>
      <c r="K201" s="34" t="str">
        <f t="shared" si="1"/>
        <v/>
      </c>
      <c r="L201" s="16"/>
      <c r="M201" s="16"/>
      <c r="N201" s="16"/>
      <c r="O201" s="16"/>
      <c r="P201" s="16"/>
      <c r="Q201" s="16"/>
      <c r="R201" s="16"/>
      <c r="S201" s="16"/>
      <c r="T201" s="16"/>
      <c r="U201" s="16"/>
      <c r="V201" s="16"/>
      <c r="W201" s="16"/>
      <c r="X201" s="16"/>
      <c r="Y201" s="16"/>
      <c r="Z201" s="16"/>
      <c r="AA201" s="16"/>
      <c r="AB201" s="16"/>
      <c r="AC201" s="16"/>
    </row>
    <row r="202">
      <c r="A202" s="22" t="str">
        <f t="array" ref="A202">IF(E202="","",IFERROR(INDEX(CONFIGURACION!C:C,MATCH(E202,CONFIGURACION!E:E,0)),""))
</f>
        <v/>
      </c>
      <c r="B202" s="22" t="str">
        <f t="array" ref="B202">IF(E202="","",IFERROR(INDEX(CONFIGURACION!D:D,MATCH(E202,CONFIGURACION!E:E,0)),""))
</f>
        <v/>
      </c>
      <c r="C202" s="31"/>
      <c r="D202" s="9"/>
      <c r="E202" s="6"/>
      <c r="F202" s="24"/>
      <c r="G202" s="9"/>
      <c r="H202" s="32"/>
      <c r="I202" s="33" t="str">
        <f>IFERROR(__xludf.DUMMYFUNCTION("IF(F202="""","""",LET(
  nombre, TRIM(F202),
  primer, REGEXEXTRACT(nombre, ""^\S+""),
  resto, TRIM(REGEXREPLACE(nombre, ""^\S+\s*"", """")),
  iniciales, IF(
    resto="""",
    """",
    TEXTJOIN("""",1,ARRAYFORMULA(LEFT(SPLIT(resto,"" ""),1) &amp; "".""))"&amp;"
  ),
  UPPER(primer) &amp; "" "" &amp; UPPER(iniciales)
))"),"")</f>
        <v/>
      </c>
      <c r="J202" s="33" t="str">
        <f>IFERROR(__xludf.DUMMYFUNCTION("IF(H202="""","""",IFERROR(
IF(REGEXMATCH(E202,""VELOCIDAD""),
   IF(H202&gt;=MAX(INDEX(BAREMOS!F:X,MATCH(1,(BAREMOS!A:A=A202)*(BAREMOS!B:B=B202)*(BAREMOS!C:C=C202)*(BAREMOS!D:D=D202),0),0)),1,
      IF(H202&lt;=MIN(INDEX(BAREMOS!F:X,MATCH(1,(BAREMOS!A:A=A202)*("&amp;"BAREMOS!B:B=B202)*(BAREMOS!C:C=C202)*(BAREMOS!D:D=D202),0),0)),19,
         MATCH(H202,INDEX(BAREMOS!F:X,MATCH(1,(BAREMOS!A:A=A202)*(BAREMOS!B:B=B202)*(BAREMOS!C:C=C202)*(BAREMOS!D:D=D202),0),0),-1)
      )
   ),
   IF(H202&lt;=MIN(INDEX(BAREMOS!F:X,MATCH(1,"&amp;"(BAREMOS!A:A=A202)*(BAREMOS!B:B=B202)*(BAREMOS!C:C=C202)*(BAREMOS!D:D=D202),0),0)),1,
      IF(H202&gt;=MAX(INDEX(BAREMOS!F:X,MATCH(1,(BAREMOS!A:A=A202)*(BAREMOS!B:B=B202)*(BAREMOS!C:C=C202)*(BAREMOS!D:D=D202),0),0)),19,
         MATCH(H202,INDEX(BAREMOS!F:X"&amp;",MATCH(1,(BAREMOS!A:A=A202)*(BAREMOS!B:B=B202)*(BAREMOS!C:C=C202)*(BAREMOS!D:D=D202),0),0),1)
      )
   )
)
,""""))
"),"")</f>
        <v/>
      </c>
      <c r="K202" s="34" t="str">
        <f t="shared" si="1"/>
        <v/>
      </c>
      <c r="L202" s="16"/>
      <c r="M202" s="16"/>
      <c r="N202" s="16"/>
      <c r="O202" s="16"/>
      <c r="P202" s="16"/>
      <c r="Q202" s="16"/>
      <c r="R202" s="16"/>
      <c r="S202" s="16"/>
      <c r="T202" s="16"/>
      <c r="U202" s="16"/>
      <c r="V202" s="16"/>
      <c r="W202" s="16"/>
      <c r="X202" s="16"/>
      <c r="Y202" s="16"/>
      <c r="Z202" s="16"/>
      <c r="AA202" s="16"/>
      <c r="AB202" s="16"/>
      <c r="AC202" s="16"/>
    </row>
    <row r="203">
      <c r="A203" s="22" t="str">
        <f t="array" ref="A203">IF(E203="","",IFERROR(INDEX(CONFIGURACION!C:C,MATCH(E203,CONFIGURACION!E:E,0)),""))
</f>
        <v/>
      </c>
      <c r="B203" s="22" t="str">
        <f t="array" ref="B203">IF(E203="","",IFERROR(INDEX(CONFIGURACION!D:D,MATCH(E203,CONFIGURACION!E:E,0)),""))
</f>
        <v/>
      </c>
      <c r="C203" s="31"/>
      <c r="D203" s="9"/>
      <c r="E203" s="6"/>
      <c r="F203" s="24"/>
      <c r="G203" s="9"/>
      <c r="H203" s="32"/>
      <c r="I203" s="33" t="str">
        <f>IFERROR(__xludf.DUMMYFUNCTION("IF(F203="""","""",LET(
  nombre, TRIM(F203),
  primer, REGEXEXTRACT(nombre, ""^\S+""),
  resto, TRIM(REGEXREPLACE(nombre, ""^\S+\s*"", """")),
  iniciales, IF(
    resto="""",
    """",
    TEXTJOIN("""",1,ARRAYFORMULA(LEFT(SPLIT(resto,"" ""),1) &amp; "".""))"&amp;"
  ),
  UPPER(primer) &amp; "" "" &amp; UPPER(iniciales)
))"),"")</f>
        <v/>
      </c>
      <c r="J203" s="33" t="str">
        <f>IFERROR(__xludf.DUMMYFUNCTION("IF(H203="""","""",IFERROR(
IF(REGEXMATCH(E203,""VELOCIDAD""),
   IF(H203&gt;=MAX(INDEX(BAREMOS!F:X,MATCH(1,(BAREMOS!A:A=A203)*(BAREMOS!B:B=B203)*(BAREMOS!C:C=C203)*(BAREMOS!D:D=D203),0),0)),1,
      IF(H203&lt;=MIN(INDEX(BAREMOS!F:X,MATCH(1,(BAREMOS!A:A=A203)*("&amp;"BAREMOS!B:B=B203)*(BAREMOS!C:C=C203)*(BAREMOS!D:D=D203),0),0)),19,
         MATCH(H203,INDEX(BAREMOS!F:X,MATCH(1,(BAREMOS!A:A=A203)*(BAREMOS!B:B=B203)*(BAREMOS!C:C=C203)*(BAREMOS!D:D=D203),0),0),-1)
      )
   ),
   IF(H203&lt;=MIN(INDEX(BAREMOS!F:X,MATCH(1,"&amp;"(BAREMOS!A:A=A203)*(BAREMOS!B:B=B203)*(BAREMOS!C:C=C203)*(BAREMOS!D:D=D203),0),0)),1,
      IF(H203&gt;=MAX(INDEX(BAREMOS!F:X,MATCH(1,(BAREMOS!A:A=A203)*(BAREMOS!B:B=B203)*(BAREMOS!C:C=C203)*(BAREMOS!D:D=D203),0),0)),19,
         MATCH(H203,INDEX(BAREMOS!F:X"&amp;",MATCH(1,(BAREMOS!A:A=A203)*(BAREMOS!B:B=B203)*(BAREMOS!C:C=C203)*(BAREMOS!D:D=D203),0),0),1)
      )
   )
)
,""""))
"),"")</f>
        <v/>
      </c>
      <c r="K203" s="34" t="str">
        <f t="shared" si="1"/>
        <v/>
      </c>
      <c r="L203" s="16"/>
      <c r="M203" s="16"/>
      <c r="N203" s="16"/>
      <c r="O203" s="16"/>
      <c r="P203" s="16"/>
      <c r="Q203" s="16"/>
      <c r="R203" s="16"/>
      <c r="S203" s="16"/>
      <c r="T203" s="16"/>
      <c r="U203" s="16"/>
      <c r="V203" s="16"/>
      <c r="W203" s="16"/>
      <c r="X203" s="16"/>
      <c r="Y203" s="16"/>
      <c r="Z203" s="16"/>
      <c r="AA203" s="16"/>
      <c r="AB203" s="16"/>
      <c r="AC203" s="16"/>
    </row>
    <row r="204">
      <c r="A204" s="22" t="str">
        <f t="array" ref="A204">IF(E204="","",IFERROR(INDEX(CONFIGURACION!C:C,MATCH(E204,CONFIGURACION!E:E,0)),""))
</f>
        <v/>
      </c>
      <c r="B204" s="22" t="str">
        <f t="array" ref="B204">IF(E204="","",IFERROR(INDEX(CONFIGURACION!D:D,MATCH(E204,CONFIGURACION!E:E,0)),""))
</f>
        <v/>
      </c>
      <c r="C204" s="31"/>
      <c r="D204" s="9"/>
      <c r="E204" s="6"/>
      <c r="F204" s="24"/>
      <c r="G204" s="9"/>
      <c r="H204" s="32"/>
      <c r="I204" s="33" t="str">
        <f>IFERROR(__xludf.DUMMYFUNCTION("IF(F204="""","""",LET(
  nombre, TRIM(F204),
  primer, REGEXEXTRACT(nombre, ""^\S+""),
  resto, TRIM(REGEXREPLACE(nombre, ""^\S+\s*"", """")),
  iniciales, IF(
    resto="""",
    """",
    TEXTJOIN("""",1,ARRAYFORMULA(LEFT(SPLIT(resto,"" ""),1) &amp; "".""))"&amp;"
  ),
  UPPER(primer) &amp; "" "" &amp; UPPER(iniciales)
))"),"")</f>
        <v/>
      </c>
      <c r="J204" s="33" t="str">
        <f>IFERROR(__xludf.DUMMYFUNCTION("IF(H204="""","""",IFERROR(
IF(REGEXMATCH(E204,""VELOCIDAD""),
   IF(H204&gt;=MAX(INDEX(BAREMOS!F:X,MATCH(1,(BAREMOS!A:A=A204)*(BAREMOS!B:B=B204)*(BAREMOS!C:C=C204)*(BAREMOS!D:D=D204),0),0)),1,
      IF(H204&lt;=MIN(INDEX(BAREMOS!F:X,MATCH(1,(BAREMOS!A:A=A204)*("&amp;"BAREMOS!B:B=B204)*(BAREMOS!C:C=C204)*(BAREMOS!D:D=D204),0),0)),19,
         MATCH(H204,INDEX(BAREMOS!F:X,MATCH(1,(BAREMOS!A:A=A204)*(BAREMOS!B:B=B204)*(BAREMOS!C:C=C204)*(BAREMOS!D:D=D204),0),0),-1)
      )
   ),
   IF(H204&lt;=MIN(INDEX(BAREMOS!F:X,MATCH(1,"&amp;"(BAREMOS!A:A=A204)*(BAREMOS!B:B=B204)*(BAREMOS!C:C=C204)*(BAREMOS!D:D=D204),0),0)),1,
      IF(H204&gt;=MAX(INDEX(BAREMOS!F:X,MATCH(1,(BAREMOS!A:A=A204)*(BAREMOS!B:B=B204)*(BAREMOS!C:C=C204)*(BAREMOS!D:D=D204),0),0)),19,
         MATCH(H204,INDEX(BAREMOS!F:X"&amp;",MATCH(1,(BAREMOS!A:A=A204)*(BAREMOS!B:B=B204)*(BAREMOS!C:C=C204)*(BAREMOS!D:D=D204),0),0),1)
      )
   )
)
,""""))
"),"")</f>
        <v/>
      </c>
      <c r="K204" s="34" t="str">
        <f t="shared" si="1"/>
        <v/>
      </c>
      <c r="L204" s="16"/>
      <c r="M204" s="16"/>
      <c r="N204" s="16"/>
      <c r="O204" s="16"/>
      <c r="P204" s="16"/>
      <c r="Q204" s="16"/>
      <c r="R204" s="16"/>
      <c r="S204" s="16"/>
      <c r="T204" s="16"/>
      <c r="U204" s="16"/>
      <c r="V204" s="16"/>
      <c r="W204" s="16"/>
      <c r="X204" s="16"/>
      <c r="Y204" s="16"/>
      <c r="Z204" s="16"/>
      <c r="AA204" s="16"/>
      <c r="AB204" s="16"/>
      <c r="AC204" s="16"/>
    </row>
    <row r="205">
      <c r="A205" s="22" t="str">
        <f t="array" ref="A205">IF(E205="","",IFERROR(INDEX(CONFIGURACION!C:C,MATCH(E205,CONFIGURACION!E:E,0)),""))
</f>
        <v/>
      </c>
      <c r="B205" s="22" t="str">
        <f t="array" ref="B205">IF(E205="","",IFERROR(INDEX(CONFIGURACION!D:D,MATCH(E205,CONFIGURACION!E:E,0)),""))
</f>
        <v/>
      </c>
      <c r="C205" s="31"/>
      <c r="D205" s="9"/>
      <c r="E205" s="6"/>
      <c r="F205" s="24"/>
      <c r="G205" s="9"/>
      <c r="H205" s="32"/>
      <c r="I205" s="33" t="str">
        <f>IFERROR(__xludf.DUMMYFUNCTION("IF(F205="""","""",LET(
  nombre, TRIM(F205),
  primer, REGEXEXTRACT(nombre, ""^\S+""),
  resto, TRIM(REGEXREPLACE(nombre, ""^\S+\s*"", """")),
  iniciales, IF(
    resto="""",
    """",
    TEXTJOIN("""",1,ARRAYFORMULA(LEFT(SPLIT(resto,"" ""),1) &amp; "".""))"&amp;"
  ),
  UPPER(primer) &amp; "" "" &amp; UPPER(iniciales)
))"),"")</f>
        <v/>
      </c>
      <c r="J205" s="33" t="str">
        <f>IFERROR(__xludf.DUMMYFUNCTION("IF(H205="""","""",IFERROR(
IF(REGEXMATCH(E205,""VELOCIDAD""),
   IF(H205&gt;=MAX(INDEX(BAREMOS!F:X,MATCH(1,(BAREMOS!A:A=A205)*(BAREMOS!B:B=B205)*(BAREMOS!C:C=C205)*(BAREMOS!D:D=D205),0),0)),1,
      IF(H205&lt;=MIN(INDEX(BAREMOS!F:X,MATCH(1,(BAREMOS!A:A=A205)*("&amp;"BAREMOS!B:B=B205)*(BAREMOS!C:C=C205)*(BAREMOS!D:D=D205),0),0)),19,
         MATCH(H205,INDEX(BAREMOS!F:X,MATCH(1,(BAREMOS!A:A=A205)*(BAREMOS!B:B=B205)*(BAREMOS!C:C=C205)*(BAREMOS!D:D=D205),0),0),-1)
      )
   ),
   IF(H205&lt;=MIN(INDEX(BAREMOS!F:X,MATCH(1,"&amp;"(BAREMOS!A:A=A205)*(BAREMOS!B:B=B205)*(BAREMOS!C:C=C205)*(BAREMOS!D:D=D205),0),0)),1,
      IF(H205&gt;=MAX(INDEX(BAREMOS!F:X,MATCH(1,(BAREMOS!A:A=A205)*(BAREMOS!B:B=B205)*(BAREMOS!C:C=C205)*(BAREMOS!D:D=D205),0),0)),19,
         MATCH(H205,INDEX(BAREMOS!F:X"&amp;",MATCH(1,(BAREMOS!A:A=A205)*(BAREMOS!B:B=B205)*(BAREMOS!C:C=C205)*(BAREMOS!D:D=D205),0),0),1)
      )
   )
)
,""""))
"),"")</f>
        <v/>
      </c>
      <c r="K205" s="34" t="str">
        <f t="shared" si="1"/>
        <v/>
      </c>
      <c r="L205" s="16"/>
      <c r="M205" s="16"/>
      <c r="N205" s="16"/>
      <c r="O205" s="16"/>
      <c r="P205" s="16"/>
      <c r="Q205" s="16"/>
      <c r="R205" s="16"/>
      <c r="S205" s="16"/>
      <c r="T205" s="16"/>
      <c r="U205" s="16"/>
      <c r="V205" s="16"/>
      <c r="W205" s="16"/>
      <c r="X205" s="16"/>
      <c r="Y205" s="16"/>
      <c r="Z205" s="16"/>
      <c r="AA205" s="16"/>
      <c r="AB205" s="16"/>
      <c r="AC205" s="16"/>
    </row>
    <row r="206">
      <c r="A206" s="22" t="str">
        <f t="array" ref="A206">IF(E206="","",IFERROR(INDEX(CONFIGURACION!C:C,MATCH(E206,CONFIGURACION!E:E,0)),""))
</f>
        <v/>
      </c>
      <c r="B206" s="22" t="str">
        <f t="array" ref="B206">IF(E206="","",IFERROR(INDEX(CONFIGURACION!D:D,MATCH(E206,CONFIGURACION!E:E,0)),""))
</f>
        <v/>
      </c>
      <c r="C206" s="31"/>
      <c r="D206" s="9"/>
      <c r="E206" s="6"/>
      <c r="F206" s="24"/>
      <c r="G206" s="9"/>
      <c r="H206" s="32"/>
      <c r="I206" s="33" t="str">
        <f>IFERROR(__xludf.DUMMYFUNCTION("IF(F206="""","""",LET(
  nombre, TRIM(F206),
  primer, REGEXEXTRACT(nombre, ""^\S+""),
  resto, TRIM(REGEXREPLACE(nombre, ""^\S+\s*"", """")),
  iniciales, IF(
    resto="""",
    """",
    TEXTJOIN("""",1,ARRAYFORMULA(LEFT(SPLIT(resto,"" ""),1) &amp; "".""))"&amp;"
  ),
  UPPER(primer) &amp; "" "" &amp; UPPER(iniciales)
))"),"")</f>
        <v/>
      </c>
      <c r="J206" s="33" t="str">
        <f>IFERROR(__xludf.DUMMYFUNCTION("IF(H206="""","""",IFERROR(
IF(REGEXMATCH(E206,""VELOCIDAD""),
   IF(H206&gt;=MAX(INDEX(BAREMOS!F:X,MATCH(1,(BAREMOS!A:A=A206)*(BAREMOS!B:B=B206)*(BAREMOS!C:C=C206)*(BAREMOS!D:D=D206),0),0)),1,
      IF(H206&lt;=MIN(INDEX(BAREMOS!F:X,MATCH(1,(BAREMOS!A:A=A206)*("&amp;"BAREMOS!B:B=B206)*(BAREMOS!C:C=C206)*(BAREMOS!D:D=D206),0),0)),19,
         MATCH(H206,INDEX(BAREMOS!F:X,MATCH(1,(BAREMOS!A:A=A206)*(BAREMOS!B:B=B206)*(BAREMOS!C:C=C206)*(BAREMOS!D:D=D206),0),0),-1)
      )
   ),
   IF(H206&lt;=MIN(INDEX(BAREMOS!F:X,MATCH(1,"&amp;"(BAREMOS!A:A=A206)*(BAREMOS!B:B=B206)*(BAREMOS!C:C=C206)*(BAREMOS!D:D=D206),0),0)),1,
      IF(H206&gt;=MAX(INDEX(BAREMOS!F:X,MATCH(1,(BAREMOS!A:A=A206)*(BAREMOS!B:B=B206)*(BAREMOS!C:C=C206)*(BAREMOS!D:D=D206),0),0)),19,
         MATCH(H206,INDEX(BAREMOS!F:X"&amp;",MATCH(1,(BAREMOS!A:A=A206)*(BAREMOS!B:B=B206)*(BAREMOS!C:C=C206)*(BAREMOS!D:D=D206),0),0),1)
      )
   )
)
,""""))
"),"")</f>
        <v/>
      </c>
      <c r="K206" s="34" t="str">
        <f t="shared" si="1"/>
        <v/>
      </c>
      <c r="L206" s="16"/>
      <c r="M206" s="16"/>
      <c r="N206" s="16"/>
      <c r="O206" s="16"/>
      <c r="P206" s="16"/>
      <c r="Q206" s="16"/>
      <c r="R206" s="16"/>
      <c r="S206" s="16"/>
      <c r="T206" s="16"/>
      <c r="U206" s="16"/>
      <c r="V206" s="16"/>
      <c r="W206" s="16"/>
      <c r="X206" s="16"/>
      <c r="Y206" s="16"/>
      <c r="Z206" s="16"/>
      <c r="AA206" s="16"/>
      <c r="AB206" s="16"/>
      <c r="AC206" s="16"/>
    </row>
    <row r="207">
      <c r="A207" s="22" t="str">
        <f t="array" ref="A207">IF(E207="","",IFERROR(INDEX(CONFIGURACION!C:C,MATCH(E207,CONFIGURACION!E:E,0)),""))
</f>
        <v/>
      </c>
      <c r="B207" s="22" t="str">
        <f t="array" ref="B207">IF(E207="","",IFERROR(INDEX(CONFIGURACION!D:D,MATCH(E207,CONFIGURACION!E:E,0)),""))
</f>
        <v/>
      </c>
      <c r="C207" s="31"/>
      <c r="D207" s="9"/>
      <c r="E207" s="6"/>
      <c r="F207" s="24"/>
      <c r="G207" s="9"/>
      <c r="H207" s="32"/>
      <c r="I207" s="33" t="str">
        <f>IFERROR(__xludf.DUMMYFUNCTION("IF(F207="""","""",LET(
  nombre, TRIM(F207),
  primer, REGEXEXTRACT(nombre, ""^\S+""),
  resto, TRIM(REGEXREPLACE(nombre, ""^\S+\s*"", """")),
  iniciales, IF(
    resto="""",
    """",
    TEXTJOIN("""",1,ARRAYFORMULA(LEFT(SPLIT(resto,"" ""),1) &amp; "".""))"&amp;"
  ),
  UPPER(primer) &amp; "" "" &amp; UPPER(iniciales)
))"),"")</f>
        <v/>
      </c>
      <c r="J207" s="33" t="str">
        <f>IFERROR(__xludf.DUMMYFUNCTION("IF(H207="""","""",IFERROR(
IF(REGEXMATCH(E207,""VELOCIDAD""),
   IF(H207&gt;=MAX(INDEX(BAREMOS!F:X,MATCH(1,(BAREMOS!A:A=A207)*(BAREMOS!B:B=B207)*(BAREMOS!C:C=C207)*(BAREMOS!D:D=D207),0),0)),1,
      IF(H207&lt;=MIN(INDEX(BAREMOS!F:X,MATCH(1,(BAREMOS!A:A=A207)*("&amp;"BAREMOS!B:B=B207)*(BAREMOS!C:C=C207)*(BAREMOS!D:D=D207),0),0)),19,
         MATCH(H207,INDEX(BAREMOS!F:X,MATCH(1,(BAREMOS!A:A=A207)*(BAREMOS!B:B=B207)*(BAREMOS!C:C=C207)*(BAREMOS!D:D=D207),0),0),-1)
      )
   ),
   IF(H207&lt;=MIN(INDEX(BAREMOS!F:X,MATCH(1,"&amp;"(BAREMOS!A:A=A207)*(BAREMOS!B:B=B207)*(BAREMOS!C:C=C207)*(BAREMOS!D:D=D207),0),0)),1,
      IF(H207&gt;=MAX(INDEX(BAREMOS!F:X,MATCH(1,(BAREMOS!A:A=A207)*(BAREMOS!B:B=B207)*(BAREMOS!C:C=C207)*(BAREMOS!D:D=D207),0),0)),19,
         MATCH(H207,INDEX(BAREMOS!F:X"&amp;",MATCH(1,(BAREMOS!A:A=A207)*(BAREMOS!B:B=B207)*(BAREMOS!C:C=C207)*(BAREMOS!D:D=D207),0),0),1)
      )
   )
)
,""""))
"),"")</f>
        <v/>
      </c>
      <c r="K207" s="34" t="str">
        <f t="shared" si="1"/>
        <v/>
      </c>
      <c r="L207" s="16"/>
      <c r="M207" s="16"/>
      <c r="N207" s="16"/>
      <c r="O207" s="16"/>
      <c r="P207" s="16"/>
      <c r="Q207" s="16"/>
      <c r="R207" s="16"/>
      <c r="S207" s="16"/>
      <c r="T207" s="16"/>
      <c r="U207" s="16"/>
      <c r="V207" s="16"/>
      <c r="W207" s="16"/>
      <c r="X207" s="16"/>
      <c r="Y207" s="16"/>
      <c r="Z207" s="16"/>
      <c r="AA207" s="16"/>
      <c r="AB207" s="16"/>
      <c r="AC207" s="16"/>
    </row>
    <row r="208">
      <c r="A208" s="22" t="str">
        <f t="array" ref="A208">IF(E208="","",IFERROR(INDEX(CONFIGURACION!C:C,MATCH(E208,CONFIGURACION!E:E,0)),""))
</f>
        <v/>
      </c>
      <c r="B208" s="22" t="str">
        <f t="array" ref="B208">IF(E208="","",IFERROR(INDEX(CONFIGURACION!D:D,MATCH(E208,CONFIGURACION!E:E,0)),""))
</f>
        <v/>
      </c>
      <c r="C208" s="31"/>
      <c r="D208" s="9"/>
      <c r="E208" s="6"/>
      <c r="F208" s="24"/>
      <c r="G208" s="9"/>
      <c r="H208" s="32"/>
      <c r="I208" s="33" t="str">
        <f>IFERROR(__xludf.DUMMYFUNCTION("IF(F208="""","""",LET(
  nombre, TRIM(F208),
  primer, REGEXEXTRACT(nombre, ""^\S+""),
  resto, TRIM(REGEXREPLACE(nombre, ""^\S+\s*"", """")),
  iniciales, IF(
    resto="""",
    """",
    TEXTJOIN("""",1,ARRAYFORMULA(LEFT(SPLIT(resto,"" ""),1) &amp; "".""))"&amp;"
  ),
  UPPER(primer) &amp; "" "" &amp; UPPER(iniciales)
))"),"")</f>
        <v/>
      </c>
      <c r="J208" s="33" t="str">
        <f>IFERROR(__xludf.DUMMYFUNCTION("IF(H208="""","""",IFERROR(
IF(REGEXMATCH(E208,""VELOCIDAD""),
   IF(H208&gt;=MAX(INDEX(BAREMOS!F:X,MATCH(1,(BAREMOS!A:A=A208)*(BAREMOS!B:B=B208)*(BAREMOS!C:C=C208)*(BAREMOS!D:D=D208),0),0)),1,
      IF(H208&lt;=MIN(INDEX(BAREMOS!F:X,MATCH(1,(BAREMOS!A:A=A208)*("&amp;"BAREMOS!B:B=B208)*(BAREMOS!C:C=C208)*(BAREMOS!D:D=D208),0),0)),19,
         MATCH(H208,INDEX(BAREMOS!F:X,MATCH(1,(BAREMOS!A:A=A208)*(BAREMOS!B:B=B208)*(BAREMOS!C:C=C208)*(BAREMOS!D:D=D208),0),0),-1)
      )
   ),
   IF(H208&lt;=MIN(INDEX(BAREMOS!F:X,MATCH(1,"&amp;"(BAREMOS!A:A=A208)*(BAREMOS!B:B=B208)*(BAREMOS!C:C=C208)*(BAREMOS!D:D=D208),0),0)),1,
      IF(H208&gt;=MAX(INDEX(BAREMOS!F:X,MATCH(1,(BAREMOS!A:A=A208)*(BAREMOS!B:B=B208)*(BAREMOS!C:C=C208)*(BAREMOS!D:D=D208),0),0)),19,
         MATCH(H208,INDEX(BAREMOS!F:X"&amp;",MATCH(1,(BAREMOS!A:A=A208)*(BAREMOS!B:B=B208)*(BAREMOS!C:C=C208)*(BAREMOS!D:D=D208),0),0),1)
      )
   )
)
,""""))
"),"")</f>
        <v/>
      </c>
      <c r="K208" s="34" t="str">
        <f t="shared" si="1"/>
        <v/>
      </c>
      <c r="L208" s="16"/>
      <c r="M208" s="16"/>
      <c r="N208" s="16"/>
      <c r="O208" s="16"/>
      <c r="P208" s="16"/>
      <c r="Q208" s="16"/>
      <c r="R208" s="16"/>
      <c r="S208" s="16"/>
      <c r="T208" s="16"/>
      <c r="U208" s="16"/>
      <c r="V208" s="16"/>
      <c r="W208" s="16"/>
      <c r="X208" s="16"/>
      <c r="Y208" s="16"/>
      <c r="Z208" s="16"/>
      <c r="AA208" s="16"/>
      <c r="AB208" s="16"/>
      <c r="AC208" s="16"/>
    </row>
    <row r="209">
      <c r="A209" s="22" t="str">
        <f t="array" ref="A209">IF(E209="","",IFERROR(INDEX(CONFIGURACION!C:C,MATCH(E209,CONFIGURACION!E:E,0)),""))
</f>
        <v/>
      </c>
      <c r="B209" s="22" t="str">
        <f t="array" ref="B209">IF(E209="","",IFERROR(INDEX(CONFIGURACION!D:D,MATCH(E209,CONFIGURACION!E:E,0)),""))
</f>
        <v/>
      </c>
      <c r="C209" s="31"/>
      <c r="D209" s="9"/>
      <c r="E209" s="6"/>
      <c r="F209" s="24"/>
      <c r="G209" s="9"/>
      <c r="H209" s="32"/>
      <c r="I209" s="33" t="str">
        <f>IFERROR(__xludf.DUMMYFUNCTION("IF(F209="""","""",LET(
  nombre, TRIM(F209),
  primer, REGEXEXTRACT(nombre, ""^\S+""),
  resto, TRIM(REGEXREPLACE(nombre, ""^\S+\s*"", """")),
  iniciales, IF(
    resto="""",
    """",
    TEXTJOIN("""",1,ARRAYFORMULA(LEFT(SPLIT(resto,"" ""),1) &amp; "".""))"&amp;"
  ),
  UPPER(primer) &amp; "" "" &amp; UPPER(iniciales)
))"),"")</f>
        <v/>
      </c>
      <c r="J209" s="33" t="str">
        <f>IFERROR(__xludf.DUMMYFUNCTION("IF(H209="""","""",IFERROR(
IF(REGEXMATCH(E209,""VELOCIDAD""),
   IF(H209&gt;=MAX(INDEX(BAREMOS!F:X,MATCH(1,(BAREMOS!A:A=A209)*(BAREMOS!B:B=B209)*(BAREMOS!C:C=C209)*(BAREMOS!D:D=D209),0),0)),1,
      IF(H209&lt;=MIN(INDEX(BAREMOS!F:X,MATCH(1,(BAREMOS!A:A=A209)*("&amp;"BAREMOS!B:B=B209)*(BAREMOS!C:C=C209)*(BAREMOS!D:D=D209),0),0)),19,
         MATCH(H209,INDEX(BAREMOS!F:X,MATCH(1,(BAREMOS!A:A=A209)*(BAREMOS!B:B=B209)*(BAREMOS!C:C=C209)*(BAREMOS!D:D=D209),0),0),-1)
      )
   ),
   IF(H209&lt;=MIN(INDEX(BAREMOS!F:X,MATCH(1,"&amp;"(BAREMOS!A:A=A209)*(BAREMOS!B:B=B209)*(BAREMOS!C:C=C209)*(BAREMOS!D:D=D209),0),0)),1,
      IF(H209&gt;=MAX(INDEX(BAREMOS!F:X,MATCH(1,(BAREMOS!A:A=A209)*(BAREMOS!B:B=B209)*(BAREMOS!C:C=C209)*(BAREMOS!D:D=D209),0),0)),19,
         MATCH(H209,INDEX(BAREMOS!F:X"&amp;",MATCH(1,(BAREMOS!A:A=A209)*(BAREMOS!B:B=B209)*(BAREMOS!C:C=C209)*(BAREMOS!D:D=D209),0),0),1)
      )
   )
)
,""""))
"),"")</f>
        <v/>
      </c>
      <c r="K209" s="34" t="str">
        <f t="shared" si="1"/>
        <v/>
      </c>
      <c r="L209" s="16"/>
      <c r="M209" s="16"/>
      <c r="N209" s="16"/>
      <c r="O209" s="16"/>
      <c r="P209" s="16"/>
      <c r="Q209" s="16"/>
      <c r="R209" s="16"/>
      <c r="S209" s="16"/>
      <c r="T209" s="16"/>
      <c r="U209" s="16"/>
      <c r="V209" s="16"/>
      <c r="W209" s="16"/>
      <c r="X209" s="16"/>
      <c r="Y209" s="16"/>
      <c r="Z209" s="16"/>
      <c r="AA209" s="16"/>
      <c r="AB209" s="16"/>
      <c r="AC209" s="16"/>
    </row>
    <row r="210">
      <c r="A210" s="22" t="str">
        <f t="array" ref="A210">IF(E210="","",IFERROR(INDEX(CONFIGURACION!C:C,MATCH(E210,CONFIGURACION!E:E,0)),""))
</f>
        <v/>
      </c>
      <c r="B210" s="22" t="str">
        <f t="array" ref="B210">IF(E210="","",IFERROR(INDEX(CONFIGURACION!D:D,MATCH(E210,CONFIGURACION!E:E,0)),""))
</f>
        <v/>
      </c>
      <c r="C210" s="31"/>
      <c r="D210" s="9"/>
      <c r="E210" s="6"/>
      <c r="F210" s="24"/>
      <c r="G210" s="9"/>
      <c r="H210" s="32"/>
      <c r="I210" s="33" t="str">
        <f>IFERROR(__xludf.DUMMYFUNCTION("IF(F210="""","""",LET(
  nombre, TRIM(F210),
  primer, REGEXEXTRACT(nombre, ""^\S+""),
  resto, TRIM(REGEXREPLACE(nombre, ""^\S+\s*"", """")),
  iniciales, IF(
    resto="""",
    """",
    TEXTJOIN("""",1,ARRAYFORMULA(LEFT(SPLIT(resto,"" ""),1) &amp; "".""))"&amp;"
  ),
  UPPER(primer) &amp; "" "" &amp; UPPER(iniciales)
))"),"")</f>
        <v/>
      </c>
      <c r="J210" s="33" t="str">
        <f>IFERROR(__xludf.DUMMYFUNCTION("IF(H210="""","""",IFERROR(
IF(REGEXMATCH(E210,""VELOCIDAD""),
   IF(H210&gt;=MAX(INDEX(BAREMOS!F:X,MATCH(1,(BAREMOS!A:A=A210)*(BAREMOS!B:B=B210)*(BAREMOS!C:C=C210)*(BAREMOS!D:D=D210),0),0)),1,
      IF(H210&lt;=MIN(INDEX(BAREMOS!F:X,MATCH(1,(BAREMOS!A:A=A210)*("&amp;"BAREMOS!B:B=B210)*(BAREMOS!C:C=C210)*(BAREMOS!D:D=D210),0),0)),19,
         MATCH(H210,INDEX(BAREMOS!F:X,MATCH(1,(BAREMOS!A:A=A210)*(BAREMOS!B:B=B210)*(BAREMOS!C:C=C210)*(BAREMOS!D:D=D210),0),0),-1)
      )
   ),
   IF(H210&lt;=MIN(INDEX(BAREMOS!F:X,MATCH(1,"&amp;"(BAREMOS!A:A=A210)*(BAREMOS!B:B=B210)*(BAREMOS!C:C=C210)*(BAREMOS!D:D=D210),0),0)),1,
      IF(H210&gt;=MAX(INDEX(BAREMOS!F:X,MATCH(1,(BAREMOS!A:A=A210)*(BAREMOS!B:B=B210)*(BAREMOS!C:C=C210)*(BAREMOS!D:D=D210),0),0)),19,
         MATCH(H210,INDEX(BAREMOS!F:X"&amp;",MATCH(1,(BAREMOS!A:A=A210)*(BAREMOS!B:B=B210)*(BAREMOS!C:C=C210)*(BAREMOS!D:D=D210),0),0),1)
      )
   )
)
,""""))
"),"")</f>
        <v/>
      </c>
      <c r="K210" s="34" t="str">
        <f t="shared" si="1"/>
        <v/>
      </c>
      <c r="L210" s="16"/>
      <c r="M210" s="16"/>
      <c r="N210" s="16"/>
      <c r="O210" s="16"/>
      <c r="P210" s="16"/>
      <c r="Q210" s="16"/>
      <c r="R210" s="16"/>
      <c r="S210" s="16"/>
      <c r="T210" s="16"/>
      <c r="U210" s="16"/>
      <c r="V210" s="16"/>
      <c r="W210" s="16"/>
      <c r="X210" s="16"/>
      <c r="Y210" s="16"/>
      <c r="Z210" s="16"/>
      <c r="AA210" s="16"/>
      <c r="AB210" s="16"/>
      <c r="AC210" s="16"/>
    </row>
    <row r="211">
      <c r="A211" s="22" t="str">
        <f t="array" ref="A211">IF(E211="","",IFERROR(INDEX(CONFIGURACION!C:C,MATCH(E211,CONFIGURACION!E:E,0)),""))
</f>
        <v/>
      </c>
      <c r="B211" s="22" t="str">
        <f t="array" ref="B211">IF(E211="","",IFERROR(INDEX(CONFIGURACION!D:D,MATCH(E211,CONFIGURACION!E:E,0)),""))
</f>
        <v/>
      </c>
      <c r="C211" s="31"/>
      <c r="D211" s="9"/>
      <c r="E211" s="6"/>
      <c r="F211" s="24"/>
      <c r="G211" s="9"/>
      <c r="H211" s="32"/>
      <c r="I211" s="33" t="str">
        <f>IFERROR(__xludf.DUMMYFUNCTION("IF(F211="""","""",LET(
  nombre, TRIM(F211),
  primer, REGEXEXTRACT(nombre, ""^\S+""),
  resto, TRIM(REGEXREPLACE(nombre, ""^\S+\s*"", """")),
  iniciales, IF(
    resto="""",
    """",
    TEXTJOIN("""",1,ARRAYFORMULA(LEFT(SPLIT(resto,"" ""),1) &amp; "".""))"&amp;"
  ),
  UPPER(primer) &amp; "" "" &amp; UPPER(iniciales)
))"),"")</f>
        <v/>
      </c>
      <c r="J211" s="33" t="str">
        <f>IFERROR(__xludf.DUMMYFUNCTION("IF(H211="""","""",IFERROR(
IF(REGEXMATCH(E211,""VELOCIDAD""),
   IF(H211&gt;=MAX(INDEX(BAREMOS!F:X,MATCH(1,(BAREMOS!A:A=A211)*(BAREMOS!B:B=B211)*(BAREMOS!C:C=C211)*(BAREMOS!D:D=D211),0),0)),1,
      IF(H211&lt;=MIN(INDEX(BAREMOS!F:X,MATCH(1,(BAREMOS!A:A=A211)*("&amp;"BAREMOS!B:B=B211)*(BAREMOS!C:C=C211)*(BAREMOS!D:D=D211),0),0)),19,
         MATCH(H211,INDEX(BAREMOS!F:X,MATCH(1,(BAREMOS!A:A=A211)*(BAREMOS!B:B=B211)*(BAREMOS!C:C=C211)*(BAREMOS!D:D=D211),0),0),-1)
      )
   ),
   IF(H211&lt;=MIN(INDEX(BAREMOS!F:X,MATCH(1,"&amp;"(BAREMOS!A:A=A211)*(BAREMOS!B:B=B211)*(BAREMOS!C:C=C211)*(BAREMOS!D:D=D211),0),0)),1,
      IF(H211&gt;=MAX(INDEX(BAREMOS!F:X,MATCH(1,(BAREMOS!A:A=A211)*(BAREMOS!B:B=B211)*(BAREMOS!C:C=C211)*(BAREMOS!D:D=D211),0),0)),19,
         MATCH(H211,INDEX(BAREMOS!F:X"&amp;",MATCH(1,(BAREMOS!A:A=A211)*(BAREMOS!B:B=B211)*(BAREMOS!C:C=C211)*(BAREMOS!D:D=D211),0),0),1)
      )
   )
)
,""""))
"),"")</f>
        <v/>
      </c>
      <c r="K211" s="34" t="str">
        <f t="shared" si="1"/>
        <v/>
      </c>
      <c r="L211" s="16"/>
      <c r="M211" s="16"/>
      <c r="N211" s="16"/>
      <c r="O211" s="16"/>
      <c r="P211" s="16"/>
      <c r="Q211" s="16"/>
      <c r="R211" s="16"/>
      <c r="S211" s="16"/>
      <c r="T211" s="16"/>
      <c r="U211" s="16"/>
      <c r="V211" s="16"/>
      <c r="W211" s="16"/>
      <c r="X211" s="16"/>
      <c r="Y211" s="16"/>
      <c r="Z211" s="16"/>
      <c r="AA211" s="16"/>
      <c r="AB211" s="16"/>
      <c r="AC211" s="16"/>
    </row>
    <row r="212">
      <c r="A212" s="22" t="str">
        <f t="array" ref="A212">IF(E212="","",IFERROR(INDEX(CONFIGURACION!C:C,MATCH(E212,CONFIGURACION!E:E,0)),""))
</f>
        <v/>
      </c>
      <c r="B212" s="22" t="str">
        <f t="array" ref="B212">IF(E212="","",IFERROR(INDEX(CONFIGURACION!D:D,MATCH(E212,CONFIGURACION!E:E,0)),""))
</f>
        <v/>
      </c>
      <c r="C212" s="31"/>
      <c r="D212" s="9"/>
      <c r="E212" s="6"/>
      <c r="F212" s="24"/>
      <c r="G212" s="9"/>
      <c r="H212" s="32"/>
      <c r="I212" s="33" t="str">
        <f>IFERROR(__xludf.DUMMYFUNCTION("IF(F212="""","""",LET(
  nombre, TRIM(F212),
  primer, REGEXEXTRACT(nombre, ""^\S+""),
  resto, TRIM(REGEXREPLACE(nombre, ""^\S+\s*"", """")),
  iniciales, IF(
    resto="""",
    """",
    TEXTJOIN("""",1,ARRAYFORMULA(LEFT(SPLIT(resto,"" ""),1) &amp; "".""))"&amp;"
  ),
  UPPER(primer) &amp; "" "" &amp; UPPER(iniciales)
))"),"")</f>
        <v/>
      </c>
      <c r="J212" s="33" t="str">
        <f>IFERROR(__xludf.DUMMYFUNCTION("IF(H212="""","""",IFERROR(
IF(REGEXMATCH(E212,""VELOCIDAD""),
   IF(H212&gt;=MAX(INDEX(BAREMOS!F:X,MATCH(1,(BAREMOS!A:A=A212)*(BAREMOS!B:B=B212)*(BAREMOS!C:C=C212)*(BAREMOS!D:D=D212),0),0)),1,
      IF(H212&lt;=MIN(INDEX(BAREMOS!F:X,MATCH(1,(BAREMOS!A:A=A212)*("&amp;"BAREMOS!B:B=B212)*(BAREMOS!C:C=C212)*(BAREMOS!D:D=D212),0),0)),19,
         MATCH(H212,INDEX(BAREMOS!F:X,MATCH(1,(BAREMOS!A:A=A212)*(BAREMOS!B:B=B212)*(BAREMOS!C:C=C212)*(BAREMOS!D:D=D212),0),0),-1)
      )
   ),
   IF(H212&lt;=MIN(INDEX(BAREMOS!F:X,MATCH(1,"&amp;"(BAREMOS!A:A=A212)*(BAREMOS!B:B=B212)*(BAREMOS!C:C=C212)*(BAREMOS!D:D=D212),0),0)),1,
      IF(H212&gt;=MAX(INDEX(BAREMOS!F:X,MATCH(1,(BAREMOS!A:A=A212)*(BAREMOS!B:B=B212)*(BAREMOS!C:C=C212)*(BAREMOS!D:D=D212),0),0)),19,
         MATCH(H212,INDEX(BAREMOS!F:X"&amp;",MATCH(1,(BAREMOS!A:A=A212)*(BAREMOS!B:B=B212)*(BAREMOS!C:C=C212)*(BAREMOS!D:D=D212),0),0),1)
      )
   )
)
,""""))
"),"")</f>
        <v/>
      </c>
      <c r="K212" s="34" t="str">
        <f t="shared" si="1"/>
        <v/>
      </c>
      <c r="L212" s="16"/>
      <c r="M212" s="16"/>
      <c r="N212" s="16"/>
      <c r="O212" s="16"/>
      <c r="P212" s="16"/>
      <c r="Q212" s="16"/>
      <c r="R212" s="16"/>
      <c r="S212" s="16"/>
      <c r="T212" s="16"/>
      <c r="U212" s="16"/>
      <c r="V212" s="16"/>
      <c r="W212" s="16"/>
      <c r="X212" s="16"/>
      <c r="Y212" s="16"/>
      <c r="Z212" s="16"/>
      <c r="AA212" s="16"/>
      <c r="AB212" s="16"/>
      <c r="AC212" s="16"/>
    </row>
    <row r="213">
      <c r="A213" s="22" t="str">
        <f t="array" ref="A213">IF(E213="","",IFERROR(INDEX(CONFIGURACION!C:C,MATCH(E213,CONFIGURACION!E:E,0)),""))
</f>
        <v/>
      </c>
      <c r="B213" s="22" t="str">
        <f t="array" ref="B213">IF(E213="","",IFERROR(INDEX(CONFIGURACION!D:D,MATCH(E213,CONFIGURACION!E:E,0)),""))
</f>
        <v/>
      </c>
      <c r="C213" s="31"/>
      <c r="D213" s="9"/>
      <c r="E213" s="6"/>
      <c r="F213" s="24"/>
      <c r="G213" s="9"/>
      <c r="H213" s="32"/>
      <c r="I213" s="33" t="str">
        <f>IFERROR(__xludf.DUMMYFUNCTION("IF(F213="""","""",LET(
  nombre, TRIM(F213),
  primer, REGEXEXTRACT(nombre, ""^\S+""),
  resto, TRIM(REGEXREPLACE(nombre, ""^\S+\s*"", """")),
  iniciales, IF(
    resto="""",
    """",
    TEXTJOIN("""",1,ARRAYFORMULA(LEFT(SPLIT(resto,"" ""),1) &amp; "".""))"&amp;"
  ),
  UPPER(primer) &amp; "" "" &amp; UPPER(iniciales)
))"),"")</f>
        <v/>
      </c>
      <c r="J213" s="33" t="str">
        <f>IFERROR(__xludf.DUMMYFUNCTION("IF(H213="""","""",IFERROR(
IF(REGEXMATCH(E213,""VELOCIDAD""),
   IF(H213&gt;=MAX(INDEX(BAREMOS!F:X,MATCH(1,(BAREMOS!A:A=A213)*(BAREMOS!B:B=B213)*(BAREMOS!C:C=C213)*(BAREMOS!D:D=D213),0),0)),1,
      IF(H213&lt;=MIN(INDEX(BAREMOS!F:X,MATCH(1,(BAREMOS!A:A=A213)*("&amp;"BAREMOS!B:B=B213)*(BAREMOS!C:C=C213)*(BAREMOS!D:D=D213),0),0)),19,
         MATCH(H213,INDEX(BAREMOS!F:X,MATCH(1,(BAREMOS!A:A=A213)*(BAREMOS!B:B=B213)*(BAREMOS!C:C=C213)*(BAREMOS!D:D=D213),0),0),-1)
      )
   ),
   IF(H213&lt;=MIN(INDEX(BAREMOS!F:X,MATCH(1,"&amp;"(BAREMOS!A:A=A213)*(BAREMOS!B:B=B213)*(BAREMOS!C:C=C213)*(BAREMOS!D:D=D213),0),0)),1,
      IF(H213&gt;=MAX(INDEX(BAREMOS!F:X,MATCH(1,(BAREMOS!A:A=A213)*(BAREMOS!B:B=B213)*(BAREMOS!C:C=C213)*(BAREMOS!D:D=D213),0),0)),19,
         MATCH(H213,INDEX(BAREMOS!F:X"&amp;",MATCH(1,(BAREMOS!A:A=A213)*(BAREMOS!B:B=B213)*(BAREMOS!C:C=C213)*(BAREMOS!D:D=D213),0),0),1)
      )
   )
)
,""""))
"),"")</f>
        <v/>
      </c>
      <c r="K213" s="34" t="str">
        <f t="shared" si="1"/>
        <v/>
      </c>
      <c r="L213" s="16"/>
      <c r="M213" s="16"/>
      <c r="N213" s="16"/>
      <c r="O213" s="16"/>
      <c r="P213" s="16"/>
      <c r="Q213" s="16"/>
      <c r="R213" s="16"/>
      <c r="S213" s="16"/>
      <c r="T213" s="16"/>
      <c r="U213" s="16"/>
      <c r="V213" s="16"/>
      <c r="W213" s="16"/>
      <c r="X213" s="16"/>
      <c r="Y213" s="16"/>
      <c r="Z213" s="16"/>
      <c r="AA213" s="16"/>
      <c r="AB213" s="16"/>
      <c r="AC213" s="16"/>
    </row>
    <row r="214">
      <c r="A214" s="22" t="str">
        <f t="array" ref="A214">IF(E214="","",IFERROR(INDEX(CONFIGURACION!C:C,MATCH(E214,CONFIGURACION!E:E,0)),""))
</f>
        <v/>
      </c>
      <c r="B214" s="22" t="str">
        <f t="array" ref="B214">IF(E214="","",IFERROR(INDEX(CONFIGURACION!D:D,MATCH(E214,CONFIGURACION!E:E,0)),""))
</f>
        <v/>
      </c>
      <c r="C214" s="31"/>
      <c r="D214" s="9"/>
      <c r="E214" s="6"/>
      <c r="F214" s="24"/>
      <c r="G214" s="9"/>
      <c r="H214" s="32"/>
      <c r="I214" s="33" t="str">
        <f>IFERROR(__xludf.DUMMYFUNCTION("IF(F214="""","""",LET(
  nombre, TRIM(F214),
  primer, REGEXEXTRACT(nombre, ""^\S+""),
  resto, TRIM(REGEXREPLACE(nombre, ""^\S+\s*"", """")),
  iniciales, IF(
    resto="""",
    """",
    TEXTJOIN("""",1,ARRAYFORMULA(LEFT(SPLIT(resto,"" ""),1) &amp; "".""))"&amp;"
  ),
  UPPER(primer) &amp; "" "" &amp; UPPER(iniciales)
))"),"")</f>
        <v/>
      </c>
      <c r="J214" s="33" t="str">
        <f>IFERROR(__xludf.DUMMYFUNCTION("IF(H214="""","""",IFERROR(
IF(REGEXMATCH(E214,""VELOCIDAD""),
   IF(H214&gt;=MAX(INDEX(BAREMOS!F:X,MATCH(1,(BAREMOS!A:A=A214)*(BAREMOS!B:B=B214)*(BAREMOS!C:C=C214)*(BAREMOS!D:D=D214),0),0)),1,
      IF(H214&lt;=MIN(INDEX(BAREMOS!F:X,MATCH(1,(BAREMOS!A:A=A214)*("&amp;"BAREMOS!B:B=B214)*(BAREMOS!C:C=C214)*(BAREMOS!D:D=D214),0),0)),19,
         MATCH(H214,INDEX(BAREMOS!F:X,MATCH(1,(BAREMOS!A:A=A214)*(BAREMOS!B:B=B214)*(BAREMOS!C:C=C214)*(BAREMOS!D:D=D214),0),0),-1)
      )
   ),
   IF(H214&lt;=MIN(INDEX(BAREMOS!F:X,MATCH(1,"&amp;"(BAREMOS!A:A=A214)*(BAREMOS!B:B=B214)*(BAREMOS!C:C=C214)*(BAREMOS!D:D=D214),0),0)),1,
      IF(H214&gt;=MAX(INDEX(BAREMOS!F:X,MATCH(1,(BAREMOS!A:A=A214)*(BAREMOS!B:B=B214)*(BAREMOS!C:C=C214)*(BAREMOS!D:D=D214),0),0)),19,
         MATCH(H214,INDEX(BAREMOS!F:X"&amp;",MATCH(1,(BAREMOS!A:A=A214)*(BAREMOS!B:B=B214)*(BAREMOS!C:C=C214)*(BAREMOS!D:D=D214),0),0),1)
      )
   )
)
,""""))
"),"")</f>
        <v/>
      </c>
      <c r="K214" s="34" t="str">
        <f t="shared" si="1"/>
        <v/>
      </c>
      <c r="L214" s="16"/>
      <c r="M214" s="16"/>
      <c r="N214" s="16"/>
      <c r="O214" s="16"/>
      <c r="P214" s="16"/>
      <c r="Q214" s="16"/>
      <c r="R214" s="16"/>
      <c r="S214" s="16"/>
      <c r="T214" s="16"/>
      <c r="U214" s="16"/>
      <c r="V214" s="16"/>
      <c r="W214" s="16"/>
      <c r="X214" s="16"/>
      <c r="Y214" s="16"/>
      <c r="Z214" s="16"/>
      <c r="AA214" s="16"/>
      <c r="AB214" s="16"/>
      <c r="AC214" s="16"/>
    </row>
    <row r="215">
      <c r="A215" s="22" t="str">
        <f t="array" ref="A215">IF(E215="","",IFERROR(INDEX(CONFIGURACION!C:C,MATCH(E215,CONFIGURACION!E:E,0)),""))
</f>
        <v/>
      </c>
      <c r="B215" s="22" t="str">
        <f t="array" ref="B215">IF(E215="","",IFERROR(INDEX(CONFIGURACION!D:D,MATCH(E215,CONFIGURACION!E:E,0)),""))
</f>
        <v/>
      </c>
      <c r="C215" s="31"/>
      <c r="D215" s="9"/>
      <c r="E215" s="6"/>
      <c r="F215" s="24"/>
      <c r="G215" s="9"/>
      <c r="H215" s="32"/>
      <c r="I215" s="33" t="str">
        <f>IFERROR(__xludf.DUMMYFUNCTION("IF(F215="""","""",LET(
  nombre, TRIM(F215),
  primer, REGEXEXTRACT(nombre, ""^\S+""),
  resto, TRIM(REGEXREPLACE(nombre, ""^\S+\s*"", """")),
  iniciales, IF(
    resto="""",
    """",
    TEXTJOIN("""",1,ARRAYFORMULA(LEFT(SPLIT(resto,"" ""),1) &amp; "".""))"&amp;"
  ),
  UPPER(primer) &amp; "" "" &amp; UPPER(iniciales)
))"),"")</f>
        <v/>
      </c>
      <c r="J215" s="33" t="str">
        <f>IFERROR(__xludf.DUMMYFUNCTION("IF(H215="""","""",IFERROR(
IF(REGEXMATCH(E215,""VELOCIDAD""),
   IF(H215&gt;=MAX(INDEX(BAREMOS!F:X,MATCH(1,(BAREMOS!A:A=A215)*(BAREMOS!B:B=B215)*(BAREMOS!C:C=C215)*(BAREMOS!D:D=D215),0),0)),1,
      IF(H215&lt;=MIN(INDEX(BAREMOS!F:X,MATCH(1,(BAREMOS!A:A=A215)*("&amp;"BAREMOS!B:B=B215)*(BAREMOS!C:C=C215)*(BAREMOS!D:D=D215),0),0)),19,
         MATCH(H215,INDEX(BAREMOS!F:X,MATCH(1,(BAREMOS!A:A=A215)*(BAREMOS!B:B=B215)*(BAREMOS!C:C=C215)*(BAREMOS!D:D=D215),0),0),-1)
      )
   ),
   IF(H215&lt;=MIN(INDEX(BAREMOS!F:X,MATCH(1,"&amp;"(BAREMOS!A:A=A215)*(BAREMOS!B:B=B215)*(BAREMOS!C:C=C215)*(BAREMOS!D:D=D215),0),0)),1,
      IF(H215&gt;=MAX(INDEX(BAREMOS!F:X,MATCH(1,(BAREMOS!A:A=A215)*(BAREMOS!B:B=B215)*(BAREMOS!C:C=C215)*(BAREMOS!D:D=D215),0),0)),19,
         MATCH(H215,INDEX(BAREMOS!F:X"&amp;",MATCH(1,(BAREMOS!A:A=A215)*(BAREMOS!B:B=B215)*(BAREMOS!C:C=C215)*(BAREMOS!D:D=D215),0),0),1)
      )
   )
)
,""""))
"),"")</f>
        <v/>
      </c>
      <c r="K215" s="34" t="str">
        <f t="shared" si="1"/>
        <v/>
      </c>
      <c r="L215" s="16"/>
      <c r="M215" s="16"/>
      <c r="N215" s="16"/>
      <c r="O215" s="16"/>
      <c r="P215" s="16"/>
      <c r="Q215" s="16"/>
      <c r="R215" s="16"/>
      <c r="S215" s="16"/>
      <c r="T215" s="16"/>
      <c r="U215" s="16"/>
      <c r="V215" s="16"/>
      <c r="W215" s="16"/>
      <c r="X215" s="16"/>
      <c r="Y215" s="16"/>
      <c r="Z215" s="16"/>
      <c r="AA215" s="16"/>
      <c r="AB215" s="16"/>
      <c r="AC215" s="16"/>
    </row>
    <row r="216">
      <c r="A216" s="22" t="str">
        <f t="array" ref="A216">IF(E216="","",IFERROR(INDEX(CONFIGURACION!C:C,MATCH(E216,CONFIGURACION!E:E,0)),""))
</f>
        <v/>
      </c>
      <c r="B216" s="22" t="str">
        <f t="array" ref="B216">IF(E216="","",IFERROR(INDEX(CONFIGURACION!D:D,MATCH(E216,CONFIGURACION!E:E,0)),""))
</f>
        <v/>
      </c>
      <c r="C216" s="31"/>
      <c r="D216" s="9"/>
      <c r="E216" s="6"/>
      <c r="F216" s="24"/>
      <c r="G216" s="9"/>
      <c r="H216" s="32"/>
      <c r="I216" s="33" t="str">
        <f>IFERROR(__xludf.DUMMYFUNCTION("IF(F216="""","""",LET(
  nombre, TRIM(F216),
  primer, REGEXEXTRACT(nombre, ""^\S+""),
  resto, TRIM(REGEXREPLACE(nombre, ""^\S+\s*"", """")),
  iniciales, IF(
    resto="""",
    """",
    TEXTJOIN("""",1,ARRAYFORMULA(LEFT(SPLIT(resto,"" ""),1) &amp; "".""))"&amp;"
  ),
  UPPER(primer) &amp; "" "" &amp; UPPER(iniciales)
))"),"")</f>
        <v/>
      </c>
      <c r="J216" s="33" t="str">
        <f>IFERROR(__xludf.DUMMYFUNCTION("IF(H216="""","""",IFERROR(
IF(REGEXMATCH(E216,""VELOCIDAD""),
   IF(H216&gt;=MAX(INDEX(BAREMOS!F:X,MATCH(1,(BAREMOS!A:A=A216)*(BAREMOS!B:B=B216)*(BAREMOS!C:C=C216)*(BAREMOS!D:D=D216),0),0)),1,
      IF(H216&lt;=MIN(INDEX(BAREMOS!F:X,MATCH(1,(BAREMOS!A:A=A216)*("&amp;"BAREMOS!B:B=B216)*(BAREMOS!C:C=C216)*(BAREMOS!D:D=D216),0),0)),19,
         MATCH(H216,INDEX(BAREMOS!F:X,MATCH(1,(BAREMOS!A:A=A216)*(BAREMOS!B:B=B216)*(BAREMOS!C:C=C216)*(BAREMOS!D:D=D216),0),0),-1)
      )
   ),
   IF(H216&lt;=MIN(INDEX(BAREMOS!F:X,MATCH(1,"&amp;"(BAREMOS!A:A=A216)*(BAREMOS!B:B=B216)*(BAREMOS!C:C=C216)*(BAREMOS!D:D=D216),0),0)),1,
      IF(H216&gt;=MAX(INDEX(BAREMOS!F:X,MATCH(1,(BAREMOS!A:A=A216)*(BAREMOS!B:B=B216)*(BAREMOS!C:C=C216)*(BAREMOS!D:D=D216),0),0)),19,
         MATCH(H216,INDEX(BAREMOS!F:X"&amp;",MATCH(1,(BAREMOS!A:A=A216)*(BAREMOS!B:B=B216)*(BAREMOS!C:C=C216)*(BAREMOS!D:D=D216),0),0),1)
      )
   )
)
,""""))
"),"")</f>
        <v/>
      </c>
      <c r="K216" s="34" t="str">
        <f t="shared" si="1"/>
        <v/>
      </c>
      <c r="L216" s="16"/>
      <c r="M216" s="16"/>
      <c r="N216" s="16"/>
      <c r="O216" s="16"/>
      <c r="P216" s="16"/>
      <c r="Q216" s="16"/>
      <c r="R216" s="16"/>
      <c r="S216" s="16"/>
      <c r="T216" s="16"/>
      <c r="U216" s="16"/>
      <c r="V216" s="16"/>
      <c r="W216" s="16"/>
      <c r="X216" s="16"/>
      <c r="Y216" s="16"/>
      <c r="Z216" s="16"/>
      <c r="AA216" s="16"/>
      <c r="AB216" s="16"/>
      <c r="AC216" s="16"/>
    </row>
    <row r="217">
      <c r="A217" s="22" t="str">
        <f t="array" ref="A217">IF(E217="","",IFERROR(INDEX(CONFIGURACION!C:C,MATCH(E217,CONFIGURACION!E:E,0)),""))
</f>
        <v/>
      </c>
      <c r="B217" s="22" t="str">
        <f t="array" ref="B217">IF(E217="","",IFERROR(INDEX(CONFIGURACION!D:D,MATCH(E217,CONFIGURACION!E:E,0)),""))
</f>
        <v/>
      </c>
      <c r="C217" s="31"/>
      <c r="D217" s="9"/>
      <c r="E217" s="6"/>
      <c r="F217" s="24"/>
      <c r="G217" s="9"/>
      <c r="H217" s="32"/>
      <c r="I217" s="33" t="str">
        <f>IFERROR(__xludf.DUMMYFUNCTION("IF(F217="""","""",LET(
  nombre, TRIM(F217),
  primer, REGEXEXTRACT(nombre, ""^\S+""),
  resto, TRIM(REGEXREPLACE(nombre, ""^\S+\s*"", """")),
  iniciales, IF(
    resto="""",
    """",
    TEXTJOIN("""",1,ARRAYFORMULA(LEFT(SPLIT(resto,"" ""),1) &amp; "".""))"&amp;"
  ),
  UPPER(primer) &amp; "" "" &amp; UPPER(iniciales)
))"),"")</f>
        <v/>
      </c>
      <c r="J217" s="33" t="str">
        <f>IFERROR(__xludf.DUMMYFUNCTION("IF(H217="""","""",IFERROR(
IF(REGEXMATCH(E217,""VELOCIDAD""),
   IF(H217&gt;=MAX(INDEX(BAREMOS!F:X,MATCH(1,(BAREMOS!A:A=A217)*(BAREMOS!B:B=B217)*(BAREMOS!C:C=C217)*(BAREMOS!D:D=D217),0),0)),1,
      IF(H217&lt;=MIN(INDEX(BAREMOS!F:X,MATCH(1,(BAREMOS!A:A=A217)*("&amp;"BAREMOS!B:B=B217)*(BAREMOS!C:C=C217)*(BAREMOS!D:D=D217),0),0)),19,
         MATCH(H217,INDEX(BAREMOS!F:X,MATCH(1,(BAREMOS!A:A=A217)*(BAREMOS!B:B=B217)*(BAREMOS!C:C=C217)*(BAREMOS!D:D=D217),0),0),-1)
      )
   ),
   IF(H217&lt;=MIN(INDEX(BAREMOS!F:X,MATCH(1,"&amp;"(BAREMOS!A:A=A217)*(BAREMOS!B:B=B217)*(BAREMOS!C:C=C217)*(BAREMOS!D:D=D217),0),0)),1,
      IF(H217&gt;=MAX(INDEX(BAREMOS!F:X,MATCH(1,(BAREMOS!A:A=A217)*(BAREMOS!B:B=B217)*(BAREMOS!C:C=C217)*(BAREMOS!D:D=D217),0),0)),19,
         MATCH(H217,INDEX(BAREMOS!F:X"&amp;",MATCH(1,(BAREMOS!A:A=A217)*(BAREMOS!B:B=B217)*(BAREMOS!C:C=C217)*(BAREMOS!D:D=D217),0),0),1)
      )
   )
)
,""""))
"),"")</f>
        <v/>
      </c>
      <c r="K217" s="34" t="str">
        <f t="shared" si="1"/>
        <v/>
      </c>
      <c r="L217" s="16"/>
      <c r="M217" s="16"/>
      <c r="N217" s="16"/>
      <c r="O217" s="16"/>
      <c r="P217" s="16"/>
      <c r="Q217" s="16"/>
      <c r="R217" s="16"/>
      <c r="S217" s="16"/>
      <c r="T217" s="16"/>
      <c r="U217" s="16"/>
      <c r="V217" s="16"/>
      <c r="W217" s="16"/>
      <c r="X217" s="16"/>
      <c r="Y217" s="16"/>
      <c r="Z217" s="16"/>
      <c r="AA217" s="16"/>
      <c r="AB217" s="16"/>
      <c r="AC217" s="16"/>
    </row>
    <row r="218">
      <c r="A218" s="22" t="str">
        <f t="array" ref="A218">IF(E218="","",IFERROR(INDEX(CONFIGURACION!C:C,MATCH(E218,CONFIGURACION!E:E,0)),""))
</f>
        <v/>
      </c>
      <c r="B218" s="22" t="str">
        <f t="array" ref="B218">IF(E218="","",IFERROR(INDEX(CONFIGURACION!D:D,MATCH(E218,CONFIGURACION!E:E,0)),""))
</f>
        <v/>
      </c>
      <c r="C218" s="31"/>
      <c r="D218" s="9"/>
      <c r="E218" s="6"/>
      <c r="F218" s="24"/>
      <c r="G218" s="9"/>
      <c r="H218" s="32"/>
      <c r="I218" s="33" t="str">
        <f>IFERROR(__xludf.DUMMYFUNCTION("IF(F218="""","""",LET(
  nombre, TRIM(F218),
  primer, REGEXEXTRACT(nombre, ""^\S+""),
  resto, TRIM(REGEXREPLACE(nombre, ""^\S+\s*"", """")),
  iniciales, IF(
    resto="""",
    """",
    TEXTJOIN("""",1,ARRAYFORMULA(LEFT(SPLIT(resto,"" ""),1) &amp; "".""))"&amp;"
  ),
  UPPER(primer) &amp; "" "" &amp; UPPER(iniciales)
))"),"")</f>
        <v/>
      </c>
      <c r="J218" s="33" t="str">
        <f>IFERROR(__xludf.DUMMYFUNCTION("IF(H218="""","""",IFERROR(
IF(REGEXMATCH(E218,""VELOCIDAD""),
   IF(H218&gt;=MAX(INDEX(BAREMOS!F:X,MATCH(1,(BAREMOS!A:A=A218)*(BAREMOS!B:B=B218)*(BAREMOS!C:C=C218)*(BAREMOS!D:D=D218),0),0)),1,
      IF(H218&lt;=MIN(INDEX(BAREMOS!F:X,MATCH(1,(BAREMOS!A:A=A218)*("&amp;"BAREMOS!B:B=B218)*(BAREMOS!C:C=C218)*(BAREMOS!D:D=D218),0),0)),19,
         MATCH(H218,INDEX(BAREMOS!F:X,MATCH(1,(BAREMOS!A:A=A218)*(BAREMOS!B:B=B218)*(BAREMOS!C:C=C218)*(BAREMOS!D:D=D218),0),0),-1)
      )
   ),
   IF(H218&lt;=MIN(INDEX(BAREMOS!F:X,MATCH(1,"&amp;"(BAREMOS!A:A=A218)*(BAREMOS!B:B=B218)*(BAREMOS!C:C=C218)*(BAREMOS!D:D=D218),0),0)),1,
      IF(H218&gt;=MAX(INDEX(BAREMOS!F:X,MATCH(1,(BAREMOS!A:A=A218)*(BAREMOS!B:B=B218)*(BAREMOS!C:C=C218)*(BAREMOS!D:D=D218),0),0)),19,
         MATCH(H218,INDEX(BAREMOS!F:X"&amp;",MATCH(1,(BAREMOS!A:A=A218)*(BAREMOS!B:B=B218)*(BAREMOS!C:C=C218)*(BAREMOS!D:D=D218),0),0),1)
      )
   )
)
,""""))
"),"")</f>
        <v/>
      </c>
      <c r="K218" s="34" t="str">
        <f t="shared" si="1"/>
        <v/>
      </c>
      <c r="L218" s="16"/>
      <c r="M218" s="16"/>
      <c r="N218" s="16"/>
      <c r="O218" s="16"/>
      <c r="P218" s="16"/>
      <c r="Q218" s="16"/>
      <c r="R218" s="16"/>
      <c r="S218" s="16"/>
      <c r="T218" s="16"/>
      <c r="U218" s="16"/>
      <c r="V218" s="16"/>
      <c r="W218" s="16"/>
      <c r="X218" s="16"/>
      <c r="Y218" s="16"/>
      <c r="Z218" s="16"/>
      <c r="AA218" s="16"/>
      <c r="AB218" s="16"/>
      <c r="AC218" s="16"/>
    </row>
    <row r="219">
      <c r="A219" s="22" t="str">
        <f t="array" ref="A219">IF(E219="","",IFERROR(INDEX(CONFIGURACION!C:C,MATCH(E219,CONFIGURACION!E:E,0)),""))
</f>
        <v/>
      </c>
      <c r="B219" s="22" t="str">
        <f t="array" ref="B219">IF(E219="","",IFERROR(INDEX(CONFIGURACION!D:D,MATCH(E219,CONFIGURACION!E:E,0)),""))
</f>
        <v/>
      </c>
      <c r="C219" s="31"/>
      <c r="D219" s="9"/>
      <c r="E219" s="6"/>
      <c r="F219" s="24"/>
      <c r="G219" s="9"/>
      <c r="H219" s="32"/>
      <c r="I219" s="33" t="str">
        <f>IFERROR(__xludf.DUMMYFUNCTION("IF(F219="""","""",LET(
  nombre, TRIM(F219),
  primer, REGEXEXTRACT(nombre, ""^\S+""),
  resto, TRIM(REGEXREPLACE(nombre, ""^\S+\s*"", """")),
  iniciales, IF(
    resto="""",
    """",
    TEXTJOIN("""",1,ARRAYFORMULA(LEFT(SPLIT(resto,"" ""),1) &amp; "".""))"&amp;"
  ),
  UPPER(primer) &amp; "" "" &amp; UPPER(iniciales)
))"),"")</f>
        <v/>
      </c>
      <c r="J219" s="33" t="str">
        <f>IFERROR(__xludf.DUMMYFUNCTION("IF(H219="""","""",IFERROR(
IF(REGEXMATCH(E219,""VELOCIDAD""),
   IF(H219&gt;=MAX(INDEX(BAREMOS!F:X,MATCH(1,(BAREMOS!A:A=A219)*(BAREMOS!B:B=B219)*(BAREMOS!C:C=C219)*(BAREMOS!D:D=D219),0),0)),1,
      IF(H219&lt;=MIN(INDEX(BAREMOS!F:X,MATCH(1,(BAREMOS!A:A=A219)*("&amp;"BAREMOS!B:B=B219)*(BAREMOS!C:C=C219)*(BAREMOS!D:D=D219),0),0)),19,
         MATCH(H219,INDEX(BAREMOS!F:X,MATCH(1,(BAREMOS!A:A=A219)*(BAREMOS!B:B=B219)*(BAREMOS!C:C=C219)*(BAREMOS!D:D=D219),0),0),-1)
      )
   ),
   IF(H219&lt;=MIN(INDEX(BAREMOS!F:X,MATCH(1,"&amp;"(BAREMOS!A:A=A219)*(BAREMOS!B:B=B219)*(BAREMOS!C:C=C219)*(BAREMOS!D:D=D219),0),0)),1,
      IF(H219&gt;=MAX(INDEX(BAREMOS!F:X,MATCH(1,(BAREMOS!A:A=A219)*(BAREMOS!B:B=B219)*(BAREMOS!C:C=C219)*(BAREMOS!D:D=D219),0),0)),19,
         MATCH(H219,INDEX(BAREMOS!F:X"&amp;",MATCH(1,(BAREMOS!A:A=A219)*(BAREMOS!B:B=B219)*(BAREMOS!C:C=C219)*(BAREMOS!D:D=D219),0),0),1)
      )
   )
)
,""""))
"),"")</f>
        <v/>
      </c>
      <c r="K219" s="34" t="str">
        <f t="shared" si="1"/>
        <v/>
      </c>
      <c r="L219" s="16"/>
      <c r="M219" s="16"/>
      <c r="N219" s="16"/>
      <c r="O219" s="16"/>
      <c r="P219" s="16"/>
      <c r="Q219" s="16"/>
      <c r="R219" s="16"/>
      <c r="S219" s="16"/>
      <c r="T219" s="16"/>
      <c r="U219" s="16"/>
      <c r="V219" s="16"/>
      <c r="W219" s="16"/>
      <c r="X219" s="16"/>
      <c r="Y219" s="16"/>
      <c r="Z219" s="16"/>
      <c r="AA219" s="16"/>
      <c r="AB219" s="16"/>
      <c r="AC219" s="16"/>
    </row>
    <row r="220">
      <c r="A220" s="22" t="str">
        <f t="array" ref="A220">IF(E220="","",IFERROR(INDEX(CONFIGURACION!C:C,MATCH(E220,CONFIGURACION!E:E,0)),""))
</f>
        <v/>
      </c>
      <c r="B220" s="22" t="str">
        <f t="array" ref="B220">IF(E220="","",IFERROR(INDEX(CONFIGURACION!D:D,MATCH(E220,CONFIGURACION!E:E,0)),""))
</f>
        <v/>
      </c>
      <c r="C220" s="31"/>
      <c r="D220" s="9"/>
      <c r="E220" s="6"/>
      <c r="F220" s="24"/>
      <c r="G220" s="9"/>
      <c r="H220" s="32"/>
      <c r="I220" s="33" t="str">
        <f>IFERROR(__xludf.DUMMYFUNCTION("IF(F220="""","""",LET(
  nombre, TRIM(F220),
  primer, REGEXEXTRACT(nombre, ""^\S+""),
  resto, TRIM(REGEXREPLACE(nombre, ""^\S+\s*"", """")),
  iniciales, IF(
    resto="""",
    """",
    TEXTJOIN("""",1,ARRAYFORMULA(LEFT(SPLIT(resto,"" ""),1) &amp; "".""))"&amp;"
  ),
  UPPER(primer) &amp; "" "" &amp; UPPER(iniciales)
))"),"")</f>
        <v/>
      </c>
      <c r="J220" s="33" t="str">
        <f>IFERROR(__xludf.DUMMYFUNCTION("IF(H220="""","""",IFERROR(
IF(REGEXMATCH(E220,""VELOCIDAD""),
   IF(H220&gt;=MAX(INDEX(BAREMOS!F:X,MATCH(1,(BAREMOS!A:A=A220)*(BAREMOS!B:B=B220)*(BAREMOS!C:C=C220)*(BAREMOS!D:D=D220),0),0)),1,
      IF(H220&lt;=MIN(INDEX(BAREMOS!F:X,MATCH(1,(BAREMOS!A:A=A220)*("&amp;"BAREMOS!B:B=B220)*(BAREMOS!C:C=C220)*(BAREMOS!D:D=D220),0),0)),19,
         MATCH(H220,INDEX(BAREMOS!F:X,MATCH(1,(BAREMOS!A:A=A220)*(BAREMOS!B:B=B220)*(BAREMOS!C:C=C220)*(BAREMOS!D:D=D220),0),0),-1)
      )
   ),
   IF(H220&lt;=MIN(INDEX(BAREMOS!F:X,MATCH(1,"&amp;"(BAREMOS!A:A=A220)*(BAREMOS!B:B=B220)*(BAREMOS!C:C=C220)*(BAREMOS!D:D=D220),0),0)),1,
      IF(H220&gt;=MAX(INDEX(BAREMOS!F:X,MATCH(1,(BAREMOS!A:A=A220)*(BAREMOS!B:B=B220)*(BAREMOS!C:C=C220)*(BAREMOS!D:D=D220),0),0)),19,
         MATCH(H220,INDEX(BAREMOS!F:X"&amp;",MATCH(1,(BAREMOS!A:A=A220)*(BAREMOS!B:B=B220)*(BAREMOS!C:C=C220)*(BAREMOS!D:D=D220),0),0),1)
      )
   )
)
,""""))
"),"")</f>
        <v/>
      </c>
      <c r="K220" s="34" t="str">
        <f t="shared" si="1"/>
        <v/>
      </c>
      <c r="L220" s="16"/>
      <c r="M220" s="16"/>
      <c r="N220" s="16"/>
      <c r="O220" s="16"/>
      <c r="P220" s="16"/>
      <c r="Q220" s="16"/>
      <c r="R220" s="16"/>
      <c r="S220" s="16"/>
      <c r="T220" s="16"/>
      <c r="U220" s="16"/>
      <c r="V220" s="16"/>
      <c r="W220" s="16"/>
      <c r="X220" s="16"/>
      <c r="Y220" s="16"/>
      <c r="Z220" s="16"/>
      <c r="AA220" s="16"/>
      <c r="AB220" s="16"/>
      <c r="AC220" s="16"/>
    </row>
    <row r="221">
      <c r="A221" s="22" t="str">
        <f t="array" ref="A221">IF(E221="","",IFERROR(INDEX(CONFIGURACION!C:C,MATCH(E221,CONFIGURACION!E:E,0)),""))
</f>
        <v/>
      </c>
      <c r="B221" s="22" t="str">
        <f t="array" ref="B221">IF(E221="","",IFERROR(INDEX(CONFIGURACION!D:D,MATCH(E221,CONFIGURACION!E:E,0)),""))
</f>
        <v/>
      </c>
      <c r="C221" s="31"/>
      <c r="D221" s="9"/>
      <c r="E221" s="6"/>
      <c r="F221" s="24"/>
      <c r="G221" s="9"/>
      <c r="H221" s="32"/>
      <c r="I221" s="33" t="str">
        <f>IFERROR(__xludf.DUMMYFUNCTION("IF(F221="""","""",LET(
  nombre, TRIM(F221),
  primer, REGEXEXTRACT(nombre, ""^\S+""),
  resto, TRIM(REGEXREPLACE(nombre, ""^\S+\s*"", """")),
  iniciales, IF(
    resto="""",
    """",
    TEXTJOIN("""",1,ARRAYFORMULA(LEFT(SPLIT(resto,"" ""),1) &amp; "".""))"&amp;"
  ),
  UPPER(primer) &amp; "" "" &amp; UPPER(iniciales)
))"),"")</f>
        <v/>
      </c>
      <c r="J221" s="33" t="str">
        <f>IFERROR(__xludf.DUMMYFUNCTION("IF(H221="""","""",IFERROR(
IF(REGEXMATCH(E221,""VELOCIDAD""),
   IF(H221&gt;=MAX(INDEX(BAREMOS!F:X,MATCH(1,(BAREMOS!A:A=A221)*(BAREMOS!B:B=B221)*(BAREMOS!C:C=C221)*(BAREMOS!D:D=D221),0),0)),1,
      IF(H221&lt;=MIN(INDEX(BAREMOS!F:X,MATCH(1,(BAREMOS!A:A=A221)*("&amp;"BAREMOS!B:B=B221)*(BAREMOS!C:C=C221)*(BAREMOS!D:D=D221),0),0)),19,
         MATCH(H221,INDEX(BAREMOS!F:X,MATCH(1,(BAREMOS!A:A=A221)*(BAREMOS!B:B=B221)*(BAREMOS!C:C=C221)*(BAREMOS!D:D=D221),0),0),-1)
      )
   ),
   IF(H221&lt;=MIN(INDEX(BAREMOS!F:X,MATCH(1,"&amp;"(BAREMOS!A:A=A221)*(BAREMOS!B:B=B221)*(BAREMOS!C:C=C221)*(BAREMOS!D:D=D221),0),0)),1,
      IF(H221&gt;=MAX(INDEX(BAREMOS!F:X,MATCH(1,(BAREMOS!A:A=A221)*(BAREMOS!B:B=B221)*(BAREMOS!C:C=C221)*(BAREMOS!D:D=D221),0),0)),19,
         MATCH(H221,INDEX(BAREMOS!F:X"&amp;",MATCH(1,(BAREMOS!A:A=A221)*(BAREMOS!B:B=B221)*(BAREMOS!C:C=C221)*(BAREMOS!D:D=D221),0),0),1)
      )
   )
)
,""""))
"),"")</f>
        <v/>
      </c>
      <c r="K221" s="34" t="str">
        <f t="shared" si="1"/>
        <v/>
      </c>
      <c r="L221" s="16"/>
      <c r="M221" s="16"/>
      <c r="N221" s="16"/>
      <c r="O221" s="16"/>
      <c r="P221" s="16"/>
      <c r="Q221" s="16"/>
      <c r="R221" s="16"/>
      <c r="S221" s="16"/>
      <c r="T221" s="16"/>
      <c r="U221" s="16"/>
      <c r="V221" s="16"/>
      <c r="W221" s="16"/>
      <c r="X221" s="16"/>
      <c r="Y221" s="16"/>
      <c r="Z221" s="16"/>
      <c r="AA221" s="16"/>
      <c r="AB221" s="16"/>
      <c r="AC221" s="16"/>
    </row>
    <row r="222">
      <c r="A222" s="22" t="str">
        <f t="array" ref="A222">IF(E222="","",IFERROR(INDEX(CONFIGURACION!C:C,MATCH(E222,CONFIGURACION!E:E,0)),""))
</f>
        <v/>
      </c>
      <c r="B222" s="22" t="str">
        <f t="array" ref="B222">IF(E222="","",IFERROR(INDEX(CONFIGURACION!D:D,MATCH(E222,CONFIGURACION!E:E,0)),""))
</f>
        <v/>
      </c>
      <c r="C222" s="31"/>
      <c r="D222" s="9"/>
      <c r="E222" s="6"/>
      <c r="F222" s="24"/>
      <c r="G222" s="9"/>
      <c r="H222" s="32"/>
      <c r="I222" s="33" t="str">
        <f>IFERROR(__xludf.DUMMYFUNCTION("IF(F222="""","""",LET(
  nombre, TRIM(F222),
  primer, REGEXEXTRACT(nombre, ""^\S+""),
  resto, TRIM(REGEXREPLACE(nombre, ""^\S+\s*"", """")),
  iniciales, IF(
    resto="""",
    """",
    TEXTJOIN("""",1,ARRAYFORMULA(LEFT(SPLIT(resto,"" ""),1) &amp; "".""))"&amp;"
  ),
  UPPER(primer) &amp; "" "" &amp; UPPER(iniciales)
))"),"")</f>
        <v/>
      </c>
      <c r="J222" s="33" t="str">
        <f>IFERROR(__xludf.DUMMYFUNCTION("IF(H222="""","""",IFERROR(
IF(REGEXMATCH(E222,""VELOCIDAD""),
   IF(H222&gt;=MAX(INDEX(BAREMOS!F:X,MATCH(1,(BAREMOS!A:A=A222)*(BAREMOS!B:B=B222)*(BAREMOS!C:C=C222)*(BAREMOS!D:D=D222),0),0)),1,
      IF(H222&lt;=MIN(INDEX(BAREMOS!F:X,MATCH(1,(BAREMOS!A:A=A222)*("&amp;"BAREMOS!B:B=B222)*(BAREMOS!C:C=C222)*(BAREMOS!D:D=D222),0),0)),19,
         MATCH(H222,INDEX(BAREMOS!F:X,MATCH(1,(BAREMOS!A:A=A222)*(BAREMOS!B:B=B222)*(BAREMOS!C:C=C222)*(BAREMOS!D:D=D222),0),0),-1)
      )
   ),
   IF(H222&lt;=MIN(INDEX(BAREMOS!F:X,MATCH(1,"&amp;"(BAREMOS!A:A=A222)*(BAREMOS!B:B=B222)*(BAREMOS!C:C=C222)*(BAREMOS!D:D=D222),0),0)),1,
      IF(H222&gt;=MAX(INDEX(BAREMOS!F:X,MATCH(1,(BAREMOS!A:A=A222)*(BAREMOS!B:B=B222)*(BAREMOS!C:C=C222)*(BAREMOS!D:D=D222),0),0)),19,
         MATCH(H222,INDEX(BAREMOS!F:X"&amp;",MATCH(1,(BAREMOS!A:A=A222)*(BAREMOS!B:B=B222)*(BAREMOS!C:C=C222)*(BAREMOS!D:D=D222),0),0),1)
      )
   )
)
,""""))
"),"")</f>
        <v/>
      </c>
      <c r="K222" s="34" t="str">
        <f t="shared" si="1"/>
        <v/>
      </c>
      <c r="L222" s="16"/>
      <c r="M222" s="16"/>
      <c r="N222" s="16"/>
      <c r="O222" s="16"/>
      <c r="P222" s="16"/>
      <c r="Q222" s="16"/>
      <c r="R222" s="16"/>
      <c r="S222" s="16"/>
      <c r="T222" s="16"/>
      <c r="U222" s="16"/>
      <c r="V222" s="16"/>
      <c r="W222" s="16"/>
      <c r="X222" s="16"/>
      <c r="Y222" s="16"/>
      <c r="Z222" s="16"/>
      <c r="AA222" s="16"/>
      <c r="AB222" s="16"/>
      <c r="AC222" s="16"/>
    </row>
    <row r="223">
      <c r="A223" s="22" t="str">
        <f t="array" ref="A223">IF(E223="","",IFERROR(INDEX(CONFIGURACION!C:C,MATCH(E223,CONFIGURACION!E:E,0)),""))
</f>
        <v/>
      </c>
      <c r="B223" s="22" t="str">
        <f t="array" ref="B223">IF(E223="","",IFERROR(INDEX(CONFIGURACION!D:D,MATCH(E223,CONFIGURACION!E:E,0)),""))
</f>
        <v/>
      </c>
      <c r="C223" s="31"/>
      <c r="D223" s="9"/>
      <c r="E223" s="6"/>
      <c r="F223" s="24"/>
      <c r="G223" s="9"/>
      <c r="H223" s="32"/>
      <c r="I223" s="33" t="str">
        <f>IFERROR(__xludf.DUMMYFUNCTION("IF(F223="""","""",LET(
  nombre, TRIM(F223),
  primer, REGEXEXTRACT(nombre, ""^\S+""),
  resto, TRIM(REGEXREPLACE(nombre, ""^\S+\s*"", """")),
  iniciales, IF(
    resto="""",
    """",
    TEXTJOIN("""",1,ARRAYFORMULA(LEFT(SPLIT(resto,"" ""),1) &amp; "".""))"&amp;"
  ),
  UPPER(primer) &amp; "" "" &amp; UPPER(iniciales)
))"),"")</f>
        <v/>
      </c>
      <c r="J223" s="33" t="str">
        <f>IFERROR(__xludf.DUMMYFUNCTION("IF(H223="""","""",IFERROR(
IF(REGEXMATCH(E223,""VELOCIDAD""),
   IF(H223&gt;=MAX(INDEX(BAREMOS!F:X,MATCH(1,(BAREMOS!A:A=A223)*(BAREMOS!B:B=B223)*(BAREMOS!C:C=C223)*(BAREMOS!D:D=D223),0),0)),1,
      IF(H223&lt;=MIN(INDEX(BAREMOS!F:X,MATCH(1,(BAREMOS!A:A=A223)*("&amp;"BAREMOS!B:B=B223)*(BAREMOS!C:C=C223)*(BAREMOS!D:D=D223),0),0)),19,
         MATCH(H223,INDEX(BAREMOS!F:X,MATCH(1,(BAREMOS!A:A=A223)*(BAREMOS!B:B=B223)*(BAREMOS!C:C=C223)*(BAREMOS!D:D=D223),0),0),-1)
      )
   ),
   IF(H223&lt;=MIN(INDEX(BAREMOS!F:X,MATCH(1,"&amp;"(BAREMOS!A:A=A223)*(BAREMOS!B:B=B223)*(BAREMOS!C:C=C223)*(BAREMOS!D:D=D223),0),0)),1,
      IF(H223&gt;=MAX(INDEX(BAREMOS!F:X,MATCH(1,(BAREMOS!A:A=A223)*(BAREMOS!B:B=B223)*(BAREMOS!C:C=C223)*(BAREMOS!D:D=D223),0),0)),19,
         MATCH(H223,INDEX(BAREMOS!F:X"&amp;",MATCH(1,(BAREMOS!A:A=A223)*(BAREMOS!B:B=B223)*(BAREMOS!C:C=C223)*(BAREMOS!D:D=D223),0),0),1)
      )
   )
)
,""""))
"),"")</f>
        <v/>
      </c>
      <c r="K223" s="34" t="str">
        <f t="shared" si="1"/>
        <v/>
      </c>
      <c r="L223" s="16"/>
      <c r="M223" s="16"/>
      <c r="N223" s="16"/>
      <c r="O223" s="16"/>
      <c r="P223" s="16"/>
      <c r="Q223" s="16"/>
      <c r="R223" s="16"/>
      <c r="S223" s="16"/>
      <c r="T223" s="16"/>
      <c r="U223" s="16"/>
      <c r="V223" s="16"/>
      <c r="W223" s="16"/>
      <c r="X223" s="16"/>
      <c r="Y223" s="16"/>
      <c r="Z223" s="16"/>
      <c r="AA223" s="16"/>
      <c r="AB223" s="16"/>
      <c r="AC223" s="16"/>
    </row>
    <row r="224">
      <c r="A224" s="22" t="str">
        <f t="array" ref="A224">IF(E224="","",IFERROR(INDEX(CONFIGURACION!C:C,MATCH(E224,CONFIGURACION!E:E,0)),""))
</f>
        <v/>
      </c>
      <c r="B224" s="22" t="str">
        <f t="array" ref="B224">IF(E224="","",IFERROR(INDEX(CONFIGURACION!D:D,MATCH(E224,CONFIGURACION!E:E,0)),""))
</f>
        <v/>
      </c>
      <c r="C224" s="31"/>
      <c r="D224" s="9"/>
      <c r="E224" s="6"/>
      <c r="F224" s="24"/>
      <c r="G224" s="9"/>
      <c r="H224" s="32"/>
      <c r="I224" s="33" t="str">
        <f>IFERROR(__xludf.DUMMYFUNCTION("IF(F224="""","""",LET(
  nombre, TRIM(F224),
  primer, REGEXEXTRACT(nombre, ""^\S+""),
  resto, TRIM(REGEXREPLACE(nombre, ""^\S+\s*"", """")),
  iniciales, IF(
    resto="""",
    """",
    TEXTJOIN("""",1,ARRAYFORMULA(LEFT(SPLIT(resto,"" ""),1) &amp; "".""))"&amp;"
  ),
  UPPER(primer) &amp; "" "" &amp; UPPER(iniciales)
))"),"")</f>
        <v/>
      </c>
      <c r="J224" s="33" t="str">
        <f>IFERROR(__xludf.DUMMYFUNCTION("IF(H224="""","""",IFERROR(
IF(REGEXMATCH(E224,""VELOCIDAD""),
   IF(H224&gt;=MAX(INDEX(BAREMOS!F:X,MATCH(1,(BAREMOS!A:A=A224)*(BAREMOS!B:B=B224)*(BAREMOS!C:C=C224)*(BAREMOS!D:D=D224),0),0)),1,
      IF(H224&lt;=MIN(INDEX(BAREMOS!F:X,MATCH(1,(BAREMOS!A:A=A224)*("&amp;"BAREMOS!B:B=B224)*(BAREMOS!C:C=C224)*(BAREMOS!D:D=D224),0),0)),19,
         MATCH(H224,INDEX(BAREMOS!F:X,MATCH(1,(BAREMOS!A:A=A224)*(BAREMOS!B:B=B224)*(BAREMOS!C:C=C224)*(BAREMOS!D:D=D224),0),0),-1)
      )
   ),
   IF(H224&lt;=MIN(INDEX(BAREMOS!F:X,MATCH(1,"&amp;"(BAREMOS!A:A=A224)*(BAREMOS!B:B=B224)*(BAREMOS!C:C=C224)*(BAREMOS!D:D=D224),0),0)),1,
      IF(H224&gt;=MAX(INDEX(BAREMOS!F:X,MATCH(1,(BAREMOS!A:A=A224)*(BAREMOS!B:B=B224)*(BAREMOS!C:C=C224)*(BAREMOS!D:D=D224),0),0)),19,
         MATCH(H224,INDEX(BAREMOS!F:X"&amp;",MATCH(1,(BAREMOS!A:A=A224)*(BAREMOS!B:B=B224)*(BAREMOS!C:C=C224)*(BAREMOS!D:D=D224),0),0),1)
      )
   )
)
,""""))
"),"")</f>
        <v/>
      </c>
      <c r="K224" s="34" t="str">
        <f t="shared" si="1"/>
        <v/>
      </c>
      <c r="L224" s="16"/>
      <c r="M224" s="16"/>
      <c r="N224" s="16"/>
      <c r="O224" s="16"/>
      <c r="P224" s="16"/>
      <c r="Q224" s="16"/>
      <c r="R224" s="16"/>
      <c r="S224" s="16"/>
      <c r="T224" s="16"/>
      <c r="U224" s="16"/>
      <c r="V224" s="16"/>
      <c r="W224" s="16"/>
      <c r="X224" s="16"/>
      <c r="Y224" s="16"/>
      <c r="Z224" s="16"/>
      <c r="AA224" s="16"/>
      <c r="AB224" s="16"/>
      <c r="AC224" s="16"/>
    </row>
    <row r="225">
      <c r="A225" s="22" t="str">
        <f t="array" ref="A225">IF(E225="","",IFERROR(INDEX(CONFIGURACION!C:C,MATCH(E225,CONFIGURACION!E:E,0)),""))
</f>
        <v/>
      </c>
      <c r="B225" s="22" t="str">
        <f t="array" ref="B225">IF(E225="","",IFERROR(INDEX(CONFIGURACION!D:D,MATCH(E225,CONFIGURACION!E:E,0)),""))
</f>
        <v/>
      </c>
      <c r="C225" s="31"/>
      <c r="D225" s="9"/>
      <c r="E225" s="6"/>
      <c r="F225" s="24"/>
      <c r="G225" s="9"/>
      <c r="H225" s="32"/>
      <c r="I225" s="33" t="str">
        <f>IFERROR(__xludf.DUMMYFUNCTION("IF(F225="""","""",LET(
  nombre, TRIM(F225),
  primer, REGEXEXTRACT(nombre, ""^\S+""),
  resto, TRIM(REGEXREPLACE(nombre, ""^\S+\s*"", """")),
  iniciales, IF(
    resto="""",
    """",
    TEXTJOIN("""",1,ARRAYFORMULA(LEFT(SPLIT(resto,"" ""),1) &amp; "".""))"&amp;"
  ),
  UPPER(primer) &amp; "" "" &amp; UPPER(iniciales)
))"),"")</f>
        <v/>
      </c>
      <c r="J225" s="33" t="str">
        <f>IFERROR(__xludf.DUMMYFUNCTION("IF(H225="""","""",IFERROR(
IF(REGEXMATCH(E225,""VELOCIDAD""),
   IF(H225&gt;=MAX(INDEX(BAREMOS!F:X,MATCH(1,(BAREMOS!A:A=A225)*(BAREMOS!B:B=B225)*(BAREMOS!C:C=C225)*(BAREMOS!D:D=D225),0),0)),1,
      IF(H225&lt;=MIN(INDEX(BAREMOS!F:X,MATCH(1,(BAREMOS!A:A=A225)*("&amp;"BAREMOS!B:B=B225)*(BAREMOS!C:C=C225)*(BAREMOS!D:D=D225),0),0)),19,
         MATCH(H225,INDEX(BAREMOS!F:X,MATCH(1,(BAREMOS!A:A=A225)*(BAREMOS!B:B=B225)*(BAREMOS!C:C=C225)*(BAREMOS!D:D=D225),0),0),-1)
      )
   ),
   IF(H225&lt;=MIN(INDEX(BAREMOS!F:X,MATCH(1,"&amp;"(BAREMOS!A:A=A225)*(BAREMOS!B:B=B225)*(BAREMOS!C:C=C225)*(BAREMOS!D:D=D225),0),0)),1,
      IF(H225&gt;=MAX(INDEX(BAREMOS!F:X,MATCH(1,(BAREMOS!A:A=A225)*(BAREMOS!B:B=B225)*(BAREMOS!C:C=C225)*(BAREMOS!D:D=D225),0),0)),19,
         MATCH(H225,INDEX(BAREMOS!F:X"&amp;",MATCH(1,(BAREMOS!A:A=A225)*(BAREMOS!B:B=B225)*(BAREMOS!C:C=C225)*(BAREMOS!D:D=D225),0),0),1)
      )
   )
)
,""""))
"),"")</f>
        <v/>
      </c>
      <c r="K225" s="34" t="str">
        <f t="shared" si="1"/>
        <v/>
      </c>
      <c r="L225" s="16"/>
      <c r="M225" s="16"/>
      <c r="N225" s="16"/>
      <c r="O225" s="16"/>
      <c r="P225" s="16"/>
      <c r="Q225" s="16"/>
      <c r="R225" s="16"/>
      <c r="S225" s="16"/>
      <c r="T225" s="16"/>
      <c r="U225" s="16"/>
      <c r="V225" s="16"/>
      <c r="W225" s="16"/>
      <c r="X225" s="16"/>
      <c r="Y225" s="16"/>
      <c r="Z225" s="16"/>
      <c r="AA225" s="16"/>
      <c r="AB225" s="16"/>
      <c r="AC225" s="16"/>
    </row>
    <row r="226">
      <c r="A226" s="22" t="str">
        <f t="array" ref="A226">IF(E226="","",IFERROR(INDEX(CONFIGURACION!C:C,MATCH(E226,CONFIGURACION!E:E,0)),""))
</f>
        <v/>
      </c>
      <c r="B226" s="22" t="str">
        <f t="array" ref="B226">IF(E226="","",IFERROR(INDEX(CONFIGURACION!D:D,MATCH(E226,CONFIGURACION!E:E,0)),""))
</f>
        <v/>
      </c>
      <c r="C226" s="31"/>
      <c r="D226" s="9"/>
      <c r="E226" s="6"/>
      <c r="F226" s="24"/>
      <c r="G226" s="9"/>
      <c r="H226" s="32"/>
      <c r="I226" s="33" t="str">
        <f>IFERROR(__xludf.DUMMYFUNCTION("IF(F226="""","""",LET(
  nombre, TRIM(F226),
  primer, REGEXEXTRACT(nombre, ""^\S+""),
  resto, TRIM(REGEXREPLACE(nombre, ""^\S+\s*"", """")),
  iniciales, IF(
    resto="""",
    """",
    TEXTJOIN("""",1,ARRAYFORMULA(LEFT(SPLIT(resto,"" ""),1) &amp; "".""))"&amp;"
  ),
  UPPER(primer) &amp; "" "" &amp; UPPER(iniciales)
))"),"")</f>
        <v/>
      </c>
      <c r="J226" s="33" t="str">
        <f>IFERROR(__xludf.DUMMYFUNCTION("IF(H226="""","""",IFERROR(
IF(REGEXMATCH(E226,""VELOCIDAD""),
   IF(H226&gt;=MAX(INDEX(BAREMOS!F:X,MATCH(1,(BAREMOS!A:A=A226)*(BAREMOS!B:B=B226)*(BAREMOS!C:C=C226)*(BAREMOS!D:D=D226),0),0)),1,
      IF(H226&lt;=MIN(INDEX(BAREMOS!F:X,MATCH(1,(BAREMOS!A:A=A226)*("&amp;"BAREMOS!B:B=B226)*(BAREMOS!C:C=C226)*(BAREMOS!D:D=D226),0),0)),19,
         MATCH(H226,INDEX(BAREMOS!F:X,MATCH(1,(BAREMOS!A:A=A226)*(BAREMOS!B:B=B226)*(BAREMOS!C:C=C226)*(BAREMOS!D:D=D226),0),0),-1)
      )
   ),
   IF(H226&lt;=MIN(INDEX(BAREMOS!F:X,MATCH(1,"&amp;"(BAREMOS!A:A=A226)*(BAREMOS!B:B=B226)*(BAREMOS!C:C=C226)*(BAREMOS!D:D=D226),0),0)),1,
      IF(H226&gt;=MAX(INDEX(BAREMOS!F:X,MATCH(1,(BAREMOS!A:A=A226)*(BAREMOS!B:B=B226)*(BAREMOS!C:C=C226)*(BAREMOS!D:D=D226),0),0)),19,
         MATCH(H226,INDEX(BAREMOS!F:X"&amp;",MATCH(1,(BAREMOS!A:A=A226)*(BAREMOS!B:B=B226)*(BAREMOS!C:C=C226)*(BAREMOS!D:D=D226),0),0),1)
      )
   )
)
,""""))
"),"")</f>
        <v/>
      </c>
      <c r="K226" s="34" t="str">
        <f t="shared" si="1"/>
        <v/>
      </c>
      <c r="L226" s="16"/>
      <c r="M226" s="16"/>
      <c r="N226" s="16"/>
      <c r="O226" s="16"/>
      <c r="P226" s="16"/>
      <c r="Q226" s="16"/>
      <c r="R226" s="16"/>
      <c r="S226" s="16"/>
      <c r="T226" s="16"/>
      <c r="U226" s="16"/>
      <c r="V226" s="16"/>
      <c r="W226" s="16"/>
      <c r="X226" s="16"/>
      <c r="Y226" s="16"/>
      <c r="Z226" s="16"/>
      <c r="AA226" s="16"/>
      <c r="AB226" s="16"/>
      <c r="AC226" s="16"/>
    </row>
    <row r="227">
      <c r="A227" s="22" t="str">
        <f t="array" ref="A227">IF(E227="","",IFERROR(INDEX(CONFIGURACION!C:C,MATCH(E227,CONFIGURACION!E:E,0)),""))
</f>
        <v/>
      </c>
      <c r="B227" s="22" t="str">
        <f t="array" ref="B227">IF(E227="","",IFERROR(INDEX(CONFIGURACION!D:D,MATCH(E227,CONFIGURACION!E:E,0)),""))
</f>
        <v/>
      </c>
      <c r="C227" s="31"/>
      <c r="D227" s="9"/>
      <c r="E227" s="6"/>
      <c r="F227" s="24"/>
      <c r="G227" s="9"/>
      <c r="H227" s="32"/>
      <c r="I227" s="33" t="str">
        <f>IFERROR(__xludf.DUMMYFUNCTION("IF(F227="""","""",LET(
  nombre, TRIM(F227),
  primer, REGEXEXTRACT(nombre, ""^\S+""),
  resto, TRIM(REGEXREPLACE(nombre, ""^\S+\s*"", """")),
  iniciales, IF(
    resto="""",
    """",
    TEXTJOIN("""",1,ARRAYFORMULA(LEFT(SPLIT(resto,"" ""),1) &amp; "".""))"&amp;"
  ),
  UPPER(primer) &amp; "" "" &amp; UPPER(iniciales)
))"),"")</f>
        <v/>
      </c>
      <c r="J227" s="33" t="str">
        <f>IFERROR(__xludf.DUMMYFUNCTION("IF(H227="""","""",IFERROR(
IF(REGEXMATCH(E227,""VELOCIDAD""),
   IF(H227&gt;=MAX(INDEX(BAREMOS!F:X,MATCH(1,(BAREMOS!A:A=A227)*(BAREMOS!B:B=B227)*(BAREMOS!C:C=C227)*(BAREMOS!D:D=D227),0),0)),1,
      IF(H227&lt;=MIN(INDEX(BAREMOS!F:X,MATCH(1,(BAREMOS!A:A=A227)*("&amp;"BAREMOS!B:B=B227)*(BAREMOS!C:C=C227)*(BAREMOS!D:D=D227),0),0)),19,
         MATCH(H227,INDEX(BAREMOS!F:X,MATCH(1,(BAREMOS!A:A=A227)*(BAREMOS!B:B=B227)*(BAREMOS!C:C=C227)*(BAREMOS!D:D=D227),0),0),-1)
      )
   ),
   IF(H227&lt;=MIN(INDEX(BAREMOS!F:X,MATCH(1,"&amp;"(BAREMOS!A:A=A227)*(BAREMOS!B:B=B227)*(BAREMOS!C:C=C227)*(BAREMOS!D:D=D227),0),0)),1,
      IF(H227&gt;=MAX(INDEX(BAREMOS!F:X,MATCH(1,(BAREMOS!A:A=A227)*(BAREMOS!B:B=B227)*(BAREMOS!C:C=C227)*(BAREMOS!D:D=D227),0),0)),19,
         MATCH(H227,INDEX(BAREMOS!F:X"&amp;",MATCH(1,(BAREMOS!A:A=A227)*(BAREMOS!B:B=B227)*(BAREMOS!C:C=C227)*(BAREMOS!D:D=D227),0),0),1)
      )
   )
)
,""""))
"),"")</f>
        <v/>
      </c>
      <c r="K227" s="34" t="str">
        <f t="shared" si="1"/>
        <v/>
      </c>
      <c r="L227" s="16"/>
      <c r="M227" s="16"/>
      <c r="N227" s="16"/>
      <c r="O227" s="16"/>
      <c r="P227" s="16"/>
      <c r="Q227" s="16"/>
      <c r="R227" s="16"/>
      <c r="S227" s="16"/>
      <c r="T227" s="16"/>
      <c r="U227" s="16"/>
      <c r="V227" s="16"/>
      <c r="W227" s="16"/>
      <c r="X227" s="16"/>
      <c r="Y227" s="16"/>
      <c r="Z227" s="16"/>
      <c r="AA227" s="16"/>
      <c r="AB227" s="16"/>
      <c r="AC227" s="16"/>
    </row>
    <row r="228">
      <c r="A228" s="22" t="str">
        <f t="array" ref="A228">IF(E228="","",IFERROR(INDEX(CONFIGURACION!C:C,MATCH(E228,CONFIGURACION!E:E,0)),""))
</f>
        <v/>
      </c>
      <c r="B228" s="22" t="str">
        <f t="array" ref="B228">IF(E228="","",IFERROR(INDEX(CONFIGURACION!D:D,MATCH(E228,CONFIGURACION!E:E,0)),""))
</f>
        <v/>
      </c>
      <c r="C228" s="31"/>
      <c r="D228" s="9"/>
      <c r="E228" s="6"/>
      <c r="F228" s="24"/>
      <c r="G228" s="9"/>
      <c r="H228" s="32"/>
      <c r="I228" s="33" t="str">
        <f>IFERROR(__xludf.DUMMYFUNCTION("IF(F228="""","""",LET(
  nombre, TRIM(F228),
  primer, REGEXEXTRACT(nombre, ""^\S+""),
  resto, TRIM(REGEXREPLACE(nombre, ""^\S+\s*"", """")),
  iniciales, IF(
    resto="""",
    """",
    TEXTJOIN("""",1,ARRAYFORMULA(LEFT(SPLIT(resto,"" ""),1) &amp; "".""))"&amp;"
  ),
  UPPER(primer) &amp; "" "" &amp; UPPER(iniciales)
))"),"")</f>
        <v/>
      </c>
      <c r="J228" s="33" t="str">
        <f>IFERROR(__xludf.DUMMYFUNCTION("IF(H228="""","""",IFERROR(
IF(REGEXMATCH(E228,""VELOCIDAD""),
   IF(H228&gt;=MAX(INDEX(BAREMOS!F:X,MATCH(1,(BAREMOS!A:A=A228)*(BAREMOS!B:B=B228)*(BAREMOS!C:C=C228)*(BAREMOS!D:D=D228),0),0)),1,
      IF(H228&lt;=MIN(INDEX(BAREMOS!F:X,MATCH(1,(BAREMOS!A:A=A228)*("&amp;"BAREMOS!B:B=B228)*(BAREMOS!C:C=C228)*(BAREMOS!D:D=D228),0),0)),19,
         MATCH(H228,INDEX(BAREMOS!F:X,MATCH(1,(BAREMOS!A:A=A228)*(BAREMOS!B:B=B228)*(BAREMOS!C:C=C228)*(BAREMOS!D:D=D228),0),0),-1)
      )
   ),
   IF(H228&lt;=MIN(INDEX(BAREMOS!F:X,MATCH(1,"&amp;"(BAREMOS!A:A=A228)*(BAREMOS!B:B=B228)*(BAREMOS!C:C=C228)*(BAREMOS!D:D=D228),0),0)),1,
      IF(H228&gt;=MAX(INDEX(BAREMOS!F:X,MATCH(1,(BAREMOS!A:A=A228)*(BAREMOS!B:B=B228)*(BAREMOS!C:C=C228)*(BAREMOS!D:D=D228),0),0)),19,
         MATCH(H228,INDEX(BAREMOS!F:X"&amp;",MATCH(1,(BAREMOS!A:A=A228)*(BAREMOS!B:B=B228)*(BAREMOS!C:C=C228)*(BAREMOS!D:D=D228),0),0),1)
      )
   )
)
,""""))
"),"")</f>
        <v/>
      </c>
      <c r="K228" s="34" t="str">
        <f t="shared" si="1"/>
        <v/>
      </c>
      <c r="L228" s="16"/>
      <c r="M228" s="16"/>
      <c r="N228" s="16"/>
      <c r="O228" s="16"/>
      <c r="P228" s="16"/>
      <c r="Q228" s="16"/>
      <c r="R228" s="16"/>
      <c r="S228" s="16"/>
      <c r="T228" s="16"/>
      <c r="U228" s="16"/>
      <c r="V228" s="16"/>
      <c r="W228" s="16"/>
      <c r="X228" s="16"/>
      <c r="Y228" s="16"/>
      <c r="Z228" s="16"/>
      <c r="AA228" s="16"/>
      <c r="AB228" s="16"/>
      <c r="AC228" s="16"/>
    </row>
    <row r="229">
      <c r="A229" s="22" t="str">
        <f t="array" ref="A229">IF(E229="","",IFERROR(INDEX(CONFIGURACION!C:C,MATCH(E229,CONFIGURACION!E:E,0)),""))
</f>
        <v/>
      </c>
      <c r="B229" s="22" t="str">
        <f t="array" ref="B229">IF(E229="","",IFERROR(INDEX(CONFIGURACION!D:D,MATCH(E229,CONFIGURACION!E:E,0)),""))
</f>
        <v/>
      </c>
      <c r="C229" s="31"/>
      <c r="D229" s="9"/>
      <c r="E229" s="6"/>
      <c r="F229" s="24"/>
      <c r="G229" s="9"/>
      <c r="H229" s="32"/>
      <c r="I229" s="33" t="str">
        <f>IFERROR(__xludf.DUMMYFUNCTION("IF(F229="""","""",LET(
  nombre, TRIM(F229),
  primer, REGEXEXTRACT(nombre, ""^\S+""),
  resto, TRIM(REGEXREPLACE(nombre, ""^\S+\s*"", """")),
  iniciales, IF(
    resto="""",
    """",
    TEXTJOIN("""",1,ARRAYFORMULA(LEFT(SPLIT(resto,"" ""),1) &amp; "".""))"&amp;"
  ),
  UPPER(primer) &amp; "" "" &amp; UPPER(iniciales)
))"),"")</f>
        <v/>
      </c>
      <c r="J229" s="33" t="str">
        <f>IFERROR(__xludf.DUMMYFUNCTION("IF(H229="""","""",IFERROR(
IF(REGEXMATCH(E229,""VELOCIDAD""),
   IF(H229&gt;=MAX(INDEX(BAREMOS!F:X,MATCH(1,(BAREMOS!A:A=A229)*(BAREMOS!B:B=B229)*(BAREMOS!C:C=C229)*(BAREMOS!D:D=D229),0),0)),1,
      IF(H229&lt;=MIN(INDEX(BAREMOS!F:X,MATCH(1,(BAREMOS!A:A=A229)*("&amp;"BAREMOS!B:B=B229)*(BAREMOS!C:C=C229)*(BAREMOS!D:D=D229),0),0)),19,
         MATCH(H229,INDEX(BAREMOS!F:X,MATCH(1,(BAREMOS!A:A=A229)*(BAREMOS!B:B=B229)*(BAREMOS!C:C=C229)*(BAREMOS!D:D=D229),0),0),-1)
      )
   ),
   IF(H229&lt;=MIN(INDEX(BAREMOS!F:X,MATCH(1,"&amp;"(BAREMOS!A:A=A229)*(BAREMOS!B:B=B229)*(BAREMOS!C:C=C229)*(BAREMOS!D:D=D229),0),0)),1,
      IF(H229&gt;=MAX(INDEX(BAREMOS!F:X,MATCH(1,(BAREMOS!A:A=A229)*(BAREMOS!B:B=B229)*(BAREMOS!C:C=C229)*(BAREMOS!D:D=D229),0),0)),19,
         MATCH(H229,INDEX(BAREMOS!F:X"&amp;",MATCH(1,(BAREMOS!A:A=A229)*(BAREMOS!B:B=B229)*(BAREMOS!C:C=C229)*(BAREMOS!D:D=D229),0),0),1)
      )
   )
)
,""""))
"),"")</f>
        <v/>
      </c>
      <c r="K229" s="34" t="str">
        <f t="shared" si="1"/>
        <v/>
      </c>
      <c r="L229" s="16"/>
      <c r="M229" s="16"/>
      <c r="N229" s="16"/>
      <c r="O229" s="16"/>
      <c r="P229" s="16"/>
      <c r="Q229" s="16"/>
      <c r="R229" s="16"/>
      <c r="S229" s="16"/>
      <c r="T229" s="16"/>
      <c r="U229" s="16"/>
      <c r="V229" s="16"/>
      <c r="W229" s="16"/>
      <c r="X229" s="16"/>
      <c r="Y229" s="16"/>
      <c r="Z229" s="16"/>
      <c r="AA229" s="16"/>
      <c r="AB229" s="16"/>
      <c r="AC229" s="16"/>
    </row>
    <row r="230">
      <c r="A230" s="22" t="str">
        <f t="array" ref="A230">IF(E230="","",IFERROR(INDEX(CONFIGURACION!C:C,MATCH(E230,CONFIGURACION!E:E,0)),""))
</f>
        <v/>
      </c>
      <c r="B230" s="22" t="str">
        <f t="array" ref="B230">IF(E230="","",IFERROR(INDEX(CONFIGURACION!D:D,MATCH(E230,CONFIGURACION!E:E,0)),""))
</f>
        <v/>
      </c>
      <c r="C230" s="31"/>
      <c r="D230" s="9"/>
      <c r="E230" s="6"/>
      <c r="F230" s="24"/>
      <c r="G230" s="9"/>
      <c r="H230" s="32"/>
      <c r="I230" s="33" t="str">
        <f>IFERROR(__xludf.DUMMYFUNCTION("IF(F230="""","""",LET(
  nombre, TRIM(F230),
  primer, REGEXEXTRACT(nombre, ""^\S+""),
  resto, TRIM(REGEXREPLACE(nombre, ""^\S+\s*"", """")),
  iniciales, IF(
    resto="""",
    """",
    TEXTJOIN("""",1,ARRAYFORMULA(LEFT(SPLIT(resto,"" ""),1) &amp; "".""))"&amp;"
  ),
  UPPER(primer) &amp; "" "" &amp; UPPER(iniciales)
))"),"")</f>
        <v/>
      </c>
      <c r="J230" s="33" t="str">
        <f>IFERROR(__xludf.DUMMYFUNCTION("IF(H230="""","""",IFERROR(
IF(REGEXMATCH(E230,""VELOCIDAD""),
   IF(H230&gt;=MAX(INDEX(BAREMOS!F:X,MATCH(1,(BAREMOS!A:A=A230)*(BAREMOS!B:B=B230)*(BAREMOS!C:C=C230)*(BAREMOS!D:D=D230),0),0)),1,
      IF(H230&lt;=MIN(INDEX(BAREMOS!F:X,MATCH(1,(BAREMOS!A:A=A230)*("&amp;"BAREMOS!B:B=B230)*(BAREMOS!C:C=C230)*(BAREMOS!D:D=D230),0),0)),19,
         MATCH(H230,INDEX(BAREMOS!F:X,MATCH(1,(BAREMOS!A:A=A230)*(BAREMOS!B:B=B230)*(BAREMOS!C:C=C230)*(BAREMOS!D:D=D230),0),0),-1)
      )
   ),
   IF(H230&lt;=MIN(INDEX(BAREMOS!F:X,MATCH(1,"&amp;"(BAREMOS!A:A=A230)*(BAREMOS!B:B=B230)*(BAREMOS!C:C=C230)*(BAREMOS!D:D=D230),0),0)),1,
      IF(H230&gt;=MAX(INDEX(BAREMOS!F:X,MATCH(1,(BAREMOS!A:A=A230)*(BAREMOS!B:B=B230)*(BAREMOS!C:C=C230)*(BAREMOS!D:D=D230),0),0)),19,
         MATCH(H230,INDEX(BAREMOS!F:X"&amp;",MATCH(1,(BAREMOS!A:A=A230)*(BAREMOS!B:B=B230)*(BAREMOS!C:C=C230)*(BAREMOS!D:D=D230),0),0),1)
      )
   )
)
,""""))
"),"")</f>
        <v/>
      </c>
      <c r="K230" s="34" t="str">
        <f t="shared" si="1"/>
        <v/>
      </c>
      <c r="L230" s="16"/>
      <c r="M230" s="16"/>
      <c r="N230" s="16"/>
      <c r="O230" s="16"/>
      <c r="P230" s="16"/>
      <c r="Q230" s="16"/>
      <c r="R230" s="16"/>
      <c r="S230" s="16"/>
      <c r="T230" s="16"/>
      <c r="U230" s="16"/>
      <c r="V230" s="16"/>
      <c r="W230" s="16"/>
      <c r="X230" s="16"/>
      <c r="Y230" s="16"/>
      <c r="Z230" s="16"/>
      <c r="AA230" s="16"/>
      <c r="AB230" s="16"/>
      <c r="AC230" s="16"/>
    </row>
    <row r="231">
      <c r="A231" s="22" t="str">
        <f t="array" ref="A231">IF(E231="","",IFERROR(INDEX(CONFIGURACION!C:C,MATCH(E231,CONFIGURACION!E:E,0)),""))
</f>
        <v/>
      </c>
      <c r="B231" s="22" t="str">
        <f t="array" ref="B231">IF(E231="","",IFERROR(INDEX(CONFIGURACION!D:D,MATCH(E231,CONFIGURACION!E:E,0)),""))
</f>
        <v/>
      </c>
      <c r="C231" s="31"/>
      <c r="D231" s="9"/>
      <c r="E231" s="6"/>
      <c r="F231" s="24"/>
      <c r="G231" s="9"/>
      <c r="H231" s="32"/>
      <c r="I231" s="33" t="str">
        <f>IFERROR(__xludf.DUMMYFUNCTION("IF(F231="""","""",LET(
  nombre, TRIM(F231),
  primer, REGEXEXTRACT(nombre, ""^\S+""),
  resto, TRIM(REGEXREPLACE(nombre, ""^\S+\s*"", """")),
  iniciales, IF(
    resto="""",
    """",
    TEXTJOIN("""",1,ARRAYFORMULA(LEFT(SPLIT(resto,"" ""),1) &amp; "".""))"&amp;"
  ),
  UPPER(primer) &amp; "" "" &amp; UPPER(iniciales)
))"),"")</f>
        <v/>
      </c>
      <c r="J231" s="33" t="str">
        <f>IFERROR(__xludf.DUMMYFUNCTION("IF(H231="""","""",IFERROR(
IF(REGEXMATCH(E231,""VELOCIDAD""),
   IF(H231&gt;=MAX(INDEX(BAREMOS!F:X,MATCH(1,(BAREMOS!A:A=A231)*(BAREMOS!B:B=B231)*(BAREMOS!C:C=C231)*(BAREMOS!D:D=D231),0),0)),1,
      IF(H231&lt;=MIN(INDEX(BAREMOS!F:X,MATCH(1,(BAREMOS!A:A=A231)*("&amp;"BAREMOS!B:B=B231)*(BAREMOS!C:C=C231)*(BAREMOS!D:D=D231),0),0)),19,
         MATCH(H231,INDEX(BAREMOS!F:X,MATCH(1,(BAREMOS!A:A=A231)*(BAREMOS!B:B=B231)*(BAREMOS!C:C=C231)*(BAREMOS!D:D=D231),0),0),-1)
      )
   ),
   IF(H231&lt;=MIN(INDEX(BAREMOS!F:X,MATCH(1,"&amp;"(BAREMOS!A:A=A231)*(BAREMOS!B:B=B231)*(BAREMOS!C:C=C231)*(BAREMOS!D:D=D231),0),0)),1,
      IF(H231&gt;=MAX(INDEX(BAREMOS!F:X,MATCH(1,(BAREMOS!A:A=A231)*(BAREMOS!B:B=B231)*(BAREMOS!C:C=C231)*(BAREMOS!D:D=D231),0),0)),19,
         MATCH(H231,INDEX(BAREMOS!F:X"&amp;",MATCH(1,(BAREMOS!A:A=A231)*(BAREMOS!B:B=B231)*(BAREMOS!C:C=C231)*(BAREMOS!D:D=D231),0),0),1)
      )
   )
)
,""""))
"),"")</f>
        <v/>
      </c>
      <c r="K231" s="34" t="str">
        <f t="shared" si="1"/>
        <v/>
      </c>
      <c r="L231" s="16"/>
      <c r="M231" s="16"/>
      <c r="N231" s="16"/>
      <c r="O231" s="16"/>
      <c r="P231" s="16"/>
      <c r="Q231" s="16"/>
      <c r="R231" s="16"/>
      <c r="S231" s="16"/>
      <c r="T231" s="16"/>
      <c r="U231" s="16"/>
      <c r="V231" s="16"/>
      <c r="W231" s="16"/>
      <c r="X231" s="16"/>
      <c r="Y231" s="16"/>
      <c r="Z231" s="16"/>
      <c r="AA231" s="16"/>
      <c r="AB231" s="16"/>
      <c r="AC231" s="16"/>
    </row>
    <row r="232">
      <c r="A232" s="22" t="str">
        <f t="array" ref="A232">IF(E232="","",IFERROR(INDEX(CONFIGURACION!C:C,MATCH(E232,CONFIGURACION!E:E,0)),""))
</f>
        <v/>
      </c>
      <c r="B232" s="22" t="str">
        <f t="array" ref="B232">IF(E232="","",IFERROR(INDEX(CONFIGURACION!D:D,MATCH(E232,CONFIGURACION!E:E,0)),""))
</f>
        <v/>
      </c>
      <c r="C232" s="31"/>
      <c r="D232" s="9"/>
      <c r="E232" s="6"/>
      <c r="F232" s="24"/>
      <c r="G232" s="9"/>
      <c r="H232" s="32"/>
      <c r="I232" s="33" t="str">
        <f>IFERROR(__xludf.DUMMYFUNCTION("IF(F232="""","""",LET(
  nombre, TRIM(F232),
  primer, REGEXEXTRACT(nombre, ""^\S+""),
  resto, TRIM(REGEXREPLACE(nombre, ""^\S+\s*"", """")),
  iniciales, IF(
    resto="""",
    """",
    TEXTJOIN("""",1,ARRAYFORMULA(LEFT(SPLIT(resto,"" ""),1) &amp; "".""))"&amp;"
  ),
  UPPER(primer) &amp; "" "" &amp; UPPER(iniciales)
))"),"")</f>
        <v/>
      </c>
      <c r="J232" s="33" t="str">
        <f>IFERROR(__xludf.DUMMYFUNCTION("IF(H232="""","""",IFERROR(
IF(REGEXMATCH(E232,""VELOCIDAD""),
   IF(H232&gt;=MAX(INDEX(BAREMOS!F:X,MATCH(1,(BAREMOS!A:A=A232)*(BAREMOS!B:B=B232)*(BAREMOS!C:C=C232)*(BAREMOS!D:D=D232),0),0)),1,
      IF(H232&lt;=MIN(INDEX(BAREMOS!F:X,MATCH(1,(BAREMOS!A:A=A232)*("&amp;"BAREMOS!B:B=B232)*(BAREMOS!C:C=C232)*(BAREMOS!D:D=D232),0),0)),19,
         MATCH(H232,INDEX(BAREMOS!F:X,MATCH(1,(BAREMOS!A:A=A232)*(BAREMOS!B:B=B232)*(BAREMOS!C:C=C232)*(BAREMOS!D:D=D232),0),0),-1)
      )
   ),
   IF(H232&lt;=MIN(INDEX(BAREMOS!F:X,MATCH(1,"&amp;"(BAREMOS!A:A=A232)*(BAREMOS!B:B=B232)*(BAREMOS!C:C=C232)*(BAREMOS!D:D=D232),0),0)),1,
      IF(H232&gt;=MAX(INDEX(BAREMOS!F:X,MATCH(1,(BAREMOS!A:A=A232)*(BAREMOS!B:B=B232)*(BAREMOS!C:C=C232)*(BAREMOS!D:D=D232),0),0)),19,
         MATCH(H232,INDEX(BAREMOS!F:X"&amp;",MATCH(1,(BAREMOS!A:A=A232)*(BAREMOS!B:B=B232)*(BAREMOS!C:C=C232)*(BAREMOS!D:D=D232),0),0),1)
      )
   )
)
,""""))
"),"")</f>
        <v/>
      </c>
      <c r="K232" s="34" t="str">
        <f t="shared" si="1"/>
        <v/>
      </c>
      <c r="L232" s="16"/>
      <c r="M232" s="16"/>
      <c r="N232" s="16"/>
      <c r="O232" s="16"/>
      <c r="P232" s="16"/>
      <c r="Q232" s="16"/>
      <c r="R232" s="16"/>
      <c r="S232" s="16"/>
      <c r="T232" s="16"/>
      <c r="U232" s="16"/>
      <c r="V232" s="16"/>
      <c r="W232" s="16"/>
      <c r="X232" s="16"/>
      <c r="Y232" s="16"/>
      <c r="Z232" s="16"/>
      <c r="AA232" s="16"/>
      <c r="AB232" s="16"/>
      <c r="AC232" s="16"/>
    </row>
    <row r="233">
      <c r="A233" s="22" t="str">
        <f t="array" ref="A233">IF(E233="","",IFERROR(INDEX(CONFIGURACION!C:C,MATCH(E233,CONFIGURACION!E:E,0)),""))
</f>
        <v/>
      </c>
      <c r="B233" s="22" t="str">
        <f t="array" ref="B233">IF(E233="","",IFERROR(INDEX(CONFIGURACION!D:D,MATCH(E233,CONFIGURACION!E:E,0)),""))
</f>
        <v/>
      </c>
      <c r="C233" s="31"/>
      <c r="D233" s="9"/>
      <c r="E233" s="6"/>
      <c r="F233" s="24"/>
      <c r="G233" s="9"/>
      <c r="H233" s="32"/>
      <c r="I233" s="33" t="str">
        <f>IFERROR(__xludf.DUMMYFUNCTION("IF(F233="""","""",LET(
  nombre, TRIM(F233),
  primer, REGEXEXTRACT(nombre, ""^\S+""),
  resto, TRIM(REGEXREPLACE(nombre, ""^\S+\s*"", """")),
  iniciales, IF(
    resto="""",
    """",
    TEXTJOIN("""",1,ARRAYFORMULA(LEFT(SPLIT(resto,"" ""),1) &amp; "".""))"&amp;"
  ),
  UPPER(primer) &amp; "" "" &amp; UPPER(iniciales)
))"),"")</f>
        <v/>
      </c>
      <c r="J233" s="33" t="str">
        <f>IFERROR(__xludf.DUMMYFUNCTION("IF(H233="""","""",IFERROR(
IF(REGEXMATCH(E233,""VELOCIDAD""),
   IF(H233&gt;=MAX(INDEX(BAREMOS!F:X,MATCH(1,(BAREMOS!A:A=A233)*(BAREMOS!B:B=B233)*(BAREMOS!C:C=C233)*(BAREMOS!D:D=D233),0),0)),1,
      IF(H233&lt;=MIN(INDEX(BAREMOS!F:X,MATCH(1,(BAREMOS!A:A=A233)*("&amp;"BAREMOS!B:B=B233)*(BAREMOS!C:C=C233)*(BAREMOS!D:D=D233),0),0)),19,
         MATCH(H233,INDEX(BAREMOS!F:X,MATCH(1,(BAREMOS!A:A=A233)*(BAREMOS!B:B=B233)*(BAREMOS!C:C=C233)*(BAREMOS!D:D=D233),0),0),-1)
      )
   ),
   IF(H233&lt;=MIN(INDEX(BAREMOS!F:X,MATCH(1,"&amp;"(BAREMOS!A:A=A233)*(BAREMOS!B:B=B233)*(BAREMOS!C:C=C233)*(BAREMOS!D:D=D233),0),0)),1,
      IF(H233&gt;=MAX(INDEX(BAREMOS!F:X,MATCH(1,(BAREMOS!A:A=A233)*(BAREMOS!B:B=B233)*(BAREMOS!C:C=C233)*(BAREMOS!D:D=D233),0),0)),19,
         MATCH(H233,INDEX(BAREMOS!F:X"&amp;",MATCH(1,(BAREMOS!A:A=A233)*(BAREMOS!B:B=B233)*(BAREMOS!C:C=C233)*(BAREMOS!D:D=D233),0),0),1)
      )
   )
)
,""""))
"),"")</f>
        <v/>
      </c>
      <c r="K233" s="34" t="str">
        <f t="shared" si="1"/>
        <v/>
      </c>
      <c r="L233" s="16"/>
      <c r="M233" s="16"/>
      <c r="N233" s="16"/>
      <c r="O233" s="16"/>
      <c r="P233" s="16"/>
      <c r="Q233" s="16"/>
      <c r="R233" s="16"/>
      <c r="S233" s="16"/>
      <c r="T233" s="16"/>
      <c r="U233" s="16"/>
      <c r="V233" s="16"/>
      <c r="W233" s="16"/>
      <c r="X233" s="16"/>
      <c r="Y233" s="16"/>
      <c r="Z233" s="16"/>
      <c r="AA233" s="16"/>
      <c r="AB233" s="16"/>
      <c r="AC233" s="16"/>
    </row>
    <row r="234">
      <c r="A234" s="22" t="str">
        <f t="array" ref="A234">IF(E234="","",IFERROR(INDEX(CONFIGURACION!C:C,MATCH(E234,CONFIGURACION!E:E,0)),""))
</f>
        <v/>
      </c>
      <c r="B234" s="22" t="str">
        <f t="array" ref="B234">IF(E234="","",IFERROR(INDEX(CONFIGURACION!D:D,MATCH(E234,CONFIGURACION!E:E,0)),""))
</f>
        <v/>
      </c>
      <c r="C234" s="31"/>
      <c r="D234" s="9"/>
      <c r="E234" s="6"/>
      <c r="F234" s="24"/>
      <c r="G234" s="9"/>
      <c r="H234" s="32"/>
      <c r="I234" s="33" t="str">
        <f>IFERROR(__xludf.DUMMYFUNCTION("IF(F234="""","""",LET(
  nombre, TRIM(F234),
  primer, REGEXEXTRACT(nombre, ""^\S+""),
  resto, TRIM(REGEXREPLACE(nombre, ""^\S+\s*"", """")),
  iniciales, IF(
    resto="""",
    """",
    TEXTJOIN("""",1,ARRAYFORMULA(LEFT(SPLIT(resto,"" ""),1) &amp; "".""))"&amp;"
  ),
  UPPER(primer) &amp; "" "" &amp; UPPER(iniciales)
))"),"")</f>
        <v/>
      </c>
      <c r="J234" s="33" t="str">
        <f>IFERROR(__xludf.DUMMYFUNCTION("IF(H234="""","""",IFERROR(
IF(REGEXMATCH(E234,""VELOCIDAD""),
   IF(H234&gt;=MAX(INDEX(BAREMOS!F:X,MATCH(1,(BAREMOS!A:A=A234)*(BAREMOS!B:B=B234)*(BAREMOS!C:C=C234)*(BAREMOS!D:D=D234),0),0)),1,
      IF(H234&lt;=MIN(INDEX(BAREMOS!F:X,MATCH(1,(BAREMOS!A:A=A234)*("&amp;"BAREMOS!B:B=B234)*(BAREMOS!C:C=C234)*(BAREMOS!D:D=D234),0),0)),19,
         MATCH(H234,INDEX(BAREMOS!F:X,MATCH(1,(BAREMOS!A:A=A234)*(BAREMOS!B:B=B234)*(BAREMOS!C:C=C234)*(BAREMOS!D:D=D234),0),0),-1)
      )
   ),
   IF(H234&lt;=MIN(INDEX(BAREMOS!F:X,MATCH(1,"&amp;"(BAREMOS!A:A=A234)*(BAREMOS!B:B=B234)*(BAREMOS!C:C=C234)*(BAREMOS!D:D=D234),0),0)),1,
      IF(H234&gt;=MAX(INDEX(BAREMOS!F:X,MATCH(1,(BAREMOS!A:A=A234)*(BAREMOS!B:B=B234)*(BAREMOS!C:C=C234)*(BAREMOS!D:D=D234),0),0)),19,
         MATCH(H234,INDEX(BAREMOS!F:X"&amp;",MATCH(1,(BAREMOS!A:A=A234)*(BAREMOS!B:B=B234)*(BAREMOS!C:C=C234)*(BAREMOS!D:D=D234),0),0),1)
      )
   )
)
,""""))
"),"")</f>
        <v/>
      </c>
      <c r="K234" s="34" t="str">
        <f t="shared" si="1"/>
        <v/>
      </c>
      <c r="L234" s="16"/>
      <c r="M234" s="16"/>
      <c r="N234" s="16"/>
      <c r="O234" s="16"/>
      <c r="P234" s="16"/>
      <c r="Q234" s="16"/>
      <c r="R234" s="16"/>
      <c r="S234" s="16"/>
      <c r="T234" s="16"/>
      <c r="U234" s="16"/>
      <c r="V234" s="16"/>
      <c r="W234" s="16"/>
      <c r="X234" s="16"/>
      <c r="Y234" s="16"/>
      <c r="Z234" s="16"/>
      <c r="AA234" s="16"/>
      <c r="AB234" s="16"/>
      <c r="AC234" s="16"/>
    </row>
    <row r="235">
      <c r="A235" s="22" t="str">
        <f t="array" ref="A235">IF(E235="","",IFERROR(INDEX(CONFIGURACION!C:C,MATCH(E235,CONFIGURACION!E:E,0)),""))
</f>
        <v/>
      </c>
      <c r="B235" s="22" t="str">
        <f t="array" ref="B235">IF(E235="","",IFERROR(INDEX(CONFIGURACION!D:D,MATCH(E235,CONFIGURACION!E:E,0)),""))
</f>
        <v/>
      </c>
      <c r="C235" s="31"/>
      <c r="D235" s="9"/>
      <c r="E235" s="6"/>
      <c r="F235" s="24"/>
      <c r="G235" s="9"/>
      <c r="H235" s="32"/>
      <c r="I235" s="33" t="str">
        <f>IFERROR(__xludf.DUMMYFUNCTION("IF(F235="""","""",LET(
  nombre, TRIM(F235),
  primer, REGEXEXTRACT(nombre, ""^\S+""),
  resto, TRIM(REGEXREPLACE(nombre, ""^\S+\s*"", """")),
  iniciales, IF(
    resto="""",
    """",
    TEXTJOIN("""",1,ARRAYFORMULA(LEFT(SPLIT(resto,"" ""),1) &amp; "".""))"&amp;"
  ),
  UPPER(primer) &amp; "" "" &amp; UPPER(iniciales)
))"),"")</f>
        <v/>
      </c>
      <c r="J235" s="33" t="str">
        <f>IFERROR(__xludf.DUMMYFUNCTION("IF(H235="""","""",IFERROR(
IF(REGEXMATCH(E235,""VELOCIDAD""),
   IF(H235&gt;=MAX(INDEX(BAREMOS!F:X,MATCH(1,(BAREMOS!A:A=A235)*(BAREMOS!B:B=B235)*(BAREMOS!C:C=C235)*(BAREMOS!D:D=D235),0),0)),1,
      IF(H235&lt;=MIN(INDEX(BAREMOS!F:X,MATCH(1,(BAREMOS!A:A=A235)*("&amp;"BAREMOS!B:B=B235)*(BAREMOS!C:C=C235)*(BAREMOS!D:D=D235),0),0)),19,
         MATCH(H235,INDEX(BAREMOS!F:X,MATCH(1,(BAREMOS!A:A=A235)*(BAREMOS!B:B=B235)*(BAREMOS!C:C=C235)*(BAREMOS!D:D=D235),0),0),-1)
      )
   ),
   IF(H235&lt;=MIN(INDEX(BAREMOS!F:X,MATCH(1,"&amp;"(BAREMOS!A:A=A235)*(BAREMOS!B:B=B235)*(BAREMOS!C:C=C235)*(BAREMOS!D:D=D235),0),0)),1,
      IF(H235&gt;=MAX(INDEX(BAREMOS!F:X,MATCH(1,(BAREMOS!A:A=A235)*(BAREMOS!B:B=B235)*(BAREMOS!C:C=C235)*(BAREMOS!D:D=D235),0),0)),19,
         MATCH(H235,INDEX(BAREMOS!F:X"&amp;",MATCH(1,(BAREMOS!A:A=A235)*(BAREMOS!B:B=B235)*(BAREMOS!C:C=C235)*(BAREMOS!D:D=D235),0),0),1)
      )
   )
)
,""""))
"),"")</f>
        <v/>
      </c>
      <c r="K235" s="34" t="str">
        <f t="shared" si="1"/>
        <v/>
      </c>
      <c r="L235" s="16"/>
      <c r="M235" s="16"/>
      <c r="N235" s="16"/>
      <c r="O235" s="16"/>
      <c r="P235" s="16"/>
      <c r="Q235" s="16"/>
      <c r="R235" s="16"/>
      <c r="S235" s="16"/>
      <c r="T235" s="16"/>
      <c r="U235" s="16"/>
      <c r="V235" s="16"/>
      <c r="W235" s="16"/>
      <c r="X235" s="16"/>
      <c r="Y235" s="16"/>
      <c r="Z235" s="16"/>
      <c r="AA235" s="16"/>
      <c r="AB235" s="16"/>
      <c r="AC235" s="16"/>
    </row>
    <row r="236">
      <c r="A236" s="22" t="str">
        <f t="array" ref="A236">IF(E236="","",IFERROR(INDEX(CONFIGURACION!C:C,MATCH(E236,CONFIGURACION!E:E,0)),""))
</f>
        <v/>
      </c>
      <c r="B236" s="22" t="str">
        <f t="array" ref="B236">IF(E236="","",IFERROR(INDEX(CONFIGURACION!D:D,MATCH(E236,CONFIGURACION!E:E,0)),""))
</f>
        <v/>
      </c>
      <c r="C236" s="31"/>
      <c r="D236" s="9"/>
      <c r="E236" s="6"/>
      <c r="F236" s="24"/>
      <c r="G236" s="9"/>
      <c r="H236" s="32"/>
      <c r="I236" s="33" t="str">
        <f>IFERROR(__xludf.DUMMYFUNCTION("IF(F236="""","""",LET(
  nombre, TRIM(F236),
  primer, REGEXEXTRACT(nombre, ""^\S+""),
  resto, TRIM(REGEXREPLACE(nombre, ""^\S+\s*"", """")),
  iniciales, IF(
    resto="""",
    """",
    TEXTJOIN("""",1,ARRAYFORMULA(LEFT(SPLIT(resto,"" ""),1) &amp; "".""))"&amp;"
  ),
  UPPER(primer) &amp; "" "" &amp; UPPER(iniciales)
))"),"")</f>
        <v/>
      </c>
      <c r="J236" s="33" t="str">
        <f>IFERROR(__xludf.DUMMYFUNCTION("IF(H236="""","""",IFERROR(
IF(REGEXMATCH(E236,""VELOCIDAD""),
   IF(H236&gt;=MAX(INDEX(BAREMOS!F:X,MATCH(1,(BAREMOS!A:A=A236)*(BAREMOS!B:B=B236)*(BAREMOS!C:C=C236)*(BAREMOS!D:D=D236),0),0)),1,
      IF(H236&lt;=MIN(INDEX(BAREMOS!F:X,MATCH(1,(BAREMOS!A:A=A236)*("&amp;"BAREMOS!B:B=B236)*(BAREMOS!C:C=C236)*(BAREMOS!D:D=D236),0),0)),19,
         MATCH(H236,INDEX(BAREMOS!F:X,MATCH(1,(BAREMOS!A:A=A236)*(BAREMOS!B:B=B236)*(BAREMOS!C:C=C236)*(BAREMOS!D:D=D236),0),0),-1)
      )
   ),
   IF(H236&lt;=MIN(INDEX(BAREMOS!F:X,MATCH(1,"&amp;"(BAREMOS!A:A=A236)*(BAREMOS!B:B=B236)*(BAREMOS!C:C=C236)*(BAREMOS!D:D=D236),0),0)),1,
      IF(H236&gt;=MAX(INDEX(BAREMOS!F:X,MATCH(1,(BAREMOS!A:A=A236)*(BAREMOS!B:B=B236)*(BAREMOS!C:C=C236)*(BAREMOS!D:D=D236),0),0)),19,
         MATCH(H236,INDEX(BAREMOS!F:X"&amp;",MATCH(1,(BAREMOS!A:A=A236)*(BAREMOS!B:B=B236)*(BAREMOS!C:C=C236)*(BAREMOS!D:D=D236),0),0),1)
      )
   )
)
,""""))
"),"")</f>
        <v/>
      </c>
      <c r="K236" s="34" t="str">
        <f t="shared" si="1"/>
        <v/>
      </c>
      <c r="L236" s="16"/>
      <c r="M236" s="16"/>
      <c r="N236" s="16"/>
      <c r="O236" s="16"/>
      <c r="P236" s="16"/>
      <c r="Q236" s="16"/>
      <c r="R236" s="16"/>
      <c r="S236" s="16"/>
      <c r="T236" s="16"/>
      <c r="U236" s="16"/>
      <c r="V236" s="16"/>
      <c r="W236" s="16"/>
      <c r="X236" s="16"/>
      <c r="Y236" s="16"/>
      <c r="Z236" s="16"/>
      <c r="AA236" s="16"/>
      <c r="AB236" s="16"/>
      <c r="AC236" s="16"/>
    </row>
    <row r="237">
      <c r="A237" s="22" t="str">
        <f t="array" ref="A237">IF(E237="","",IFERROR(INDEX(CONFIGURACION!C:C,MATCH(E237,CONFIGURACION!E:E,0)),""))
</f>
        <v/>
      </c>
      <c r="B237" s="22" t="str">
        <f t="array" ref="B237">IF(E237="","",IFERROR(INDEX(CONFIGURACION!D:D,MATCH(E237,CONFIGURACION!E:E,0)),""))
</f>
        <v/>
      </c>
      <c r="C237" s="31"/>
      <c r="D237" s="9"/>
      <c r="E237" s="6"/>
      <c r="F237" s="24"/>
      <c r="G237" s="9"/>
      <c r="H237" s="32"/>
      <c r="I237" s="33" t="str">
        <f>IFERROR(__xludf.DUMMYFUNCTION("IF(F237="""","""",LET(
  nombre, TRIM(F237),
  primer, REGEXEXTRACT(nombre, ""^\S+""),
  resto, TRIM(REGEXREPLACE(nombre, ""^\S+\s*"", """")),
  iniciales, IF(
    resto="""",
    """",
    TEXTJOIN("""",1,ARRAYFORMULA(LEFT(SPLIT(resto,"" ""),1) &amp; "".""))"&amp;"
  ),
  UPPER(primer) &amp; "" "" &amp; UPPER(iniciales)
))"),"")</f>
        <v/>
      </c>
      <c r="J237" s="33" t="str">
        <f>IFERROR(__xludf.DUMMYFUNCTION("IF(H237="""","""",IFERROR(
IF(REGEXMATCH(E237,""VELOCIDAD""),
   IF(H237&gt;=MAX(INDEX(BAREMOS!F:X,MATCH(1,(BAREMOS!A:A=A237)*(BAREMOS!B:B=B237)*(BAREMOS!C:C=C237)*(BAREMOS!D:D=D237),0),0)),1,
      IF(H237&lt;=MIN(INDEX(BAREMOS!F:X,MATCH(1,(BAREMOS!A:A=A237)*("&amp;"BAREMOS!B:B=B237)*(BAREMOS!C:C=C237)*(BAREMOS!D:D=D237),0),0)),19,
         MATCH(H237,INDEX(BAREMOS!F:X,MATCH(1,(BAREMOS!A:A=A237)*(BAREMOS!B:B=B237)*(BAREMOS!C:C=C237)*(BAREMOS!D:D=D237),0),0),-1)
      )
   ),
   IF(H237&lt;=MIN(INDEX(BAREMOS!F:X,MATCH(1,"&amp;"(BAREMOS!A:A=A237)*(BAREMOS!B:B=B237)*(BAREMOS!C:C=C237)*(BAREMOS!D:D=D237),0),0)),1,
      IF(H237&gt;=MAX(INDEX(BAREMOS!F:X,MATCH(1,(BAREMOS!A:A=A237)*(BAREMOS!B:B=B237)*(BAREMOS!C:C=C237)*(BAREMOS!D:D=D237),0),0)),19,
         MATCH(H237,INDEX(BAREMOS!F:X"&amp;",MATCH(1,(BAREMOS!A:A=A237)*(BAREMOS!B:B=B237)*(BAREMOS!C:C=C237)*(BAREMOS!D:D=D237),0),0),1)
      )
   )
)
,""""))
"),"")</f>
        <v/>
      </c>
      <c r="K237" s="34" t="str">
        <f t="shared" si="1"/>
        <v/>
      </c>
      <c r="L237" s="16"/>
      <c r="M237" s="16"/>
      <c r="N237" s="16"/>
      <c r="O237" s="16"/>
      <c r="P237" s="16"/>
      <c r="Q237" s="16"/>
      <c r="R237" s="16"/>
      <c r="S237" s="16"/>
      <c r="T237" s="16"/>
      <c r="U237" s="16"/>
      <c r="V237" s="16"/>
      <c r="W237" s="16"/>
      <c r="X237" s="16"/>
      <c r="Y237" s="16"/>
      <c r="Z237" s="16"/>
      <c r="AA237" s="16"/>
      <c r="AB237" s="16"/>
      <c r="AC237" s="16"/>
    </row>
    <row r="238">
      <c r="A238" s="22" t="str">
        <f t="array" ref="A238">IF(E238="","",IFERROR(INDEX(CONFIGURACION!C:C,MATCH(E238,CONFIGURACION!E:E,0)),""))
</f>
        <v/>
      </c>
      <c r="B238" s="22" t="str">
        <f t="array" ref="B238">IF(E238="","",IFERROR(INDEX(CONFIGURACION!D:D,MATCH(E238,CONFIGURACION!E:E,0)),""))
</f>
        <v/>
      </c>
      <c r="C238" s="31"/>
      <c r="D238" s="9"/>
      <c r="E238" s="6"/>
      <c r="F238" s="24"/>
      <c r="G238" s="9"/>
      <c r="H238" s="32"/>
      <c r="I238" s="33" t="str">
        <f>IFERROR(__xludf.DUMMYFUNCTION("IF(F238="""","""",LET(
  nombre, TRIM(F238),
  primer, REGEXEXTRACT(nombre, ""^\S+""),
  resto, TRIM(REGEXREPLACE(nombre, ""^\S+\s*"", """")),
  iniciales, IF(
    resto="""",
    """",
    TEXTJOIN("""",1,ARRAYFORMULA(LEFT(SPLIT(resto,"" ""),1) &amp; "".""))"&amp;"
  ),
  UPPER(primer) &amp; "" "" &amp; UPPER(iniciales)
))"),"")</f>
        <v/>
      </c>
      <c r="J238" s="33" t="str">
        <f>IFERROR(__xludf.DUMMYFUNCTION("IF(H238="""","""",IFERROR(
IF(REGEXMATCH(E238,""VELOCIDAD""),
   IF(H238&gt;=MAX(INDEX(BAREMOS!F:X,MATCH(1,(BAREMOS!A:A=A238)*(BAREMOS!B:B=B238)*(BAREMOS!C:C=C238)*(BAREMOS!D:D=D238),0),0)),1,
      IF(H238&lt;=MIN(INDEX(BAREMOS!F:X,MATCH(1,(BAREMOS!A:A=A238)*("&amp;"BAREMOS!B:B=B238)*(BAREMOS!C:C=C238)*(BAREMOS!D:D=D238),0),0)),19,
         MATCH(H238,INDEX(BAREMOS!F:X,MATCH(1,(BAREMOS!A:A=A238)*(BAREMOS!B:B=B238)*(BAREMOS!C:C=C238)*(BAREMOS!D:D=D238),0),0),-1)
      )
   ),
   IF(H238&lt;=MIN(INDEX(BAREMOS!F:X,MATCH(1,"&amp;"(BAREMOS!A:A=A238)*(BAREMOS!B:B=B238)*(BAREMOS!C:C=C238)*(BAREMOS!D:D=D238),0),0)),1,
      IF(H238&gt;=MAX(INDEX(BAREMOS!F:X,MATCH(1,(BAREMOS!A:A=A238)*(BAREMOS!B:B=B238)*(BAREMOS!C:C=C238)*(BAREMOS!D:D=D238),0),0)),19,
         MATCH(H238,INDEX(BAREMOS!F:X"&amp;",MATCH(1,(BAREMOS!A:A=A238)*(BAREMOS!B:B=B238)*(BAREMOS!C:C=C238)*(BAREMOS!D:D=D238),0),0),1)
      )
   )
)
,""""))
"),"")</f>
        <v/>
      </c>
      <c r="K238" s="34" t="str">
        <f t="shared" si="1"/>
        <v/>
      </c>
      <c r="L238" s="16"/>
      <c r="M238" s="16"/>
      <c r="N238" s="16"/>
      <c r="O238" s="16"/>
      <c r="P238" s="16"/>
      <c r="Q238" s="16"/>
      <c r="R238" s="16"/>
      <c r="S238" s="16"/>
      <c r="T238" s="16"/>
      <c r="U238" s="16"/>
      <c r="V238" s="16"/>
      <c r="W238" s="16"/>
      <c r="X238" s="16"/>
      <c r="Y238" s="16"/>
      <c r="Z238" s="16"/>
      <c r="AA238" s="16"/>
      <c r="AB238" s="16"/>
      <c r="AC238" s="16"/>
    </row>
    <row r="239">
      <c r="A239" s="22" t="str">
        <f t="array" ref="A239">IF(E239="","",IFERROR(INDEX(CONFIGURACION!C:C,MATCH(E239,CONFIGURACION!E:E,0)),""))
</f>
        <v/>
      </c>
      <c r="B239" s="22" t="str">
        <f t="array" ref="B239">IF(E239="","",IFERROR(INDEX(CONFIGURACION!D:D,MATCH(E239,CONFIGURACION!E:E,0)),""))
</f>
        <v/>
      </c>
      <c r="C239" s="31"/>
      <c r="D239" s="9"/>
      <c r="E239" s="6"/>
      <c r="F239" s="24"/>
      <c r="G239" s="9"/>
      <c r="H239" s="32"/>
      <c r="I239" s="33" t="str">
        <f>IFERROR(__xludf.DUMMYFUNCTION("IF(F239="""","""",LET(
  nombre, TRIM(F239),
  primer, REGEXEXTRACT(nombre, ""^\S+""),
  resto, TRIM(REGEXREPLACE(nombre, ""^\S+\s*"", """")),
  iniciales, IF(
    resto="""",
    """",
    TEXTJOIN("""",1,ARRAYFORMULA(LEFT(SPLIT(resto,"" ""),1) &amp; "".""))"&amp;"
  ),
  UPPER(primer) &amp; "" "" &amp; UPPER(iniciales)
))"),"")</f>
        <v/>
      </c>
      <c r="J239" s="33" t="str">
        <f>IFERROR(__xludf.DUMMYFUNCTION("IF(H239="""","""",IFERROR(
IF(REGEXMATCH(E239,""VELOCIDAD""),
   IF(H239&gt;=MAX(INDEX(BAREMOS!F:X,MATCH(1,(BAREMOS!A:A=A239)*(BAREMOS!B:B=B239)*(BAREMOS!C:C=C239)*(BAREMOS!D:D=D239),0),0)),1,
      IF(H239&lt;=MIN(INDEX(BAREMOS!F:X,MATCH(1,(BAREMOS!A:A=A239)*("&amp;"BAREMOS!B:B=B239)*(BAREMOS!C:C=C239)*(BAREMOS!D:D=D239),0),0)),19,
         MATCH(H239,INDEX(BAREMOS!F:X,MATCH(1,(BAREMOS!A:A=A239)*(BAREMOS!B:B=B239)*(BAREMOS!C:C=C239)*(BAREMOS!D:D=D239),0),0),-1)
      )
   ),
   IF(H239&lt;=MIN(INDEX(BAREMOS!F:X,MATCH(1,"&amp;"(BAREMOS!A:A=A239)*(BAREMOS!B:B=B239)*(BAREMOS!C:C=C239)*(BAREMOS!D:D=D239),0),0)),1,
      IF(H239&gt;=MAX(INDEX(BAREMOS!F:X,MATCH(1,(BAREMOS!A:A=A239)*(BAREMOS!B:B=B239)*(BAREMOS!C:C=C239)*(BAREMOS!D:D=D239),0),0)),19,
         MATCH(H239,INDEX(BAREMOS!F:X"&amp;",MATCH(1,(BAREMOS!A:A=A239)*(BAREMOS!B:B=B239)*(BAREMOS!C:C=C239)*(BAREMOS!D:D=D239),0),0),1)
      )
   )
)
,""""))
"),"")</f>
        <v/>
      </c>
      <c r="K239" s="34" t="str">
        <f t="shared" si="1"/>
        <v/>
      </c>
      <c r="L239" s="16"/>
      <c r="M239" s="16"/>
      <c r="N239" s="16"/>
      <c r="O239" s="16"/>
      <c r="P239" s="16"/>
      <c r="Q239" s="16"/>
      <c r="R239" s="16"/>
      <c r="S239" s="16"/>
      <c r="T239" s="16"/>
      <c r="U239" s="16"/>
      <c r="V239" s="16"/>
      <c r="W239" s="16"/>
      <c r="X239" s="16"/>
      <c r="Y239" s="16"/>
      <c r="Z239" s="16"/>
      <c r="AA239" s="16"/>
      <c r="AB239" s="16"/>
      <c r="AC239" s="16"/>
    </row>
    <row r="240">
      <c r="A240" s="22" t="str">
        <f t="array" ref="A240">IF(E240="","",IFERROR(INDEX(CONFIGURACION!C:C,MATCH(E240,CONFIGURACION!E:E,0)),""))
</f>
        <v/>
      </c>
      <c r="B240" s="22" t="str">
        <f t="array" ref="B240">IF(E240="","",IFERROR(INDEX(CONFIGURACION!D:D,MATCH(E240,CONFIGURACION!E:E,0)),""))
</f>
        <v/>
      </c>
      <c r="C240" s="31"/>
      <c r="D240" s="9"/>
      <c r="E240" s="6"/>
      <c r="F240" s="24"/>
      <c r="G240" s="9"/>
      <c r="H240" s="32"/>
      <c r="I240" s="33" t="str">
        <f>IFERROR(__xludf.DUMMYFUNCTION("IF(F240="""","""",LET(
  nombre, TRIM(F240),
  primer, REGEXEXTRACT(nombre, ""^\S+""),
  resto, TRIM(REGEXREPLACE(nombre, ""^\S+\s*"", """")),
  iniciales, IF(
    resto="""",
    """",
    TEXTJOIN("""",1,ARRAYFORMULA(LEFT(SPLIT(resto,"" ""),1) &amp; "".""))"&amp;"
  ),
  UPPER(primer) &amp; "" "" &amp; UPPER(iniciales)
))"),"")</f>
        <v/>
      </c>
      <c r="J240" s="33" t="str">
        <f>IFERROR(__xludf.DUMMYFUNCTION("IF(H240="""","""",IFERROR(
IF(REGEXMATCH(E240,""VELOCIDAD""),
   IF(H240&gt;=MAX(INDEX(BAREMOS!F:X,MATCH(1,(BAREMOS!A:A=A240)*(BAREMOS!B:B=B240)*(BAREMOS!C:C=C240)*(BAREMOS!D:D=D240),0),0)),1,
      IF(H240&lt;=MIN(INDEX(BAREMOS!F:X,MATCH(1,(BAREMOS!A:A=A240)*("&amp;"BAREMOS!B:B=B240)*(BAREMOS!C:C=C240)*(BAREMOS!D:D=D240),0),0)),19,
         MATCH(H240,INDEX(BAREMOS!F:X,MATCH(1,(BAREMOS!A:A=A240)*(BAREMOS!B:B=B240)*(BAREMOS!C:C=C240)*(BAREMOS!D:D=D240),0),0),-1)
      )
   ),
   IF(H240&lt;=MIN(INDEX(BAREMOS!F:X,MATCH(1,"&amp;"(BAREMOS!A:A=A240)*(BAREMOS!B:B=B240)*(BAREMOS!C:C=C240)*(BAREMOS!D:D=D240),0),0)),1,
      IF(H240&gt;=MAX(INDEX(BAREMOS!F:X,MATCH(1,(BAREMOS!A:A=A240)*(BAREMOS!B:B=B240)*(BAREMOS!C:C=C240)*(BAREMOS!D:D=D240),0),0)),19,
         MATCH(H240,INDEX(BAREMOS!F:X"&amp;",MATCH(1,(BAREMOS!A:A=A240)*(BAREMOS!B:B=B240)*(BAREMOS!C:C=C240)*(BAREMOS!D:D=D240),0),0),1)
      )
   )
)
,""""))
"),"")</f>
        <v/>
      </c>
      <c r="K240" s="34" t="str">
        <f t="shared" si="1"/>
        <v/>
      </c>
      <c r="L240" s="16"/>
      <c r="M240" s="16"/>
      <c r="N240" s="16"/>
      <c r="O240" s="16"/>
      <c r="P240" s="16"/>
      <c r="Q240" s="16"/>
      <c r="R240" s="16"/>
      <c r="S240" s="16"/>
      <c r="T240" s="16"/>
      <c r="U240" s="16"/>
      <c r="V240" s="16"/>
      <c r="W240" s="16"/>
      <c r="X240" s="16"/>
      <c r="Y240" s="16"/>
      <c r="Z240" s="16"/>
      <c r="AA240" s="16"/>
      <c r="AB240" s="16"/>
      <c r="AC240" s="16"/>
    </row>
    <row r="241">
      <c r="A241" s="22" t="str">
        <f t="array" ref="A241">IF(E241="","",IFERROR(INDEX(CONFIGURACION!C:C,MATCH(E241,CONFIGURACION!E:E,0)),""))
</f>
        <v/>
      </c>
      <c r="B241" s="22" t="str">
        <f t="array" ref="B241">IF(E241="","",IFERROR(INDEX(CONFIGURACION!D:D,MATCH(E241,CONFIGURACION!E:E,0)),""))
</f>
        <v/>
      </c>
      <c r="C241" s="31"/>
      <c r="D241" s="9"/>
      <c r="E241" s="6"/>
      <c r="F241" s="24"/>
      <c r="G241" s="9"/>
      <c r="H241" s="32"/>
      <c r="I241" s="33" t="str">
        <f>IFERROR(__xludf.DUMMYFUNCTION("IF(F241="""","""",LET(
  nombre, TRIM(F241),
  primer, REGEXEXTRACT(nombre, ""^\S+""),
  resto, TRIM(REGEXREPLACE(nombre, ""^\S+\s*"", """")),
  iniciales, IF(
    resto="""",
    """",
    TEXTJOIN("""",1,ARRAYFORMULA(LEFT(SPLIT(resto,"" ""),1) &amp; "".""))"&amp;"
  ),
  UPPER(primer) &amp; "" "" &amp; UPPER(iniciales)
))"),"")</f>
        <v/>
      </c>
      <c r="J241" s="33" t="str">
        <f>IFERROR(__xludf.DUMMYFUNCTION("IF(H241="""","""",IFERROR(
IF(REGEXMATCH(E241,""VELOCIDAD""),
   IF(H241&gt;=MAX(INDEX(BAREMOS!F:X,MATCH(1,(BAREMOS!A:A=A241)*(BAREMOS!B:B=B241)*(BAREMOS!C:C=C241)*(BAREMOS!D:D=D241),0),0)),1,
      IF(H241&lt;=MIN(INDEX(BAREMOS!F:X,MATCH(1,(BAREMOS!A:A=A241)*("&amp;"BAREMOS!B:B=B241)*(BAREMOS!C:C=C241)*(BAREMOS!D:D=D241),0),0)),19,
         MATCH(H241,INDEX(BAREMOS!F:X,MATCH(1,(BAREMOS!A:A=A241)*(BAREMOS!B:B=B241)*(BAREMOS!C:C=C241)*(BAREMOS!D:D=D241),0),0),-1)
      )
   ),
   IF(H241&lt;=MIN(INDEX(BAREMOS!F:X,MATCH(1,"&amp;"(BAREMOS!A:A=A241)*(BAREMOS!B:B=B241)*(BAREMOS!C:C=C241)*(BAREMOS!D:D=D241),0),0)),1,
      IF(H241&gt;=MAX(INDEX(BAREMOS!F:X,MATCH(1,(BAREMOS!A:A=A241)*(BAREMOS!B:B=B241)*(BAREMOS!C:C=C241)*(BAREMOS!D:D=D241),0),0)),19,
         MATCH(H241,INDEX(BAREMOS!F:X"&amp;",MATCH(1,(BAREMOS!A:A=A241)*(BAREMOS!B:B=B241)*(BAREMOS!C:C=C241)*(BAREMOS!D:D=D241),0),0),1)
      )
   )
)
,""""))
"),"")</f>
        <v/>
      </c>
      <c r="K241" s="34" t="str">
        <f t="shared" si="1"/>
        <v/>
      </c>
      <c r="L241" s="16"/>
      <c r="M241" s="16"/>
      <c r="N241" s="16"/>
      <c r="O241" s="16"/>
      <c r="P241" s="16"/>
      <c r="Q241" s="16"/>
      <c r="R241" s="16"/>
      <c r="S241" s="16"/>
      <c r="T241" s="16"/>
      <c r="U241" s="16"/>
      <c r="V241" s="16"/>
      <c r="W241" s="16"/>
      <c r="X241" s="16"/>
      <c r="Y241" s="16"/>
      <c r="Z241" s="16"/>
      <c r="AA241" s="16"/>
      <c r="AB241" s="16"/>
      <c r="AC241" s="16"/>
    </row>
    <row r="242">
      <c r="A242" s="22" t="str">
        <f t="array" ref="A242">IF(E242="","",IFERROR(INDEX(CONFIGURACION!C:C,MATCH(E242,CONFIGURACION!E:E,0)),""))
</f>
        <v/>
      </c>
      <c r="B242" s="22" t="str">
        <f t="array" ref="B242">IF(E242="","",IFERROR(INDEX(CONFIGURACION!D:D,MATCH(E242,CONFIGURACION!E:E,0)),""))
</f>
        <v/>
      </c>
      <c r="C242" s="31"/>
      <c r="D242" s="9"/>
      <c r="E242" s="6"/>
      <c r="F242" s="24"/>
      <c r="G242" s="9"/>
      <c r="H242" s="32"/>
      <c r="I242" s="33" t="str">
        <f>IFERROR(__xludf.DUMMYFUNCTION("IF(F242="""","""",LET(
  nombre, TRIM(F242),
  primer, REGEXEXTRACT(nombre, ""^\S+""),
  resto, TRIM(REGEXREPLACE(nombre, ""^\S+\s*"", """")),
  iniciales, IF(
    resto="""",
    """",
    TEXTJOIN("""",1,ARRAYFORMULA(LEFT(SPLIT(resto,"" ""),1) &amp; "".""))"&amp;"
  ),
  UPPER(primer) &amp; "" "" &amp; UPPER(iniciales)
))"),"")</f>
        <v/>
      </c>
      <c r="J242" s="33" t="str">
        <f>IFERROR(__xludf.DUMMYFUNCTION("IF(H242="""","""",IFERROR(
IF(REGEXMATCH(E242,""VELOCIDAD""),
   IF(H242&gt;=MAX(INDEX(BAREMOS!F:X,MATCH(1,(BAREMOS!A:A=A242)*(BAREMOS!B:B=B242)*(BAREMOS!C:C=C242)*(BAREMOS!D:D=D242),0),0)),1,
      IF(H242&lt;=MIN(INDEX(BAREMOS!F:X,MATCH(1,(BAREMOS!A:A=A242)*("&amp;"BAREMOS!B:B=B242)*(BAREMOS!C:C=C242)*(BAREMOS!D:D=D242),0),0)),19,
         MATCH(H242,INDEX(BAREMOS!F:X,MATCH(1,(BAREMOS!A:A=A242)*(BAREMOS!B:B=B242)*(BAREMOS!C:C=C242)*(BAREMOS!D:D=D242),0),0),-1)
      )
   ),
   IF(H242&lt;=MIN(INDEX(BAREMOS!F:X,MATCH(1,"&amp;"(BAREMOS!A:A=A242)*(BAREMOS!B:B=B242)*(BAREMOS!C:C=C242)*(BAREMOS!D:D=D242),0),0)),1,
      IF(H242&gt;=MAX(INDEX(BAREMOS!F:X,MATCH(1,(BAREMOS!A:A=A242)*(BAREMOS!B:B=B242)*(BAREMOS!C:C=C242)*(BAREMOS!D:D=D242),0),0)),19,
         MATCH(H242,INDEX(BAREMOS!F:X"&amp;",MATCH(1,(BAREMOS!A:A=A242)*(BAREMOS!B:B=B242)*(BAREMOS!C:C=C242)*(BAREMOS!D:D=D242),0),0),1)
      )
   )
)
,""""))
"),"")</f>
        <v/>
      </c>
      <c r="K242" s="34" t="str">
        <f t="shared" si="1"/>
        <v/>
      </c>
      <c r="L242" s="16"/>
      <c r="M242" s="16"/>
      <c r="N242" s="16"/>
      <c r="O242" s="16"/>
      <c r="P242" s="16"/>
      <c r="Q242" s="16"/>
      <c r="R242" s="16"/>
      <c r="S242" s="16"/>
      <c r="T242" s="16"/>
      <c r="U242" s="16"/>
      <c r="V242" s="16"/>
      <c r="W242" s="16"/>
      <c r="X242" s="16"/>
      <c r="Y242" s="16"/>
      <c r="Z242" s="16"/>
      <c r="AA242" s="16"/>
      <c r="AB242" s="16"/>
      <c r="AC242" s="16"/>
    </row>
    <row r="243">
      <c r="A243" s="22" t="str">
        <f t="array" ref="A243">IF(E243="","",IFERROR(INDEX(CONFIGURACION!C:C,MATCH(E243,CONFIGURACION!E:E,0)),""))
</f>
        <v/>
      </c>
      <c r="B243" s="22" t="str">
        <f t="array" ref="B243">IF(E243="","",IFERROR(INDEX(CONFIGURACION!D:D,MATCH(E243,CONFIGURACION!E:E,0)),""))
</f>
        <v/>
      </c>
      <c r="C243" s="31"/>
      <c r="D243" s="9"/>
      <c r="E243" s="6"/>
      <c r="F243" s="24"/>
      <c r="G243" s="9"/>
      <c r="H243" s="32"/>
      <c r="I243" s="33" t="str">
        <f>IFERROR(__xludf.DUMMYFUNCTION("IF(F243="""","""",LET(
  nombre, TRIM(F243),
  primer, REGEXEXTRACT(nombre, ""^\S+""),
  resto, TRIM(REGEXREPLACE(nombre, ""^\S+\s*"", """")),
  iniciales, IF(
    resto="""",
    """",
    TEXTJOIN("""",1,ARRAYFORMULA(LEFT(SPLIT(resto,"" ""),1) &amp; "".""))"&amp;"
  ),
  UPPER(primer) &amp; "" "" &amp; UPPER(iniciales)
))"),"")</f>
        <v/>
      </c>
      <c r="J243" s="33" t="str">
        <f>IFERROR(__xludf.DUMMYFUNCTION("IF(H243="""","""",IFERROR(
IF(REGEXMATCH(E243,""VELOCIDAD""),
   IF(H243&gt;=MAX(INDEX(BAREMOS!F:X,MATCH(1,(BAREMOS!A:A=A243)*(BAREMOS!B:B=B243)*(BAREMOS!C:C=C243)*(BAREMOS!D:D=D243),0),0)),1,
      IF(H243&lt;=MIN(INDEX(BAREMOS!F:X,MATCH(1,(BAREMOS!A:A=A243)*("&amp;"BAREMOS!B:B=B243)*(BAREMOS!C:C=C243)*(BAREMOS!D:D=D243),0),0)),19,
         MATCH(H243,INDEX(BAREMOS!F:X,MATCH(1,(BAREMOS!A:A=A243)*(BAREMOS!B:B=B243)*(BAREMOS!C:C=C243)*(BAREMOS!D:D=D243),0),0),-1)
      )
   ),
   IF(H243&lt;=MIN(INDEX(BAREMOS!F:X,MATCH(1,"&amp;"(BAREMOS!A:A=A243)*(BAREMOS!B:B=B243)*(BAREMOS!C:C=C243)*(BAREMOS!D:D=D243),0),0)),1,
      IF(H243&gt;=MAX(INDEX(BAREMOS!F:X,MATCH(1,(BAREMOS!A:A=A243)*(BAREMOS!B:B=B243)*(BAREMOS!C:C=C243)*(BAREMOS!D:D=D243),0),0)),19,
         MATCH(H243,INDEX(BAREMOS!F:X"&amp;",MATCH(1,(BAREMOS!A:A=A243)*(BAREMOS!B:B=B243)*(BAREMOS!C:C=C243)*(BAREMOS!D:D=D243),0),0),1)
      )
   )
)
,""""))
"),"")</f>
        <v/>
      </c>
      <c r="K243" s="34" t="str">
        <f t="shared" si="1"/>
        <v/>
      </c>
      <c r="L243" s="16"/>
      <c r="M243" s="16"/>
      <c r="N243" s="16"/>
      <c r="O243" s="16"/>
      <c r="P243" s="16"/>
      <c r="Q243" s="16"/>
      <c r="R243" s="16"/>
      <c r="S243" s="16"/>
      <c r="T243" s="16"/>
      <c r="U243" s="16"/>
      <c r="V243" s="16"/>
      <c r="W243" s="16"/>
      <c r="X243" s="16"/>
      <c r="Y243" s="16"/>
      <c r="Z243" s="16"/>
      <c r="AA243" s="16"/>
      <c r="AB243" s="16"/>
      <c r="AC243" s="16"/>
    </row>
    <row r="244">
      <c r="A244" s="22" t="str">
        <f t="array" ref="A244">IF(E244="","",IFERROR(INDEX(CONFIGURACION!C:C,MATCH(E244,CONFIGURACION!E:E,0)),""))
</f>
        <v/>
      </c>
      <c r="B244" s="22" t="str">
        <f t="array" ref="B244">IF(E244="","",IFERROR(INDEX(CONFIGURACION!D:D,MATCH(E244,CONFIGURACION!E:E,0)),""))
</f>
        <v/>
      </c>
      <c r="C244" s="31"/>
      <c r="D244" s="9"/>
      <c r="E244" s="6"/>
      <c r="F244" s="24"/>
      <c r="G244" s="9"/>
      <c r="H244" s="32"/>
      <c r="I244" s="33" t="str">
        <f>IFERROR(__xludf.DUMMYFUNCTION("IF(F244="""","""",LET(
  nombre, TRIM(F244),
  primer, REGEXEXTRACT(nombre, ""^\S+""),
  resto, TRIM(REGEXREPLACE(nombre, ""^\S+\s*"", """")),
  iniciales, IF(
    resto="""",
    """",
    TEXTJOIN("""",1,ARRAYFORMULA(LEFT(SPLIT(resto,"" ""),1) &amp; "".""))"&amp;"
  ),
  UPPER(primer) &amp; "" "" &amp; UPPER(iniciales)
))"),"")</f>
        <v/>
      </c>
      <c r="J244" s="33" t="str">
        <f>IFERROR(__xludf.DUMMYFUNCTION("IF(H244="""","""",IFERROR(
IF(REGEXMATCH(E244,""VELOCIDAD""),
   IF(H244&gt;=MAX(INDEX(BAREMOS!F:X,MATCH(1,(BAREMOS!A:A=A244)*(BAREMOS!B:B=B244)*(BAREMOS!C:C=C244)*(BAREMOS!D:D=D244),0),0)),1,
      IF(H244&lt;=MIN(INDEX(BAREMOS!F:X,MATCH(1,(BAREMOS!A:A=A244)*("&amp;"BAREMOS!B:B=B244)*(BAREMOS!C:C=C244)*(BAREMOS!D:D=D244),0),0)),19,
         MATCH(H244,INDEX(BAREMOS!F:X,MATCH(1,(BAREMOS!A:A=A244)*(BAREMOS!B:B=B244)*(BAREMOS!C:C=C244)*(BAREMOS!D:D=D244),0),0),-1)
      )
   ),
   IF(H244&lt;=MIN(INDEX(BAREMOS!F:X,MATCH(1,"&amp;"(BAREMOS!A:A=A244)*(BAREMOS!B:B=B244)*(BAREMOS!C:C=C244)*(BAREMOS!D:D=D244),0),0)),1,
      IF(H244&gt;=MAX(INDEX(BAREMOS!F:X,MATCH(1,(BAREMOS!A:A=A244)*(BAREMOS!B:B=B244)*(BAREMOS!C:C=C244)*(BAREMOS!D:D=D244),0),0)),19,
         MATCH(H244,INDEX(BAREMOS!F:X"&amp;",MATCH(1,(BAREMOS!A:A=A244)*(BAREMOS!B:B=B244)*(BAREMOS!C:C=C244)*(BAREMOS!D:D=D244),0),0),1)
      )
   )
)
,""""))
"),"")</f>
        <v/>
      </c>
      <c r="K244" s="34" t="str">
        <f t="shared" si="1"/>
        <v/>
      </c>
      <c r="L244" s="16"/>
      <c r="M244" s="16"/>
      <c r="N244" s="16"/>
      <c r="O244" s="16"/>
      <c r="P244" s="16"/>
      <c r="Q244" s="16"/>
      <c r="R244" s="16"/>
      <c r="S244" s="16"/>
      <c r="T244" s="16"/>
      <c r="U244" s="16"/>
      <c r="V244" s="16"/>
      <c r="W244" s="16"/>
      <c r="X244" s="16"/>
      <c r="Y244" s="16"/>
      <c r="Z244" s="16"/>
      <c r="AA244" s="16"/>
      <c r="AB244" s="16"/>
      <c r="AC244" s="16"/>
    </row>
    <row r="245">
      <c r="A245" s="22" t="str">
        <f t="array" ref="A245">IF(E245="","",IFERROR(INDEX(CONFIGURACION!C:C,MATCH(E245,CONFIGURACION!E:E,0)),""))
</f>
        <v/>
      </c>
      <c r="B245" s="22" t="str">
        <f t="array" ref="B245">IF(E245="","",IFERROR(INDEX(CONFIGURACION!D:D,MATCH(E245,CONFIGURACION!E:E,0)),""))
</f>
        <v/>
      </c>
      <c r="C245" s="31"/>
      <c r="D245" s="9"/>
      <c r="E245" s="6"/>
      <c r="F245" s="24"/>
      <c r="G245" s="9"/>
      <c r="H245" s="32"/>
      <c r="I245" s="33" t="str">
        <f>IFERROR(__xludf.DUMMYFUNCTION("IF(F245="""","""",LET(
  nombre, TRIM(F245),
  primer, REGEXEXTRACT(nombre, ""^\S+""),
  resto, TRIM(REGEXREPLACE(nombre, ""^\S+\s*"", """")),
  iniciales, IF(
    resto="""",
    """",
    TEXTJOIN("""",1,ARRAYFORMULA(LEFT(SPLIT(resto,"" ""),1) &amp; "".""))"&amp;"
  ),
  UPPER(primer) &amp; "" "" &amp; UPPER(iniciales)
))"),"")</f>
        <v/>
      </c>
      <c r="J245" s="33" t="str">
        <f>IFERROR(__xludf.DUMMYFUNCTION("IF(H245="""","""",IFERROR(
IF(REGEXMATCH(E245,""VELOCIDAD""),
   IF(H245&gt;=MAX(INDEX(BAREMOS!F:X,MATCH(1,(BAREMOS!A:A=A245)*(BAREMOS!B:B=B245)*(BAREMOS!C:C=C245)*(BAREMOS!D:D=D245),0),0)),1,
      IF(H245&lt;=MIN(INDEX(BAREMOS!F:X,MATCH(1,(BAREMOS!A:A=A245)*("&amp;"BAREMOS!B:B=B245)*(BAREMOS!C:C=C245)*(BAREMOS!D:D=D245),0),0)),19,
         MATCH(H245,INDEX(BAREMOS!F:X,MATCH(1,(BAREMOS!A:A=A245)*(BAREMOS!B:B=B245)*(BAREMOS!C:C=C245)*(BAREMOS!D:D=D245),0),0),-1)
      )
   ),
   IF(H245&lt;=MIN(INDEX(BAREMOS!F:X,MATCH(1,"&amp;"(BAREMOS!A:A=A245)*(BAREMOS!B:B=B245)*(BAREMOS!C:C=C245)*(BAREMOS!D:D=D245),0),0)),1,
      IF(H245&gt;=MAX(INDEX(BAREMOS!F:X,MATCH(1,(BAREMOS!A:A=A245)*(BAREMOS!B:B=B245)*(BAREMOS!C:C=C245)*(BAREMOS!D:D=D245),0),0)),19,
         MATCH(H245,INDEX(BAREMOS!F:X"&amp;",MATCH(1,(BAREMOS!A:A=A245)*(BAREMOS!B:B=B245)*(BAREMOS!C:C=C245)*(BAREMOS!D:D=D245),0),0),1)
      )
   )
)
,""""))
"),"")</f>
        <v/>
      </c>
      <c r="K245" s="34" t="str">
        <f t="shared" si="1"/>
        <v/>
      </c>
      <c r="L245" s="16"/>
      <c r="M245" s="16"/>
      <c r="N245" s="16"/>
      <c r="O245" s="16"/>
      <c r="P245" s="16"/>
      <c r="Q245" s="16"/>
      <c r="R245" s="16"/>
      <c r="S245" s="16"/>
      <c r="T245" s="16"/>
      <c r="U245" s="16"/>
      <c r="V245" s="16"/>
      <c r="W245" s="16"/>
      <c r="X245" s="16"/>
      <c r="Y245" s="16"/>
      <c r="Z245" s="16"/>
      <c r="AA245" s="16"/>
      <c r="AB245" s="16"/>
      <c r="AC245" s="16"/>
    </row>
    <row r="246">
      <c r="A246" s="22" t="str">
        <f t="array" ref="A246">IF(E246="","",IFERROR(INDEX(CONFIGURACION!C:C,MATCH(E246,CONFIGURACION!E:E,0)),""))
</f>
        <v/>
      </c>
      <c r="B246" s="22" t="str">
        <f t="array" ref="B246">IF(E246="","",IFERROR(INDEX(CONFIGURACION!D:D,MATCH(E246,CONFIGURACION!E:E,0)),""))
</f>
        <v/>
      </c>
      <c r="C246" s="31"/>
      <c r="D246" s="9"/>
      <c r="E246" s="6"/>
      <c r="F246" s="24"/>
      <c r="G246" s="9"/>
      <c r="H246" s="32"/>
      <c r="I246" s="33" t="str">
        <f>IFERROR(__xludf.DUMMYFUNCTION("IF(F246="""","""",LET(
  nombre, TRIM(F246),
  primer, REGEXEXTRACT(nombre, ""^\S+""),
  resto, TRIM(REGEXREPLACE(nombre, ""^\S+\s*"", """")),
  iniciales, IF(
    resto="""",
    """",
    TEXTJOIN("""",1,ARRAYFORMULA(LEFT(SPLIT(resto,"" ""),1) &amp; "".""))"&amp;"
  ),
  UPPER(primer) &amp; "" "" &amp; UPPER(iniciales)
))"),"")</f>
        <v/>
      </c>
      <c r="J246" s="33" t="str">
        <f>IFERROR(__xludf.DUMMYFUNCTION("IF(H246="""","""",IFERROR(
IF(REGEXMATCH(E246,""VELOCIDAD""),
   IF(H246&gt;=MAX(INDEX(BAREMOS!F:X,MATCH(1,(BAREMOS!A:A=A246)*(BAREMOS!B:B=B246)*(BAREMOS!C:C=C246)*(BAREMOS!D:D=D246),0),0)),1,
      IF(H246&lt;=MIN(INDEX(BAREMOS!F:X,MATCH(1,(BAREMOS!A:A=A246)*("&amp;"BAREMOS!B:B=B246)*(BAREMOS!C:C=C246)*(BAREMOS!D:D=D246),0),0)),19,
         MATCH(H246,INDEX(BAREMOS!F:X,MATCH(1,(BAREMOS!A:A=A246)*(BAREMOS!B:B=B246)*(BAREMOS!C:C=C246)*(BAREMOS!D:D=D246),0),0),-1)
      )
   ),
   IF(H246&lt;=MIN(INDEX(BAREMOS!F:X,MATCH(1,"&amp;"(BAREMOS!A:A=A246)*(BAREMOS!B:B=B246)*(BAREMOS!C:C=C246)*(BAREMOS!D:D=D246),0),0)),1,
      IF(H246&gt;=MAX(INDEX(BAREMOS!F:X,MATCH(1,(BAREMOS!A:A=A246)*(BAREMOS!B:B=B246)*(BAREMOS!C:C=C246)*(BAREMOS!D:D=D246),0),0)),19,
         MATCH(H246,INDEX(BAREMOS!F:X"&amp;",MATCH(1,(BAREMOS!A:A=A246)*(BAREMOS!B:B=B246)*(BAREMOS!C:C=C246)*(BAREMOS!D:D=D246),0),0),1)
      )
   )
)
,""""))
"),"")</f>
        <v/>
      </c>
      <c r="K246" s="34" t="str">
        <f t="shared" si="1"/>
        <v/>
      </c>
      <c r="L246" s="16"/>
      <c r="M246" s="16"/>
      <c r="N246" s="16"/>
      <c r="O246" s="16"/>
      <c r="P246" s="16"/>
      <c r="Q246" s="16"/>
      <c r="R246" s="16"/>
      <c r="S246" s="16"/>
      <c r="T246" s="16"/>
      <c r="U246" s="16"/>
      <c r="V246" s="16"/>
      <c r="W246" s="16"/>
      <c r="X246" s="16"/>
      <c r="Y246" s="16"/>
      <c r="Z246" s="16"/>
      <c r="AA246" s="16"/>
      <c r="AB246" s="16"/>
      <c r="AC246" s="16"/>
    </row>
    <row r="247">
      <c r="A247" s="22" t="str">
        <f t="array" ref="A247">IF(E247="","",IFERROR(INDEX(CONFIGURACION!C:C,MATCH(E247,CONFIGURACION!E:E,0)),""))
</f>
        <v/>
      </c>
      <c r="B247" s="22" t="str">
        <f t="array" ref="B247">IF(E247="","",IFERROR(INDEX(CONFIGURACION!D:D,MATCH(E247,CONFIGURACION!E:E,0)),""))
</f>
        <v/>
      </c>
      <c r="C247" s="31"/>
      <c r="D247" s="9"/>
      <c r="E247" s="6"/>
      <c r="F247" s="24"/>
      <c r="G247" s="9"/>
      <c r="H247" s="32"/>
      <c r="I247" s="33" t="str">
        <f>IFERROR(__xludf.DUMMYFUNCTION("IF(F247="""","""",LET(
  nombre, TRIM(F247),
  primer, REGEXEXTRACT(nombre, ""^\S+""),
  resto, TRIM(REGEXREPLACE(nombre, ""^\S+\s*"", """")),
  iniciales, IF(
    resto="""",
    """",
    TEXTJOIN("""",1,ARRAYFORMULA(LEFT(SPLIT(resto,"" ""),1) &amp; "".""))"&amp;"
  ),
  UPPER(primer) &amp; "" "" &amp; UPPER(iniciales)
))"),"")</f>
        <v/>
      </c>
      <c r="J247" s="33" t="str">
        <f>IFERROR(__xludf.DUMMYFUNCTION("IF(H247="""","""",IFERROR(
IF(REGEXMATCH(E247,""VELOCIDAD""),
   IF(H247&gt;=MAX(INDEX(BAREMOS!F:X,MATCH(1,(BAREMOS!A:A=A247)*(BAREMOS!B:B=B247)*(BAREMOS!C:C=C247)*(BAREMOS!D:D=D247),0),0)),1,
      IF(H247&lt;=MIN(INDEX(BAREMOS!F:X,MATCH(1,(BAREMOS!A:A=A247)*("&amp;"BAREMOS!B:B=B247)*(BAREMOS!C:C=C247)*(BAREMOS!D:D=D247),0),0)),19,
         MATCH(H247,INDEX(BAREMOS!F:X,MATCH(1,(BAREMOS!A:A=A247)*(BAREMOS!B:B=B247)*(BAREMOS!C:C=C247)*(BAREMOS!D:D=D247),0),0),-1)
      )
   ),
   IF(H247&lt;=MIN(INDEX(BAREMOS!F:X,MATCH(1,"&amp;"(BAREMOS!A:A=A247)*(BAREMOS!B:B=B247)*(BAREMOS!C:C=C247)*(BAREMOS!D:D=D247),0),0)),1,
      IF(H247&gt;=MAX(INDEX(BAREMOS!F:X,MATCH(1,(BAREMOS!A:A=A247)*(BAREMOS!B:B=B247)*(BAREMOS!C:C=C247)*(BAREMOS!D:D=D247),0),0)),19,
         MATCH(H247,INDEX(BAREMOS!F:X"&amp;",MATCH(1,(BAREMOS!A:A=A247)*(BAREMOS!B:B=B247)*(BAREMOS!C:C=C247)*(BAREMOS!D:D=D247),0),0),1)
      )
   )
)
,""""))
"),"")</f>
        <v/>
      </c>
      <c r="K247" s="34" t="str">
        <f t="shared" si="1"/>
        <v/>
      </c>
      <c r="L247" s="16"/>
      <c r="M247" s="16"/>
      <c r="N247" s="16"/>
      <c r="O247" s="16"/>
      <c r="P247" s="16"/>
      <c r="Q247" s="16"/>
      <c r="R247" s="16"/>
      <c r="S247" s="16"/>
      <c r="T247" s="16"/>
      <c r="U247" s="16"/>
      <c r="V247" s="16"/>
      <c r="W247" s="16"/>
      <c r="X247" s="16"/>
      <c r="Y247" s="16"/>
      <c r="Z247" s="16"/>
      <c r="AA247" s="16"/>
      <c r="AB247" s="16"/>
      <c r="AC247" s="16"/>
    </row>
    <row r="248">
      <c r="A248" s="22" t="str">
        <f t="array" ref="A248">IF(E248="","",IFERROR(INDEX(CONFIGURACION!C:C,MATCH(E248,CONFIGURACION!E:E,0)),""))
</f>
        <v/>
      </c>
      <c r="B248" s="22" t="str">
        <f t="array" ref="B248">IF(E248="","",IFERROR(INDEX(CONFIGURACION!D:D,MATCH(E248,CONFIGURACION!E:E,0)),""))
</f>
        <v/>
      </c>
      <c r="C248" s="31"/>
      <c r="D248" s="9"/>
      <c r="E248" s="6"/>
      <c r="F248" s="24"/>
      <c r="G248" s="9"/>
      <c r="H248" s="32"/>
      <c r="I248" s="33" t="str">
        <f>IFERROR(__xludf.DUMMYFUNCTION("IF(F248="""","""",LET(
  nombre, TRIM(F248),
  primer, REGEXEXTRACT(nombre, ""^\S+""),
  resto, TRIM(REGEXREPLACE(nombre, ""^\S+\s*"", """")),
  iniciales, IF(
    resto="""",
    """",
    TEXTJOIN("""",1,ARRAYFORMULA(LEFT(SPLIT(resto,"" ""),1) &amp; "".""))"&amp;"
  ),
  UPPER(primer) &amp; "" "" &amp; UPPER(iniciales)
))"),"")</f>
        <v/>
      </c>
      <c r="J248" s="33" t="str">
        <f>IFERROR(__xludf.DUMMYFUNCTION("IF(H248="""","""",IFERROR(
IF(REGEXMATCH(E248,""VELOCIDAD""),
   IF(H248&gt;=MAX(INDEX(BAREMOS!F:X,MATCH(1,(BAREMOS!A:A=A248)*(BAREMOS!B:B=B248)*(BAREMOS!C:C=C248)*(BAREMOS!D:D=D248),0),0)),1,
      IF(H248&lt;=MIN(INDEX(BAREMOS!F:X,MATCH(1,(BAREMOS!A:A=A248)*("&amp;"BAREMOS!B:B=B248)*(BAREMOS!C:C=C248)*(BAREMOS!D:D=D248),0),0)),19,
         MATCH(H248,INDEX(BAREMOS!F:X,MATCH(1,(BAREMOS!A:A=A248)*(BAREMOS!B:B=B248)*(BAREMOS!C:C=C248)*(BAREMOS!D:D=D248),0),0),-1)
      )
   ),
   IF(H248&lt;=MIN(INDEX(BAREMOS!F:X,MATCH(1,"&amp;"(BAREMOS!A:A=A248)*(BAREMOS!B:B=B248)*(BAREMOS!C:C=C248)*(BAREMOS!D:D=D248),0),0)),1,
      IF(H248&gt;=MAX(INDEX(BAREMOS!F:X,MATCH(1,(BAREMOS!A:A=A248)*(BAREMOS!B:B=B248)*(BAREMOS!C:C=C248)*(BAREMOS!D:D=D248),0),0)),19,
         MATCH(H248,INDEX(BAREMOS!F:X"&amp;",MATCH(1,(BAREMOS!A:A=A248)*(BAREMOS!B:B=B248)*(BAREMOS!C:C=C248)*(BAREMOS!D:D=D248),0),0),1)
      )
   )
)
,""""))
"),"")</f>
        <v/>
      </c>
      <c r="K248" s="34" t="str">
        <f t="shared" si="1"/>
        <v/>
      </c>
      <c r="L248" s="16"/>
      <c r="M248" s="16"/>
      <c r="N248" s="16"/>
      <c r="O248" s="16"/>
      <c r="P248" s="16"/>
      <c r="Q248" s="16"/>
      <c r="R248" s="16"/>
      <c r="S248" s="16"/>
      <c r="T248" s="16"/>
      <c r="U248" s="16"/>
      <c r="V248" s="16"/>
      <c r="W248" s="16"/>
      <c r="X248" s="16"/>
      <c r="Y248" s="16"/>
      <c r="Z248" s="16"/>
      <c r="AA248" s="16"/>
      <c r="AB248" s="16"/>
      <c r="AC248" s="16"/>
    </row>
    <row r="249">
      <c r="A249" s="22" t="str">
        <f t="array" ref="A249">IF(E249="","",IFERROR(INDEX(CONFIGURACION!C:C,MATCH(E249,CONFIGURACION!E:E,0)),""))
</f>
        <v/>
      </c>
      <c r="B249" s="22" t="str">
        <f t="array" ref="B249">IF(E249="","",IFERROR(INDEX(CONFIGURACION!D:D,MATCH(E249,CONFIGURACION!E:E,0)),""))
</f>
        <v/>
      </c>
      <c r="C249" s="31"/>
      <c r="D249" s="9"/>
      <c r="E249" s="6"/>
      <c r="F249" s="24"/>
      <c r="G249" s="9"/>
      <c r="H249" s="32"/>
      <c r="I249" s="33" t="str">
        <f>IFERROR(__xludf.DUMMYFUNCTION("IF(F249="""","""",LET(
  nombre, TRIM(F249),
  primer, REGEXEXTRACT(nombre, ""^\S+""),
  resto, TRIM(REGEXREPLACE(nombre, ""^\S+\s*"", """")),
  iniciales, IF(
    resto="""",
    """",
    TEXTJOIN("""",1,ARRAYFORMULA(LEFT(SPLIT(resto,"" ""),1) &amp; "".""))"&amp;"
  ),
  UPPER(primer) &amp; "" "" &amp; UPPER(iniciales)
))"),"")</f>
        <v/>
      </c>
      <c r="J249" s="33" t="str">
        <f>IFERROR(__xludf.DUMMYFUNCTION("IF(H249="""","""",IFERROR(
IF(REGEXMATCH(E249,""VELOCIDAD""),
   IF(H249&gt;=MAX(INDEX(BAREMOS!F:X,MATCH(1,(BAREMOS!A:A=A249)*(BAREMOS!B:B=B249)*(BAREMOS!C:C=C249)*(BAREMOS!D:D=D249),0),0)),1,
      IF(H249&lt;=MIN(INDEX(BAREMOS!F:X,MATCH(1,(BAREMOS!A:A=A249)*("&amp;"BAREMOS!B:B=B249)*(BAREMOS!C:C=C249)*(BAREMOS!D:D=D249),0),0)),19,
         MATCH(H249,INDEX(BAREMOS!F:X,MATCH(1,(BAREMOS!A:A=A249)*(BAREMOS!B:B=B249)*(BAREMOS!C:C=C249)*(BAREMOS!D:D=D249),0),0),-1)
      )
   ),
   IF(H249&lt;=MIN(INDEX(BAREMOS!F:X,MATCH(1,"&amp;"(BAREMOS!A:A=A249)*(BAREMOS!B:B=B249)*(BAREMOS!C:C=C249)*(BAREMOS!D:D=D249),0),0)),1,
      IF(H249&gt;=MAX(INDEX(BAREMOS!F:X,MATCH(1,(BAREMOS!A:A=A249)*(BAREMOS!B:B=B249)*(BAREMOS!C:C=C249)*(BAREMOS!D:D=D249),0),0)),19,
         MATCH(H249,INDEX(BAREMOS!F:X"&amp;",MATCH(1,(BAREMOS!A:A=A249)*(BAREMOS!B:B=B249)*(BAREMOS!C:C=C249)*(BAREMOS!D:D=D249),0),0),1)
      )
   )
)
,""""))
"),"")</f>
        <v/>
      </c>
      <c r="K249" s="34" t="str">
        <f t="shared" si="1"/>
        <v/>
      </c>
      <c r="L249" s="16"/>
      <c r="M249" s="16"/>
      <c r="N249" s="16"/>
      <c r="O249" s="16"/>
      <c r="P249" s="16"/>
      <c r="Q249" s="16"/>
      <c r="R249" s="16"/>
      <c r="S249" s="16"/>
      <c r="T249" s="16"/>
      <c r="U249" s="16"/>
      <c r="V249" s="16"/>
      <c r="W249" s="16"/>
      <c r="X249" s="16"/>
      <c r="Y249" s="16"/>
      <c r="Z249" s="16"/>
      <c r="AA249" s="16"/>
      <c r="AB249" s="16"/>
      <c r="AC249" s="16"/>
    </row>
    <row r="250">
      <c r="A250" s="22" t="str">
        <f t="array" ref="A250">IF(E250="","",IFERROR(INDEX(CONFIGURACION!C:C,MATCH(E250,CONFIGURACION!E:E,0)),""))
</f>
        <v/>
      </c>
      <c r="B250" s="22" t="str">
        <f t="array" ref="B250">IF(E250="","",IFERROR(INDEX(CONFIGURACION!D:D,MATCH(E250,CONFIGURACION!E:E,0)),""))
</f>
        <v/>
      </c>
      <c r="C250" s="31"/>
      <c r="D250" s="9"/>
      <c r="E250" s="6"/>
      <c r="F250" s="24"/>
      <c r="G250" s="9"/>
      <c r="H250" s="32"/>
      <c r="I250" s="33" t="str">
        <f>IFERROR(__xludf.DUMMYFUNCTION("IF(F250="""","""",LET(
  nombre, TRIM(F250),
  primer, REGEXEXTRACT(nombre, ""^\S+""),
  resto, TRIM(REGEXREPLACE(nombre, ""^\S+\s*"", """")),
  iniciales, IF(
    resto="""",
    """",
    TEXTJOIN("""",1,ARRAYFORMULA(LEFT(SPLIT(resto,"" ""),1) &amp; "".""))"&amp;"
  ),
  UPPER(primer) &amp; "" "" &amp; UPPER(iniciales)
))"),"")</f>
        <v/>
      </c>
      <c r="J250" s="33" t="str">
        <f>IFERROR(__xludf.DUMMYFUNCTION("IF(H250="""","""",IFERROR(
IF(REGEXMATCH(E250,""VELOCIDAD""),
   IF(H250&gt;=MAX(INDEX(BAREMOS!F:X,MATCH(1,(BAREMOS!A:A=A250)*(BAREMOS!B:B=B250)*(BAREMOS!C:C=C250)*(BAREMOS!D:D=D250),0),0)),1,
      IF(H250&lt;=MIN(INDEX(BAREMOS!F:X,MATCH(1,(BAREMOS!A:A=A250)*("&amp;"BAREMOS!B:B=B250)*(BAREMOS!C:C=C250)*(BAREMOS!D:D=D250),0),0)),19,
         MATCH(H250,INDEX(BAREMOS!F:X,MATCH(1,(BAREMOS!A:A=A250)*(BAREMOS!B:B=B250)*(BAREMOS!C:C=C250)*(BAREMOS!D:D=D250),0),0),-1)
      )
   ),
   IF(H250&lt;=MIN(INDEX(BAREMOS!F:X,MATCH(1,"&amp;"(BAREMOS!A:A=A250)*(BAREMOS!B:B=B250)*(BAREMOS!C:C=C250)*(BAREMOS!D:D=D250),0),0)),1,
      IF(H250&gt;=MAX(INDEX(BAREMOS!F:X,MATCH(1,(BAREMOS!A:A=A250)*(BAREMOS!B:B=B250)*(BAREMOS!C:C=C250)*(BAREMOS!D:D=D250),0),0)),19,
         MATCH(H250,INDEX(BAREMOS!F:X"&amp;",MATCH(1,(BAREMOS!A:A=A250)*(BAREMOS!B:B=B250)*(BAREMOS!C:C=C250)*(BAREMOS!D:D=D250),0),0),1)
      )
   )
)
,""""))
"),"")</f>
        <v/>
      </c>
      <c r="K250" s="34" t="str">
        <f t="shared" si="1"/>
        <v/>
      </c>
      <c r="L250" s="16"/>
      <c r="M250" s="16"/>
      <c r="N250" s="16"/>
      <c r="O250" s="16"/>
      <c r="P250" s="16"/>
      <c r="Q250" s="16"/>
      <c r="R250" s="16"/>
      <c r="S250" s="16"/>
      <c r="T250" s="16"/>
      <c r="U250" s="16"/>
      <c r="V250" s="16"/>
      <c r="W250" s="16"/>
      <c r="X250" s="16"/>
      <c r="Y250" s="16"/>
      <c r="Z250" s="16"/>
      <c r="AA250" s="16"/>
      <c r="AB250" s="16"/>
      <c r="AC250" s="16"/>
    </row>
    <row r="251">
      <c r="A251" s="22" t="str">
        <f t="array" ref="A251">IF(E251="","",IFERROR(INDEX(CONFIGURACION!C:C,MATCH(E251,CONFIGURACION!E:E,0)),""))
</f>
        <v/>
      </c>
      <c r="B251" s="22" t="str">
        <f t="array" ref="B251">IF(E251="","",IFERROR(INDEX(CONFIGURACION!D:D,MATCH(E251,CONFIGURACION!E:E,0)),""))
</f>
        <v/>
      </c>
      <c r="C251" s="31"/>
      <c r="D251" s="9"/>
      <c r="E251" s="6"/>
      <c r="F251" s="24"/>
      <c r="G251" s="9"/>
      <c r="H251" s="32"/>
      <c r="I251" s="33" t="str">
        <f>IFERROR(__xludf.DUMMYFUNCTION("IF(F251="""","""",LET(
  nombre, TRIM(F251),
  primer, REGEXEXTRACT(nombre, ""^\S+""),
  resto, TRIM(REGEXREPLACE(nombre, ""^\S+\s*"", """")),
  iniciales, IF(
    resto="""",
    """",
    TEXTJOIN("""",1,ARRAYFORMULA(LEFT(SPLIT(resto,"" ""),1) &amp; "".""))"&amp;"
  ),
  UPPER(primer) &amp; "" "" &amp; UPPER(iniciales)
))"),"")</f>
        <v/>
      </c>
      <c r="J251" s="33" t="str">
        <f>IFERROR(__xludf.DUMMYFUNCTION("IF(H251="""","""",IFERROR(
IF(REGEXMATCH(E251,""VELOCIDAD""),
   IF(H251&gt;=MAX(INDEX(BAREMOS!F:X,MATCH(1,(BAREMOS!A:A=A251)*(BAREMOS!B:B=B251)*(BAREMOS!C:C=C251)*(BAREMOS!D:D=D251),0),0)),1,
      IF(H251&lt;=MIN(INDEX(BAREMOS!F:X,MATCH(1,(BAREMOS!A:A=A251)*("&amp;"BAREMOS!B:B=B251)*(BAREMOS!C:C=C251)*(BAREMOS!D:D=D251),0),0)),19,
         MATCH(H251,INDEX(BAREMOS!F:X,MATCH(1,(BAREMOS!A:A=A251)*(BAREMOS!B:B=B251)*(BAREMOS!C:C=C251)*(BAREMOS!D:D=D251),0),0),-1)
      )
   ),
   IF(H251&lt;=MIN(INDEX(BAREMOS!F:X,MATCH(1,"&amp;"(BAREMOS!A:A=A251)*(BAREMOS!B:B=B251)*(BAREMOS!C:C=C251)*(BAREMOS!D:D=D251),0),0)),1,
      IF(H251&gt;=MAX(INDEX(BAREMOS!F:X,MATCH(1,(BAREMOS!A:A=A251)*(BAREMOS!B:B=B251)*(BAREMOS!C:C=C251)*(BAREMOS!D:D=D251),0),0)),19,
         MATCH(H251,INDEX(BAREMOS!F:X"&amp;",MATCH(1,(BAREMOS!A:A=A251)*(BAREMOS!B:B=B251)*(BAREMOS!C:C=C251)*(BAREMOS!D:D=D251),0),0),1)
      )
   )
)
,""""))
"),"")</f>
        <v/>
      </c>
      <c r="K251" s="34" t="str">
        <f t="shared" si="1"/>
        <v/>
      </c>
      <c r="L251" s="16"/>
      <c r="M251" s="16"/>
      <c r="N251" s="16"/>
      <c r="O251" s="16"/>
      <c r="P251" s="16"/>
      <c r="Q251" s="16"/>
      <c r="R251" s="16"/>
      <c r="S251" s="16"/>
      <c r="T251" s="16"/>
      <c r="U251" s="16"/>
      <c r="V251" s="16"/>
      <c r="W251" s="16"/>
      <c r="X251" s="16"/>
      <c r="Y251" s="16"/>
      <c r="Z251" s="16"/>
      <c r="AA251" s="16"/>
      <c r="AB251" s="16"/>
      <c r="AC251" s="16"/>
    </row>
    <row r="252">
      <c r="A252" s="22" t="str">
        <f t="array" ref="A252">IF(E252="","",IFERROR(INDEX(CONFIGURACION!C:C,MATCH(E252,CONFIGURACION!E:E,0)),""))
</f>
        <v/>
      </c>
      <c r="B252" s="22" t="str">
        <f t="array" ref="B252">IF(E252="","",IFERROR(INDEX(CONFIGURACION!D:D,MATCH(E252,CONFIGURACION!E:E,0)),""))
</f>
        <v/>
      </c>
      <c r="C252" s="31"/>
      <c r="D252" s="9"/>
      <c r="E252" s="6"/>
      <c r="F252" s="24"/>
      <c r="G252" s="9"/>
      <c r="H252" s="32"/>
      <c r="I252" s="33" t="str">
        <f>IFERROR(__xludf.DUMMYFUNCTION("IF(F252="""","""",LET(
  nombre, TRIM(F252),
  primer, REGEXEXTRACT(nombre, ""^\S+""),
  resto, TRIM(REGEXREPLACE(nombre, ""^\S+\s*"", """")),
  iniciales, IF(
    resto="""",
    """",
    TEXTJOIN("""",1,ARRAYFORMULA(LEFT(SPLIT(resto,"" ""),1) &amp; "".""))"&amp;"
  ),
  UPPER(primer) &amp; "" "" &amp; UPPER(iniciales)
))"),"")</f>
        <v/>
      </c>
      <c r="J252" s="33" t="str">
        <f>IFERROR(__xludf.DUMMYFUNCTION("IF(H252="""","""",IFERROR(
IF(REGEXMATCH(E252,""VELOCIDAD""),
   IF(H252&gt;=MAX(INDEX(BAREMOS!F:X,MATCH(1,(BAREMOS!A:A=A252)*(BAREMOS!B:B=B252)*(BAREMOS!C:C=C252)*(BAREMOS!D:D=D252),0),0)),1,
      IF(H252&lt;=MIN(INDEX(BAREMOS!F:X,MATCH(1,(BAREMOS!A:A=A252)*("&amp;"BAREMOS!B:B=B252)*(BAREMOS!C:C=C252)*(BAREMOS!D:D=D252),0),0)),19,
         MATCH(H252,INDEX(BAREMOS!F:X,MATCH(1,(BAREMOS!A:A=A252)*(BAREMOS!B:B=B252)*(BAREMOS!C:C=C252)*(BAREMOS!D:D=D252),0),0),-1)
      )
   ),
   IF(H252&lt;=MIN(INDEX(BAREMOS!F:X,MATCH(1,"&amp;"(BAREMOS!A:A=A252)*(BAREMOS!B:B=B252)*(BAREMOS!C:C=C252)*(BAREMOS!D:D=D252),0),0)),1,
      IF(H252&gt;=MAX(INDEX(BAREMOS!F:X,MATCH(1,(BAREMOS!A:A=A252)*(BAREMOS!B:B=B252)*(BAREMOS!C:C=C252)*(BAREMOS!D:D=D252),0),0)),19,
         MATCH(H252,INDEX(BAREMOS!F:X"&amp;",MATCH(1,(BAREMOS!A:A=A252)*(BAREMOS!B:B=B252)*(BAREMOS!C:C=C252)*(BAREMOS!D:D=D252),0),0),1)
      )
   )
)
,""""))
"),"")</f>
        <v/>
      </c>
      <c r="K252" s="34" t="str">
        <f t="shared" si="1"/>
        <v/>
      </c>
      <c r="L252" s="16"/>
      <c r="M252" s="16"/>
      <c r="N252" s="16"/>
      <c r="O252" s="16"/>
      <c r="P252" s="16"/>
      <c r="Q252" s="16"/>
      <c r="R252" s="16"/>
      <c r="S252" s="16"/>
      <c r="T252" s="16"/>
      <c r="U252" s="16"/>
      <c r="V252" s="16"/>
      <c r="W252" s="16"/>
      <c r="X252" s="16"/>
      <c r="Y252" s="16"/>
      <c r="Z252" s="16"/>
      <c r="AA252" s="16"/>
      <c r="AB252" s="16"/>
      <c r="AC252" s="16"/>
    </row>
    <row r="253">
      <c r="A253" s="22" t="str">
        <f t="array" ref="A253">IF(E253="","",IFERROR(INDEX(CONFIGURACION!C:C,MATCH(E253,CONFIGURACION!E:E,0)),""))
</f>
        <v/>
      </c>
      <c r="B253" s="22" t="str">
        <f t="array" ref="B253">IF(E253="","",IFERROR(INDEX(CONFIGURACION!D:D,MATCH(E253,CONFIGURACION!E:E,0)),""))
</f>
        <v/>
      </c>
      <c r="C253" s="31"/>
      <c r="D253" s="9"/>
      <c r="E253" s="6"/>
      <c r="F253" s="24"/>
      <c r="G253" s="9"/>
      <c r="H253" s="32"/>
      <c r="I253" s="33" t="str">
        <f>IFERROR(__xludf.DUMMYFUNCTION("IF(F253="""","""",LET(
  nombre, TRIM(F253),
  primer, REGEXEXTRACT(nombre, ""^\S+""),
  resto, TRIM(REGEXREPLACE(nombre, ""^\S+\s*"", """")),
  iniciales, IF(
    resto="""",
    """",
    TEXTJOIN("""",1,ARRAYFORMULA(LEFT(SPLIT(resto,"" ""),1) &amp; "".""))"&amp;"
  ),
  UPPER(primer) &amp; "" "" &amp; UPPER(iniciales)
))"),"")</f>
        <v/>
      </c>
      <c r="J253" s="33" t="str">
        <f>IFERROR(__xludf.DUMMYFUNCTION("IF(H253="""","""",IFERROR(
IF(REGEXMATCH(E253,""VELOCIDAD""),
   IF(H253&gt;=MAX(INDEX(BAREMOS!F:X,MATCH(1,(BAREMOS!A:A=A253)*(BAREMOS!B:B=B253)*(BAREMOS!C:C=C253)*(BAREMOS!D:D=D253),0),0)),1,
      IF(H253&lt;=MIN(INDEX(BAREMOS!F:X,MATCH(1,(BAREMOS!A:A=A253)*("&amp;"BAREMOS!B:B=B253)*(BAREMOS!C:C=C253)*(BAREMOS!D:D=D253),0),0)),19,
         MATCH(H253,INDEX(BAREMOS!F:X,MATCH(1,(BAREMOS!A:A=A253)*(BAREMOS!B:B=B253)*(BAREMOS!C:C=C253)*(BAREMOS!D:D=D253),0),0),-1)
      )
   ),
   IF(H253&lt;=MIN(INDEX(BAREMOS!F:X,MATCH(1,"&amp;"(BAREMOS!A:A=A253)*(BAREMOS!B:B=B253)*(BAREMOS!C:C=C253)*(BAREMOS!D:D=D253),0),0)),1,
      IF(H253&gt;=MAX(INDEX(BAREMOS!F:X,MATCH(1,(BAREMOS!A:A=A253)*(BAREMOS!B:B=B253)*(BAREMOS!C:C=C253)*(BAREMOS!D:D=D253),0),0)),19,
         MATCH(H253,INDEX(BAREMOS!F:X"&amp;",MATCH(1,(BAREMOS!A:A=A253)*(BAREMOS!B:B=B253)*(BAREMOS!C:C=C253)*(BAREMOS!D:D=D253),0),0),1)
      )
   )
)
,""""))
"),"")</f>
        <v/>
      </c>
      <c r="K253" s="34" t="str">
        <f t="shared" si="1"/>
        <v/>
      </c>
      <c r="L253" s="16"/>
      <c r="M253" s="16"/>
      <c r="N253" s="16"/>
      <c r="O253" s="16"/>
      <c r="P253" s="16"/>
      <c r="Q253" s="16"/>
      <c r="R253" s="16"/>
      <c r="S253" s="16"/>
      <c r="T253" s="16"/>
      <c r="U253" s="16"/>
      <c r="V253" s="16"/>
      <c r="W253" s="16"/>
      <c r="X253" s="16"/>
      <c r="Y253" s="16"/>
      <c r="Z253" s="16"/>
      <c r="AA253" s="16"/>
      <c r="AB253" s="16"/>
      <c r="AC253" s="16"/>
    </row>
    <row r="254">
      <c r="A254" s="22" t="str">
        <f t="array" ref="A254">IF(E254="","",IFERROR(INDEX(CONFIGURACION!C:C,MATCH(E254,CONFIGURACION!E:E,0)),""))
</f>
        <v/>
      </c>
      <c r="B254" s="22" t="str">
        <f t="array" ref="B254">IF(E254="","",IFERROR(INDEX(CONFIGURACION!D:D,MATCH(E254,CONFIGURACION!E:E,0)),""))
</f>
        <v/>
      </c>
      <c r="C254" s="31"/>
      <c r="D254" s="9"/>
      <c r="E254" s="6"/>
      <c r="F254" s="24"/>
      <c r="G254" s="9"/>
      <c r="H254" s="32"/>
      <c r="I254" s="33" t="str">
        <f>IFERROR(__xludf.DUMMYFUNCTION("IF(F254="""","""",LET(
  nombre, TRIM(F254),
  primer, REGEXEXTRACT(nombre, ""^\S+""),
  resto, TRIM(REGEXREPLACE(nombre, ""^\S+\s*"", """")),
  iniciales, IF(
    resto="""",
    """",
    TEXTJOIN("""",1,ARRAYFORMULA(LEFT(SPLIT(resto,"" ""),1) &amp; "".""))"&amp;"
  ),
  UPPER(primer) &amp; "" "" &amp; UPPER(iniciales)
))"),"")</f>
        <v/>
      </c>
      <c r="J254" s="33" t="str">
        <f>IFERROR(__xludf.DUMMYFUNCTION("IF(H254="""","""",IFERROR(
IF(REGEXMATCH(E254,""VELOCIDAD""),
   IF(H254&gt;=MAX(INDEX(BAREMOS!F:X,MATCH(1,(BAREMOS!A:A=A254)*(BAREMOS!B:B=B254)*(BAREMOS!C:C=C254)*(BAREMOS!D:D=D254),0),0)),1,
      IF(H254&lt;=MIN(INDEX(BAREMOS!F:X,MATCH(1,(BAREMOS!A:A=A254)*("&amp;"BAREMOS!B:B=B254)*(BAREMOS!C:C=C254)*(BAREMOS!D:D=D254),0),0)),19,
         MATCH(H254,INDEX(BAREMOS!F:X,MATCH(1,(BAREMOS!A:A=A254)*(BAREMOS!B:B=B254)*(BAREMOS!C:C=C254)*(BAREMOS!D:D=D254),0),0),-1)
      )
   ),
   IF(H254&lt;=MIN(INDEX(BAREMOS!F:X,MATCH(1,"&amp;"(BAREMOS!A:A=A254)*(BAREMOS!B:B=B254)*(BAREMOS!C:C=C254)*(BAREMOS!D:D=D254),0),0)),1,
      IF(H254&gt;=MAX(INDEX(BAREMOS!F:X,MATCH(1,(BAREMOS!A:A=A254)*(BAREMOS!B:B=B254)*(BAREMOS!C:C=C254)*(BAREMOS!D:D=D254),0),0)),19,
         MATCH(H254,INDEX(BAREMOS!F:X"&amp;",MATCH(1,(BAREMOS!A:A=A254)*(BAREMOS!B:B=B254)*(BAREMOS!C:C=C254)*(BAREMOS!D:D=D254),0),0),1)
      )
   )
)
,""""))
"),"")</f>
        <v/>
      </c>
      <c r="K254" s="34" t="str">
        <f t="shared" si="1"/>
        <v/>
      </c>
      <c r="L254" s="16"/>
      <c r="M254" s="16"/>
      <c r="N254" s="16"/>
      <c r="O254" s="16"/>
      <c r="P254" s="16"/>
      <c r="Q254" s="16"/>
      <c r="R254" s="16"/>
      <c r="S254" s="16"/>
      <c r="T254" s="16"/>
      <c r="U254" s="16"/>
      <c r="V254" s="16"/>
      <c r="W254" s="16"/>
      <c r="X254" s="16"/>
      <c r="Y254" s="16"/>
      <c r="Z254" s="16"/>
      <c r="AA254" s="16"/>
      <c r="AB254" s="16"/>
      <c r="AC254" s="16"/>
    </row>
    <row r="255">
      <c r="A255" s="22" t="str">
        <f t="array" ref="A255">IF(E255="","",IFERROR(INDEX(CONFIGURACION!C:C,MATCH(E255,CONFIGURACION!E:E,0)),""))
</f>
        <v/>
      </c>
      <c r="B255" s="22" t="str">
        <f t="array" ref="B255">IF(E255="","",IFERROR(INDEX(CONFIGURACION!D:D,MATCH(E255,CONFIGURACION!E:E,0)),""))
</f>
        <v/>
      </c>
      <c r="C255" s="31"/>
      <c r="D255" s="9"/>
      <c r="E255" s="6"/>
      <c r="F255" s="24"/>
      <c r="G255" s="9"/>
      <c r="H255" s="32"/>
      <c r="I255" s="33" t="str">
        <f>IFERROR(__xludf.DUMMYFUNCTION("IF(F255="""","""",LET(
  nombre, TRIM(F255),
  primer, REGEXEXTRACT(nombre, ""^\S+""),
  resto, TRIM(REGEXREPLACE(nombre, ""^\S+\s*"", """")),
  iniciales, IF(
    resto="""",
    """",
    TEXTJOIN("""",1,ARRAYFORMULA(LEFT(SPLIT(resto,"" ""),1) &amp; "".""))"&amp;"
  ),
  UPPER(primer) &amp; "" "" &amp; UPPER(iniciales)
))"),"")</f>
        <v/>
      </c>
      <c r="J255" s="33" t="str">
        <f>IFERROR(__xludf.DUMMYFUNCTION("IF(H255="""","""",IFERROR(
IF(REGEXMATCH(E255,""VELOCIDAD""),
   IF(H255&gt;=MAX(INDEX(BAREMOS!F:X,MATCH(1,(BAREMOS!A:A=A255)*(BAREMOS!B:B=B255)*(BAREMOS!C:C=C255)*(BAREMOS!D:D=D255),0),0)),1,
      IF(H255&lt;=MIN(INDEX(BAREMOS!F:X,MATCH(1,(BAREMOS!A:A=A255)*("&amp;"BAREMOS!B:B=B255)*(BAREMOS!C:C=C255)*(BAREMOS!D:D=D255),0),0)),19,
         MATCH(H255,INDEX(BAREMOS!F:X,MATCH(1,(BAREMOS!A:A=A255)*(BAREMOS!B:B=B255)*(BAREMOS!C:C=C255)*(BAREMOS!D:D=D255),0),0),-1)
      )
   ),
   IF(H255&lt;=MIN(INDEX(BAREMOS!F:X,MATCH(1,"&amp;"(BAREMOS!A:A=A255)*(BAREMOS!B:B=B255)*(BAREMOS!C:C=C255)*(BAREMOS!D:D=D255),0),0)),1,
      IF(H255&gt;=MAX(INDEX(BAREMOS!F:X,MATCH(1,(BAREMOS!A:A=A255)*(BAREMOS!B:B=B255)*(BAREMOS!C:C=C255)*(BAREMOS!D:D=D255),0),0)),19,
         MATCH(H255,INDEX(BAREMOS!F:X"&amp;",MATCH(1,(BAREMOS!A:A=A255)*(BAREMOS!B:B=B255)*(BAREMOS!C:C=C255)*(BAREMOS!D:D=D255),0),0),1)
      )
   )
)
,""""))
"),"")</f>
        <v/>
      </c>
      <c r="K255" s="34" t="str">
        <f t="shared" si="1"/>
        <v/>
      </c>
      <c r="L255" s="16"/>
      <c r="M255" s="16"/>
      <c r="N255" s="16"/>
      <c r="O255" s="16"/>
      <c r="P255" s="16"/>
      <c r="Q255" s="16"/>
      <c r="R255" s="16"/>
      <c r="S255" s="16"/>
      <c r="T255" s="16"/>
      <c r="U255" s="16"/>
      <c r="V255" s="16"/>
      <c r="W255" s="16"/>
      <c r="X255" s="16"/>
      <c r="Y255" s="16"/>
      <c r="Z255" s="16"/>
      <c r="AA255" s="16"/>
      <c r="AB255" s="16"/>
      <c r="AC255" s="16"/>
    </row>
    <row r="256">
      <c r="A256" s="22" t="str">
        <f t="array" ref="A256">IF(E256="","",IFERROR(INDEX(CONFIGURACION!C:C,MATCH(E256,CONFIGURACION!E:E,0)),""))
</f>
        <v/>
      </c>
      <c r="B256" s="22" t="str">
        <f t="array" ref="B256">IF(E256="","",IFERROR(INDEX(CONFIGURACION!D:D,MATCH(E256,CONFIGURACION!E:E,0)),""))
</f>
        <v/>
      </c>
      <c r="C256" s="31"/>
      <c r="D256" s="9"/>
      <c r="E256" s="6"/>
      <c r="F256" s="24"/>
      <c r="G256" s="9"/>
      <c r="H256" s="32"/>
      <c r="I256" s="33" t="str">
        <f>IFERROR(__xludf.DUMMYFUNCTION("IF(F256="""","""",LET(
  nombre, TRIM(F256),
  primer, REGEXEXTRACT(nombre, ""^\S+""),
  resto, TRIM(REGEXREPLACE(nombre, ""^\S+\s*"", """")),
  iniciales, IF(
    resto="""",
    """",
    TEXTJOIN("""",1,ARRAYFORMULA(LEFT(SPLIT(resto,"" ""),1) &amp; "".""))"&amp;"
  ),
  UPPER(primer) &amp; "" "" &amp; UPPER(iniciales)
))"),"")</f>
        <v/>
      </c>
      <c r="J256" s="33" t="str">
        <f>IFERROR(__xludf.DUMMYFUNCTION("IF(H256="""","""",IFERROR(
IF(REGEXMATCH(E256,""VELOCIDAD""),
   IF(H256&gt;=MAX(INDEX(BAREMOS!F:X,MATCH(1,(BAREMOS!A:A=A256)*(BAREMOS!B:B=B256)*(BAREMOS!C:C=C256)*(BAREMOS!D:D=D256),0),0)),1,
      IF(H256&lt;=MIN(INDEX(BAREMOS!F:X,MATCH(1,(BAREMOS!A:A=A256)*("&amp;"BAREMOS!B:B=B256)*(BAREMOS!C:C=C256)*(BAREMOS!D:D=D256),0),0)),19,
         MATCH(H256,INDEX(BAREMOS!F:X,MATCH(1,(BAREMOS!A:A=A256)*(BAREMOS!B:B=B256)*(BAREMOS!C:C=C256)*(BAREMOS!D:D=D256),0),0),-1)
      )
   ),
   IF(H256&lt;=MIN(INDEX(BAREMOS!F:X,MATCH(1,"&amp;"(BAREMOS!A:A=A256)*(BAREMOS!B:B=B256)*(BAREMOS!C:C=C256)*(BAREMOS!D:D=D256),0),0)),1,
      IF(H256&gt;=MAX(INDEX(BAREMOS!F:X,MATCH(1,(BAREMOS!A:A=A256)*(BAREMOS!B:B=B256)*(BAREMOS!C:C=C256)*(BAREMOS!D:D=D256),0),0)),19,
         MATCH(H256,INDEX(BAREMOS!F:X"&amp;",MATCH(1,(BAREMOS!A:A=A256)*(BAREMOS!B:B=B256)*(BAREMOS!C:C=C256)*(BAREMOS!D:D=D256),0),0),1)
      )
   )
)
,""""))
"),"")</f>
        <v/>
      </c>
      <c r="K256" s="34" t="str">
        <f t="shared" si="1"/>
        <v/>
      </c>
      <c r="L256" s="16"/>
      <c r="M256" s="16"/>
      <c r="N256" s="16"/>
      <c r="O256" s="16"/>
      <c r="P256" s="16"/>
      <c r="Q256" s="16"/>
      <c r="R256" s="16"/>
      <c r="S256" s="16"/>
      <c r="T256" s="16"/>
      <c r="U256" s="16"/>
      <c r="V256" s="16"/>
      <c r="W256" s="16"/>
      <c r="X256" s="16"/>
      <c r="Y256" s="16"/>
      <c r="Z256" s="16"/>
      <c r="AA256" s="16"/>
      <c r="AB256" s="16"/>
      <c r="AC256" s="16"/>
    </row>
    <row r="257">
      <c r="A257" s="22" t="str">
        <f t="array" ref="A257">IF(E257="","",IFERROR(INDEX(CONFIGURACION!C:C,MATCH(E257,CONFIGURACION!E:E,0)),""))
</f>
        <v/>
      </c>
      <c r="B257" s="22" t="str">
        <f t="array" ref="B257">IF(E257="","",IFERROR(INDEX(CONFIGURACION!D:D,MATCH(E257,CONFIGURACION!E:E,0)),""))
</f>
        <v/>
      </c>
      <c r="C257" s="31"/>
      <c r="D257" s="9"/>
      <c r="E257" s="6"/>
      <c r="F257" s="24"/>
      <c r="G257" s="9"/>
      <c r="H257" s="32"/>
      <c r="I257" s="33" t="str">
        <f>IFERROR(__xludf.DUMMYFUNCTION("IF(F257="""","""",LET(
  nombre, TRIM(F257),
  primer, REGEXEXTRACT(nombre, ""^\S+""),
  resto, TRIM(REGEXREPLACE(nombre, ""^\S+\s*"", """")),
  iniciales, IF(
    resto="""",
    """",
    TEXTJOIN("""",1,ARRAYFORMULA(LEFT(SPLIT(resto,"" ""),1) &amp; "".""))"&amp;"
  ),
  UPPER(primer) &amp; "" "" &amp; UPPER(iniciales)
))"),"")</f>
        <v/>
      </c>
      <c r="J257" s="33" t="str">
        <f>IFERROR(__xludf.DUMMYFUNCTION("IF(H257="""","""",IFERROR(
IF(REGEXMATCH(E257,""VELOCIDAD""),
   IF(H257&gt;=MAX(INDEX(BAREMOS!F:X,MATCH(1,(BAREMOS!A:A=A257)*(BAREMOS!B:B=B257)*(BAREMOS!C:C=C257)*(BAREMOS!D:D=D257),0),0)),1,
      IF(H257&lt;=MIN(INDEX(BAREMOS!F:X,MATCH(1,(BAREMOS!A:A=A257)*("&amp;"BAREMOS!B:B=B257)*(BAREMOS!C:C=C257)*(BAREMOS!D:D=D257),0),0)),19,
         MATCH(H257,INDEX(BAREMOS!F:X,MATCH(1,(BAREMOS!A:A=A257)*(BAREMOS!B:B=B257)*(BAREMOS!C:C=C257)*(BAREMOS!D:D=D257),0),0),-1)
      )
   ),
   IF(H257&lt;=MIN(INDEX(BAREMOS!F:X,MATCH(1,"&amp;"(BAREMOS!A:A=A257)*(BAREMOS!B:B=B257)*(BAREMOS!C:C=C257)*(BAREMOS!D:D=D257),0),0)),1,
      IF(H257&gt;=MAX(INDEX(BAREMOS!F:X,MATCH(1,(BAREMOS!A:A=A257)*(BAREMOS!B:B=B257)*(BAREMOS!C:C=C257)*(BAREMOS!D:D=D257),0),0)),19,
         MATCH(H257,INDEX(BAREMOS!F:X"&amp;",MATCH(1,(BAREMOS!A:A=A257)*(BAREMOS!B:B=B257)*(BAREMOS!C:C=C257)*(BAREMOS!D:D=D257),0),0),1)
      )
   )
)
,""""))
"),"")</f>
        <v/>
      </c>
      <c r="K257" s="34" t="str">
        <f t="shared" si="1"/>
        <v/>
      </c>
      <c r="L257" s="16"/>
      <c r="M257" s="16"/>
      <c r="N257" s="16"/>
      <c r="O257" s="16"/>
      <c r="P257" s="16"/>
      <c r="Q257" s="16"/>
      <c r="R257" s="16"/>
      <c r="S257" s="16"/>
      <c r="T257" s="16"/>
      <c r="U257" s="16"/>
      <c r="V257" s="16"/>
      <c r="W257" s="16"/>
      <c r="X257" s="16"/>
      <c r="Y257" s="16"/>
      <c r="Z257" s="16"/>
      <c r="AA257" s="16"/>
      <c r="AB257" s="16"/>
      <c r="AC257" s="16"/>
    </row>
    <row r="258">
      <c r="A258" s="22" t="str">
        <f t="array" ref="A258">IF(E258="","",IFERROR(INDEX(CONFIGURACION!C:C,MATCH(E258,CONFIGURACION!E:E,0)),""))
</f>
        <v/>
      </c>
      <c r="B258" s="22" t="str">
        <f t="array" ref="B258">IF(E258="","",IFERROR(INDEX(CONFIGURACION!D:D,MATCH(E258,CONFIGURACION!E:E,0)),""))
</f>
        <v/>
      </c>
      <c r="C258" s="31"/>
      <c r="D258" s="9"/>
      <c r="E258" s="6"/>
      <c r="F258" s="24"/>
      <c r="G258" s="9"/>
      <c r="H258" s="32"/>
      <c r="I258" s="33" t="str">
        <f>IFERROR(__xludf.DUMMYFUNCTION("IF(F258="""","""",LET(
  nombre, TRIM(F258),
  primer, REGEXEXTRACT(nombre, ""^\S+""),
  resto, TRIM(REGEXREPLACE(nombre, ""^\S+\s*"", """")),
  iniciales, IF(
    resto="""",
    """",
    TEXTJOIN("""",1,ARRAYFORMULA(LEFT(SPLIT(resto,"" ""),1) &amp; "".""))"&amp;"
  ),
  UPPER(primer) &amp; "" "" &amp; UPPER(iniciales)
))"),"")</f>
        <v/>
      </c>
      <c r="J258" s="33" t="str">
        <f>IFERROR(__xludf.DUMMYFUNCTION("IF(H258="""","""",IFERROR(
IF(REGEXMATCH(E258,""VELOCIDAD""),
   IF(H258&gt;=MAX(INDEX(BAREMOS!F:X,MATCH(1,(BAREMOS!A:A=A258)*(BAREMOS!B:B=B258)*(BAREMOS!C:C=C258)*(BAREMOS!D:D=D258),0),0)),1,
      IF(H258&lt;=MIN(INDEX(BAREMOS!F:X,MATCH(1,(BAREMOS!A:A=A258)*("&amp;"BAREMOS!B:B=B258)*(BAREMOS!C:C=C258)*(BAREMOS!D:D=D258),0),0)),19,
         MATCH(H258,INDEX(BAREMOS!F:X,MATCH(1,(BAREMOS!A:A=A258)*(BAREMOS!B:B=B258)*(BAREMOS!C:C=C258)*(BAREMOS!D:D=D258),0),0),-1)
      )
   ),
   IF(H258&lt;=MIN(INDEX(BAREMOS!F:X,MATCH(1,"&amp;"(BAREMOS!A:A=A258)*(BAREMOS!B:B=B258)*(BAREMOS!C:C=C258)*(BAREMOS!D:D=D258),0),0)),1,
      IF(H258&gt;=MAX(INDEX(BAREMOS!F:X,MATCH(1,(BAREMOS!A:A=A258)*(BAREMOS!B:B=B258)*(BAREMOS!C:C=C258)*(BAREMOS!D:D=D258),0),0)),19,
         MATCH(H258,INDEX(BAREMOS!F:X"&amp;",MATCH(1,(BAREMOS!A:A=A258)*(BAREMOS!B:B=B258)*(BAREMOS!C:C=C258)*(BAREMOS!D:D=D258),0),0),1)
      )
   )
)
,""""))
"),"")</f>
        <v/>
      </c>
      <c r="K258" s="34" t="str">
        <f t="shared" si="1"/>
        <v/>
      </c>
      <c r="L258" s="16"/>
      <c r="M258" s="16"/>
      <c r="N258" s="16"/>
      <c r="O258" s="16"/>
      <c r="P258" s="16"/>
      <c r="Q258" s="16"/>
      <c r="R258" s="16"/>
      <c r="S258" s="16"/>
      <c r="T258" s="16"/>
      <c r="U258" s="16"/>
      <c r="V258" s="16"/>
      <c r="W258" s="16"/>
      <c r="X258" s="16"/>
      <c r="Y258" s="16"/>
      <c r="Z258" s="16"/>
      <c r="AA258" s="16"/>
      <c r="AB258" s="16"/>
      <c r="AC258" s="16"/>
    </row>
    <row r="259">
      <c r="A259" s="22" t="str">
        <f t="array" ref="A259">IF(E259="","",IFERROR(INDEX(CONFIGURACION!C:C,MATCH(E259,CONFIGURACION!E:E,0)),""))
</f>
        <v/>
      </c>
      <c r="B259" s="22" t="str">
        <f t="array" ref="B259">IF(E259="","",IFERROR(INDEX(CONFIGURACION!D:D,MATCH(E259,CONFIGURACION!E:E,0)),""))
</f>
        <v/>
      </c>
      <c r="C259" s="31"/>
      <c r="D259" s="9"/>
      <c r="E259" s="6"/>
      <c r="F259" s="24"/>
      <c r="G259" s="9"/>
      <c r="H259" s="32"/>
      <c r="I259" s="33" t="str">
        <f>IFERROR(__xludf.DUMMYFUNCTION("IF(F259="""","""",LET(
  nombre, TRIM(F259),
  primer, REGEXEXTRACT(nombre, ""^\S+""),
  resto, TRIM(REGEXREPLACE(nombre, ""^\S+\s*"", """")),
  iniciales, IF(
    resto="""",
    """",
    TEXTJOIN("""",1,ARRAYFORMULA(LEFT(SPLIT(resto,"" ""),1) &amp; "".""))"&amp;"
  ),
  UPPER(primer) &amp; "" "" &amp; UPPER(iniciales)
))"),"")</f>
        <v/>
      </c>
      <c r="J259" s="33" t="str">
        <f>IFERROR(__xludf.DUMMYFUNCTION("IF(H259="""","""",IFERROR(
IF(REGEXMATCH(E259,""VELOCIDAD""),
   IF(H259&gt;=MAX(INDEX(BAREMOS!F:X,MATCH(1,(BAREMOS!A:A=A259)*(BAREMOS!B:B=B259)*(BAREMOS!C:C=C259)*(BAREMOS!D:D=D259),0),0)),1,
      IF(H259&lt;=MIN(INDEX(BAREMOS!F:X,MATCH(1,(BAREMOS!A:A=A259)*("&amp;"BAREMOS!B:B=B259)*(BAREMOS!C:C=C259)*(BAREMOS!D:D=D259),0),0)),19,
         MATCH(H259,INDEX(BAREMOS!F:X,MATCH(1,(BAREMOS!A:A=A259)*(BAREMOS!B:B=B259)*(BAREMOS!C:C=C259)*(BAREMOS!D:D=D259),0),0),-1)
      )
   ),
   IF(H259&lt;=MIN(INDEX(BAREMOS!F:X,MATCH(1,"&amp;"(BAREMOS!A:A=A259)*(BAREMOS!B:B=B259)*(BAREMOS!C:C=C259)*(BAREMOS!D:D=D259),0),0)),1,
      IF(H259&gt;=MAX(INDEX(BAREMOS!F:X,MATCH(1,(BAREMOS!A:A=A259)*(BAREMOS!B:B=B259)*(BAREMOS!C:C=C259)*(BAREMOS!D:D=D259),0),0)),19,
         MATCH(H259,INDEX(BAREMOS!F:X"&amp;",MATCH(1,(BAREMOS!A:A=A259)*(BAREMOS!B:B=B259)*(BAREMOS!C:C=C259)*(BAREMOS!D:D=D259),0),0),1)
      )
   )
)
,""""))
"),"")</f>
        <v/>
      </c>
      <c r="K259" s="34" t="str">
        <f t="shared" si="1"/>
        <v/>
      </c>
      <c r="L259" s="16"/>
      <c r="M259" s="16"/>
      <c r="N259" s="16"/>
      <c r="O259" s="16"/>
      <c r="P259" s="16"/>
      <c r="Q259" s="16"/>
      <c r="R259" s="16"/>
      <c r="S259" s="16"/>
      <c r="T259" s="16"/>
      <c r="U259" s="16"/>
      <c r="V259" s="16"/>
      <c r="W259" s="16"/>
      <c r="X259" s="16"/>
      <c r="Y259" s="16"/>
      <c r="Z259" s="16"/>
      <c r="AA259" s="16"/>
      <c r="AB259" s="16"/>
      <c r="AC259" s="16"/>
    </row>
    <row r="260">
      <c r="A260" s="22" t="str">
        <f t="array" ref="A260">IF(E260="","",IFERROR(INDEX(CONFIGURACION!C:C,MATCH(E260,CONFIGURACION!E:E,0)),""))
</f>
        <v/>
      </c>
      <c r="B260" s="22" t="str">
        <f t="array" ref="B260">IF(E260="","",IFERROR(INDEX(CONFIGURACION!D:D,MATCH(E260,CONFIGURACION!E:E,0)),""))
</f>
        <v/>
      </c>
      <c r="C260" s="31"/>
      <c r="D260" s="9"/>
      <c r="E260" s="6"/>
      <c r="F260" s="24"/>
      <c r="G260" s="9"/>
      <c r="H260" s="32"/>
      <c r="I260" s="33" t="str">
        <f>IFERROR(__xludf.DUMMYFUNCTION("IF(F260="""","""",LET(
  nombre, TRIM(F260),
  primer, REGEXEXTRACT(nombre, ""^\S+""),
  resto, TRIM(REGEXREPLACE(nombre, ""^\S+\s*"", """")),
  iniciales, IF(
    resto="""",
    """",
    TEXTJOIN("""",1,ARRAYFORMULA(LEFT(SPLIT(resto,"" ""),1) &amp; "".""))"&amp;"
  ),
  UPPER(primer) &amp; "" "" &amp; UPPER(iniciales)
))"),"")</f>
        <v/>
      </c>
      <c r="J260" s="33" t="str">
        <f>IFERROR(__xludf.DUMMYFUNCTION("IF(H260="""","""",IFERROR(
IF(REGEXMATCH(E260,""VELOCIDAD""),
   IF(H260&gt;=MAX(INDEX(BAREMOS!F:X,MATCH(1,(BAREMOS!A:A=A260)*(BAREMOS!B:B=B260)*(BAREMOS!C:C=C260)*(BAREMOS!D:D=D260),0),0)),1,
      IF(H260&lt;=MIN(INDEX(BAREMOS!F:X,MATCH(1,(BAREMOS!A:A=A260)*("&amp;"BAREMOS!B:B=B260)*(BAREMOS!C:C=C260)*(BAREMOS!D:D=D260),0),0)),19,
         MATCH(H260,INDEX(BAREMOS!F:X,MATCH(1,(BAREMOS!A:A=A260)*(BAREMOS!B:B=B260)*(BAREMOS!C:C=C260)*(BAREMOS!D:D=D260),0),0),-1)
      )
   ),
   IF(H260&lt;=MIN(INDEX(BAREMOS!F:X,MATCH(1,"&amp;"(BAREMOS!A:A=A260)*(BAREMOS!B:B=B260)*(BAREMOS!C:C=C260)*(BAREMOS!D:D=D260),0),0)),1,
      IF(H260&gt;=MAX(INDEX(BAREMOS!F:X,MATCH(1,(BAREMOS!A:A=A260)*(BAREMOS!B:B=B260)*(BAREMOS!C:C=C260)*(BAREMOS!D:D=D260),0),0)),19,
         MATCH(H260,INDEX(BAREMOS!F:X"&amp;",MATCH(1,(BAREMOS!A:A=A260)*(BAREMOS!B:B=B260)*(BAREMOS!C:C=C260)*(BAREMOS!D:D=D260),0),0),1)
      )
   )
)
,""""))
"),"")</f>
        <v/>
      </c>
      <c r="K260" s="34" t="str">
        <f t="shared" si="1"/>
        <v/>
      </c>
      <c r="L260" s="16"/>
      <c r="M260" s="16"/>
      <c r="N260" s="16"/>
      <c r="O260" s="16"/>
      <c r="P260" s="16"/>
      <c r="Q260" s="16"/>
      <c r="R260" s="16"/>
      <c r="S260" s="16"/>
      <c r="T260" s="16"/>
      <c r="U260" s="16"/>
      <c r="V260" s="16"/>
      <c r="W260" s="16"/>
      <c r="X260" s="16"/>
      <c r="Y260" s="16"/>
      <c r="Z260" s="16"/>
      <c r="AA260" s="16"/>
      <c r="AB260" s="16"/>
      <c r="AC260" s="16"/>
    </row>
    <row r="261">
      <c r="A261" s="22" t="str">
        <f t="array" ref="A261">IF(E261="","",IFERROR(INDEX(CONFIGURACION!C:C,MATCH(E261,CONFIGURACION!E:E,0)),""))
</f>
        <v/>
      </c>
      <c r="B261" s="22" t="str">
        <f t="array" ref="B261">IF(E261="","",IFERROR(INDEX(CONFIGURACION!D:D,MATCH(E261,CONFIGURACION!E:E,0)),""))
</f>
        <v/>
      </c>
      <c r="C261" s="31"/>
      <c r="D261" s="9"/>
      <c r="E261" s="6"/>
      <c r="F261" s="24"/>
      <c r="G261" s="9"/>
      <c r="H261" s="32"/>
      <c r="I261" s="33" t="str">
        <f>IFERROR(__xludf.DUMMYFUNCTION("IF(F261="""","""",LET(
  nombre, TRIM(F261),
  primer, REGEXEXTRACT(nombre, ""^\S+""),
  resto, TRIM(REGEXREPLACE(nombre, ""^\S+\s*"", """")),
  iniciales, IF(
    resto="""",
    """",
    TEXTJOIN("""",1,ARRAYFORMULA(LEFT(SPLIT(resto,"" ""),1) &amp; "".""))"&amp;"
  ),
  UPPER(primer) &amp; "" "" &amp; UPPER(iniciales)
))"),"")</f>
        <v/>
      </c>
      <c r="J261" s="33" t="str">
        <f>IFERROR(__xludf.DUMMYFUNCTION("IF(H261="""","""",IFERROR(
IF(REGEXMATCH(E261,""VELOCIDAD""),
   IF(H261&gt;=MAX(INDEX(BAREMOS!F:X,MATCH(1,(BAREMOS!A:A=A261)*(BAREMOS!B:B=B261)*(BAREMOS!C:C=C261)*(BAREMOS!D:D=D261),0),0)),1,
      IF(H261&lt;=MIN(INDEX(BAREMOS!F:X,MATCH(1,(BAREMOS!A:A=A261)*("&amp;"BAREMOS!B:B=B261)*(BAREMOS!C:C=C261)*(BAREMOS!D:D=D261),0),0)),19,
         MATCH(H261,INDEX(BAREMOS!F:X,MATCH(1,(BAREMOS!A:A=A261)*(BAREMOS!B:B=B261)*(BAREMOS!C:C=C261)*(BAREMOS!D:D=D261),0),0),-1)
      )
   ),
   IF(H261&lt;=MIN(INDEX(BAREMOS!F:X,MATCH(1,"&amp;"(BAREMOS!A:A=A261)*(BAREMOS!B:B=B261)*(BAREMOS!C:C=C261)*(BAREMOS!D:D=D261),0),0)),1,
      IF(H261&gt;=MAX(INDEX(BAREMOS!F:X,MATCH(1,(BAREMOS!A:A=A261)*(BAREMOS!B:B=B261)*(BAREMOS!C:C=C261)*(BAREMOS!D:D=D261),0),0)),19,
         MATCH(H261,INDEX(BAREMOS!F:X"&amp;",MATCH(1,(BAREMOS!A:A=A261)*(BAREMOS!B:B=B261)*(BAREMOS!C:C=C261)*(BAREMOS!D:D=D261),0),0),1)
      )
   )
)
,""""))
"),"")</f>
        <v/>
      </c>
      <c r="K261" s="34" t="str">
        <f t="shared" si="1"/>
        <v/>
      </c>
      <c r="L261" s="16"/>
      <c r="M261" s="16"/>
      <c r="N261" s="16"/>
      <c r="O261" s="16"/>
      <c r="P261" s="16"/>
      <c r="Q261" s="16"/>
      <c r="R261" s="16"/>
      <c r="S261" s="16"/>
      <c r="T261" s="16"/>
      <c r="U261" s="16"/>
      <c r="V261" s="16"/>
      <c r="W261" s="16"/>
      <c r="X261" s="16"/>
      <c r="Y261" s="16"/>
      <c r="Z261" s="16"/>
      <c r="AA261" s="16"/>
      <c r="AB261" s="16"/>
      <c r="AC261" s="16"/>
    </row>
    <row r="262">
      <c r="A262" s="22" t="str">
        <f t="array" ref="A262">IF(E262="","",IFERROR(INDEX(CONFIGURACION!C:C,MATCH(E262,CONFIGURACION!E:E,0)),""))
</f>
        <v/>
      </c>
      <c r="B262" s="22" t="str">
        <f t="array" ref="B262">IF(E262="","",IFERROR(INDEX(CONFIGURACION!D:D,MATCH(E262,CONFIGURACION!E:E,0)),""))
</f>
        <v/>
      </c>
      <c r="C262" s="31"/>
      <c r="D262" s="9"/>
      <c r="E262" s="6"/>
      <c r="F262" s="24"/>
      <c r="G262" s="9"/>
      <c r="H262" s="32"/>
      <c r="I262" s="33" t="str">
        <f>IFERROR(__xludf.DUMMYFUNCTION("IF(F262="""","""",LET(
  nombre, TRIM(F262),
  primer, REGEXEXTRACT(nombre, ""^\S+""),
  resto, TRIM(REGEXREPLACE(nombre, ""^\S+\s*"", """")),
  iniciales, IF(
    resto="""",
    """",
    TEXTJOIN("""",1,ARRAYFORMULA(LEFT(SPLIT(resto,"" ""),1) &amp; "".""))"&amp;"
  ),
  UPPER(primer) &amp; "" "" &amp; UPPER(iniciales)
))"),"")</f>
        <v/>
      </c>
      <c r="J262" s="33" t="str">
        <f>IFERROR(__xludf.DUMMYFUNCTION("IF(H262="""","""",IFERROR(
IF(REGEXMATCH(E262,""VELOCIDAD""),
   IF(H262&gt;=MAX(INDEX(BAREMOS!F:X,MATCH(1,(BAREMOS!A:A=A262)*(BAREMOS!B:B=B262)*(BAREMOS!C:C=C262)*(BAREMOS!D:D=D262),0),0)),1,
      IF(H262&lt;=MIN(INDEX(BAREMOS!F:X,MATCH(1,(BAREMOS!A:A=A262)*("&amp;"BAREMOS!B:B=B262)*(BAREMOS!C:C=C262)*(BAREMOS!D:D=D262),0),0)),19,
         MATCH(H262,INDEX(BAREMOS!F:X,MATCH(1,(BAREMOS!A:A=A262)*(BAREMOS!B:B=B262)*(BAREMOS!C:C=C262)*(BAREMOS!D:D=D262),0),0),-1)
      )
   ),
   IF(H262&lt;=MIN(INDEX(BAREMOS!F:X,MATCH(1,"&amp;"(BAREMOS!A:A=A262)*(BAREMOS!B:B=B262)*(BAREMOS!C:C=C262)*(BAREMOS!D:D=D262),0),0)),1,
      IF(H262&gt;=MAX(INDEX(BAREMOS!F:X,MATCH(1,(BAREMOS!A:A=A262)*(BAREMOS!B:B=B262)*(BAREMOS!C:C=C262)*(BAREMOS!D:D=D262),0),0)),19,
         MATCH(H262,INDEX(BAREMOS!F:X"&amp;",MATCH(1,(BAREMOS!A:A=A262)*(BAREMOS!B:B=B262)*(BAREMOS!C:C=C262)*(BAREMOS!D:D=D262),0),0),1)
      )
   )
)
,""""))
"),"")</f>
        <v/>
      </c>
      <c r="K262" s="34" t="str">
        <f t="shared" si="1"/>
        <v/>
      </c>
      <c r="L262" s="16"/>
      <c r="M262" s="16"/>
      <c r="N262" s="16"/>
      <c r="O262" s="16"/>
      <c r="P262" s="16"/>
      <c r="Q262" s="16"/>
      <c r="R262" s="16"/>
      <c r="S262" s="16"/>
      <c r="T262" s="16"/>
      <c r="U262" s="16"/>
      <c r="V262" s="16"/>
      <c r="W262" s="16"/>
      <c r="X262" s="16"/>
      <c r="Y262" s="16"/>
      <c r="Z262" s="16"/>
      <c r="AA262" s="16"/>
      <c r="AB262" s="16"/>
      <c r="AC262" s="16"/>
    </row>
    <row r="263">
      <c r="A263" s="22" t="str">
        <f t="array" ref="A263">IF(E263="","",IFERROR(INDEX(CONFIGURACION!C:C,MATCH(E263,CONFIGURACION!E:E,0)),""))
</f>
        <v/>
      </c>
      <c r="B263" s="22" t="str">
        <f t="array" ref="B263">IF(E263="","",IFERROR(INDEX(CONFIGURACION!D:D,MATCH(E263,CONFIGURACION!E:E,0)),""))
</f>
        <v/>
      </c>
      <c r="C263" s="31"/>
      <c r="D263" s="9"/>
      <c r="E263" s="6"/>
      <c r="F263" s="24"/>
      <c r="G263" s="9"/>
      <c r="H263" s="32"/>
      <c r="I263" s="33" t="str">
        <f>IFERROR(__xludf.DUMMYFUNCTION("IF(F263="""","""",LET(
  nombre, TRIM(F263),
  primer, REGEXEXTRACT(nombre, ""^\S+""),
  resto, TRIM(REGEXREPLACE(nombre, ""^\S+\s*"", """")),
  iniciales, IF(
    resto="""",
    """",
    TEXTJOIN("""",1,ARRAYFORMULA(LEFT(SPLIT(resto,"" ""),1) &amp; "".""))"&amp;"
  ),
  UPPER(primer) &amp; "" "" &amp; UPPER(iniciales)
))"),"")</f>
        <v/>
      </c>
      <c r="J263" s="33" t="str">
        <f>IFERROR(__xludf.DUMMYFUNCTION("IF(H263="""","""",IFERROR(
IF(REGEXMATCH(E263,""VELOCIDAD""),
   IF(H263&gt;=MAX(INDEX(BAREMOS!F:X,MATCH(1,(BAREMOS!A:A=A263)*(BAREMOS!B:B=B263)*(BAREMOS!C:C=C263)*(BAREMOS!D:D=D263),0),0)),1,
      IF(H263&lt;=MIN(INDEX(BAREMOS!F:X,MATCH(1,(BAREMOS!A:A=A263)*("&amp;"BAREMOS!B:B=B263)*(BAREMOS!C:C=C263)*(BAREMOS!D:D=D263),0),0)),19,
         MATCH(H263,INDEX(BAREMOS!F:X,MATCH(1,(BAREMOS!A:A=A263)*(BAREMOS!B:B=B263)*(BAREMOS!C:C=C263)*(BAREMOS!D:D=D263),0),0),-1)
      )
   ),
   IF(H263&lt;=MIN(INDEX(BAREMOS!F:X,MATCH(1,"&amp;"(BAREMOS!A:A=A263)*(BAREMOS!B:B=B263)*(BAREMOS!C:C=C263)*(BAREMOS!D:D=D263),0),0)),1,
      IF(H263&gt;=MAX(INDEX(BAREMOS!F:X,MATCH(1,(BAREMOS!A:A=A263)*(BAREMOS!B:B=B263)*(BAREMOS!C:C=C263)*(BAREMOS!D:D=D263),0),0)),19,
         MATCH(H263,INDEX(BAREMOS!F:X"&amp;",MATCH(1,(BAREMOS!A:A=A263)*(BAREMOS!B:B=B263)*(BAREMOS!C:C=C263)*(BAREMOS!D:D=D263),0),0),1)
      )
   )
)
,""""))
"),"")</f>
        <v/>
      </c>
      <c r="K263" s="34" t="str">
        <f t="shared" si="1"/>
        <v/>
      </c>
      <c r="L263" s="16"/>
      <c r="M263" s="16"/>
      <c r="N263" s="16"/>
      <c r="O263" s="16"/>
      <c r="P263" s="16"/>
      <c r="Q263" s="16"/>
      <c r="R263" s="16"/>
      <c r="S263" s="16"/>
      <c r="T263" s="16"/>
      <c r="U263" s="16"/>
      <c r="V263" s="16"/>
      <c r="W263" s="16"/>
      <c r="X263" s="16"/>
      <c r="Y263" s="16"/>
      <c r="Z263" s="16"/>
      <c r="AA263" s="16"/>
      <c r="AB263" s="16"/>
      <c r="AC263" s="16"/>
    </row>
    <row r="264">
      <c r="A264" s="22" t="str">
        <f t="array" ref="A264">IF(E264="","",IFERROR(INDEX(CONFIGURACION!C:C,MATCH(E264,CONFIGURACION!E:E,0)),""))
</f>
        <v/>
      </c>
      <c r="B264" s="22" t="str">
        <f t="array" ref="B264">IF(E264="","",IFERROR(INDEX(CONFIGURACION!D:D,MATCH(E264,CONFIGURACION!E:E,0)),""))
</f>
        <v/>
      </c>
      <c r="C264" s="31"/>
      <c r="D264" s="9"/>
      <c r="E264" s="6"/>
      <c r="F264" s="24"/>
      <c r="G264" s="9"/>
      <c r="H264" s="32"/>
      <c r="I264" s="33" t="str">
        <f>IFERROR(__xludf.DUMMYFUNCTION("IF(F264="""","""",LET(
  nombre, TRIM(F264),
  primer, REGEXEXTRACT(nombre, ""^\S+""),
  resto, TRIM(REGEXREPLACE(nombre, ""^\S+\s*"", """")),
  iniciales, IF(
    resto="""",
    """",
    TEXTJOIN("""",1,ARRAYFORMULA(LEFT(SPLIT(resto,"" ""),1) &amp; "".""))"&amp;"
  ),
  UPPER(primer) &amp; "" "" &amp; UPPER(iniciales)
))"),"")</f>
        <v/>
      </c>
      <c r="J264" s="33" t="str">
        <f>IFERROR(__xludf.DUMMYFUNCTION("IF(H264="""","""",IFERROR(
IF(REGEXMATCH(E264,""VELOCIDAD""),
   IF(H264&gt;=MAX(INDEX(BAREMOS!F:X,MATCH(1,(BAREMOS!A:A=A264)*(BAREMOS!B:B=B264)*(BAREMOS!C:C=C264)*(BAREMOS!D:D=D264),0),0)),1,
      IF(H264&lt;=MIN(INDEX(BAREMOS!F:X,MATCH(1,(BAREMOS!A:A=A264)*("&amp;"BAREMOS!B:B=B264)*(BAREMOS!C:C=C264)*(BAREMOS!D:D=D264),0),0)),19,
         MATCH(H264,INDEX(BAREMOS!F:X,MATCH(1,(BAREMOS!A:A=A264)*(BAREMOS!B:B=B264)*(BAREMOS!C:C=C264)*(BAREMOS!D:D=D264),0),0),-1)
      )
   ),
   IF(H264&lt;=MIN(INDEX(BAREMOS!F:X,MATCH(1,"&amp;"(BAREMOS!A:A=A264)*(BAREMOS!B:B=B264)*(BAREMOS!C:C=C264)*(BAREMOS!D:D=D264),0),0)),1,
      IF(H264&gt;=MAX(INDEX(BAREMOS!F:X,MATCH(1,(BAREMOS!A:A=A264)*(BAREMOS!B:B=B264)*(BAREMOS!C:C=C264)*(BAREMOS!D:D=D264),0),0)),19,
         MATCH(H264,INDEX(BAREMOS!F:X"&amp;",MATCH(1,(BAREMOS!A:A=A264)*(BAREMOS!B:B=B264)*(BAREMOS!C:C=C264)*(BAREMOS!D:D=D264),0),0),1)
      )
   )
)
,""""))
"),"")</f>
        <v/>
      </c>
      <c r="K264" s="34" t="str">
        <f t="shared" si="1"/>
        <v/>
      </c>
      <c r="L264" s="16"/>
      <c r="M264" s="16"/>
      <c r="N264" s="16"/>
      <c r="O264" s="16"/>
      <c r="P264" s="16"/>
      <c r="Q264" s="16"/>
      <c r="R264" s="16"/>
      <c r="S264" s="16"/>
      <c r="T264" s="16"/>
      <c r="U264" s="16"/>
      <c r="V264" s="16"/>
      <c r="W264" s="16"/>
      <c r="X264" s="16"/>
      <c r="Y264" s="16"/>
      <c r="Z264" s="16"/>
      <c r="AA264" s="16"/>
      <c r="AB264" s="16"/>
      <c r="AC264" s="16"/>
    </row>
    <row r="265">
      <c r="A265" s="22" t="str">
        <f t="array" ref="A265">IF(E265="","",IFERROR(INDEX(CONFIGURACION!C:C,MATCH(E265,CONFIGURACION!E:E,0)),""))
</f>
        <v/>
      </c>
      <c r="B265" s="22" t="str">
        <f t="array" ref="B265">IF(E265="","",IFERROR(INDEX(CONFIGURACION!D:D,MATCH(E265,CONFIGURACION!E:E,0)),""))
</f>
        <v/>
      </c>
      <c r="C265" s="31"/>
      <c r="D265" s="9"/>
      <c r="E265" s="6"/>
      <c r="F265" s="24"/>
      <c r="G265" s="9"/>
      <c r="H265" s="32"/>
      <c r="I265" s="33" t="str">
        <f>IFERROR(__xludf.DUMMYFUNCTION("IF(F265="""","""",LET(
  nombre, TRIM(F265),
  primer, REGEXEXTRACT(nombre, ""^\S+""),
  resto, TRIM(REGEXREPLACE(nombre, ""^\S+\s*"", """")),
  iniciales, IF(
    resto="""",
    """",
    TEXTJOIN("""",1,ARRAYFORMULA(LEFT(SPLIT(resto,"" ""),1) &amp; "".""))"&amp;"
  ),
  UPPER(primer) &amp; "" "" &amp; UPPER(iniciales)
))"),"")</f>
        <v/>
      </c>
      <c r="J265" s="33" t="str">
        <f>IFERROR(__xludf.DUMMYFUNCTION("IF(H265="""","""",IFERROR(
IF(REGEXMATCH(E265,""VELOCIDAD""),
   IF(H265&gt;=MAX(INDEX(BAREMOS!F:X,MATCH(1,(BAREMOS!A:A=A265)*(BAREMOS!B:B=B265)*(BAREMOS!C:C=C265)*(BAREMOS!D:D=D265),0),0)),1,
      IF(H265&lt;=MIN(INDEX(BAREMOS!F:X,MATCH(1,(BAREMOS!A:A=A265)*("&amp;"BAREMOS!B:B=B265)*(BAREMOS!C:C=C265)*(BAREMOS!D:D=D265),0),0)),19,
         MATCH(H265,INDEX(BAREMOS!F:X,MATCH(1,(BAREMOS!A:A=A265)*(BAREMOS!B:B=B265)*(BAREMOS!C:C=C265)*(BAREMOS!D:D=D265),0),0),-1)
      )
   ),
   IF(H265&lt;=MIN(INDEX(BAREMOS!F:X,MATCH(1,"&amp;"(BAREMOS!A:A=A265)*(BAREMOS!B:B=B265)*(BAREMOS!C:C=C265)*(BAREMOS!D:D=D265),0),0)),1,
      IF(H265&gt;=MAX(INDEX(BAREMOS!F:X,MATCH(1,(BAREMOS!A:A=A265)*(BAREMOS!B:B=B265)*(BAREMOS!C:C=C265)*(BAREMOS!D:D=D265),0),0)),19,
         MATCH(H265,INDEX(BAREMOS!F:X"&amp;",MATCH(1,(BAREMOS!A:A=A265)*(BAREMOS!B:B=B265)*(BAREMOS!C:C=C265)*(BAREMOS!D:D=D265),0),0),1)
      )
   )
)
,""""))
"),"")</f>
        <v/>
      </c>
      <c r="K265" s="34" t="str">
        <f t="shared" si="1"/>
        <v/>
      </c>
      <c r="L265" s="16"/>
      <c r="M265" s="16"/>
      <c r="N265" s="16"/>
      <c r="O265" s="16"/>
      <c r="P265" s="16"/>
      <c r="Q265" s="16"/>
      <c r="R265" s="16"/>
      <c r="S265" s="16"/>
      <c r="T265" s="16"/>
      <c r="U265" s="16"/>
      <c r="V265" s="16"/>
      <c r="W265" s="16"/>
      <c r="X265" s="16"/>
      <c r="Y265" s="16"/>
      <c r="Z265" s="16"/>
      <c r="AA265" s="16"/>
      <c r="AB265" s="16"/>
      <c r="AC265" s="16"/>
    </row>
    <row r="266">
      <c r="A266" s="22" t="str">
        <f t="array" ref="A266">IF(E266="","",IFERROR(INDEX(CONFIGURACION!C:C,MATCH(E266,CONFIGURACION!E:E,0)),""))
</f>
        <v/>
      </c>
      <c r="B266" s="22" t="str">
        <f t="array" ref="B266">IF(E266="","",IFERROR(INDEX(CONFIGURACION!D:D,MATCH(E266,CONFIGURACION!E:E,0)),""))
</f>
        <v/>
      </c>
      <c r="C266" s="31"/>
      <c r="D266" s="9"/>
      <c r="E266" s="6"/>
      <c r="F266" s="24"/>
      <c r="G266" s="9"/>
      <c r="H266" s="32"/>
      <c r="I266" s="33" t="str">
        <f>IFERROR(__xludf.DUMMYFUNCTION("IF(F266="""","""",LET(
  nombre, TRIM(F266),
  primer, REGEXEXTRACT(nombre, ""^\S+""),
  resto, TRIM(REGEXREPLACE(nombre, ""^\S+\s*"", """")),
  iniciales, IF(
    resto="""",
    """",
    TEXTJOIN("""",1,ARRAYFORMULA(LEFT(SPLIT(resto,"" ""),1) &amp; "".""))"&amp;"
  ),
  UPPER(primer) &amp; "" "" &amp; UPPER(iniciales)
))"),"")</f>
        <v/>
      </c>
      <c r="J266" s="33" t="str">
        <f>IFERROR(__xludf.DUMMYFUNCTION("IF(H266="""","""",IFERROR(
IF(REGEXMATCH(E266,""VELOCIDAD""),
   IF(H266&gt;=MAX(INDEX(BAREMOS!F:X,MATCH(1,(BAREMOS!A:A=A266)*(BAREMOS!B:B=B266)*(BAREMOS!C:C=C266)*(BAREMOS!D:D=D266),0),0)),1,
      IF(H266&lt;=MIN(INDEX(BAREMOS!F:X,MATCH(1,(BAREMOS!A:A=A266)*("&amp;"BAREMOS!B:B=B266)*(BAREMOS!C:C=C266)*(BAREMOS!D:D=D266),0),0)),19,
         MATCH(H266,INDEX(BAREMOS!F:X,MATCH(1,(BAREMOS!A:A=A266)*(BAREMOS!B:B=B266)*(BAREMOS!C:C=C266)*(BAREMOS!D:D=D266),0),0),-1)
      )
   ),
   IF(H266&lt;=MIN(INDEX(BAREMOS!F:X,MATCH(1,"&amp;"(BAREMOS!A:A=A266)*(BAREMOS!B:B=B266)*(BAREMOS!C:C=C266)*(BAREMOS!D:D=D266),0),0)),1,
      IF(H266&gt;=MAX(INDEX(BAREMOS!F:X,MATCH(1,(BAREMOS!A:A=A266)*(BAREMOS!B:B=B266)*(BAREMOS!C:C=C266)*(BAREMOS!D:D=D266),0),0)),19,
         MATCH(H266,INDEX(BAREMOS!F:X"&amp;",MATCH(1,(BAREMOS!A:A=A266)*(BAREMOS!B:B=B266)*(BAREMOS!C:C=C266)*(BAREMOS!D:D=D266),0),0),1)
      )
   )
)
,""""))
"),"")</f>
        <v/>
      </c>
      <c r="K266" s="34" t="str">
        <f t="shared" si="1"/>
        <v/>
      </c>
      <c r="L266" s="16"/>
      <c r="M266" s="16"/>
      <c r="N266" s="16"/>
      <c r="O266" s="16"/>
      <c r="P266" s="16"/>
      <c r="Q266" s="16"/>
      <c r="R266" s="16"/>
      <c r="S266" s="16"/>
      <c r="T266" s="16"/>
      <c r="U266" s="16"/>
      <c r="V266" s="16"/>
      <c r="W266" s="16"/>
      <c r="X266" s="16"/>
      <c r="Y266" s="16"/>
      <c r="Z266" s="16"/>
      <c r="AA266" s="16"/>
      <c r="AB266" s="16"/>
      <c r="AC266" s="16"/>
    </row>
    <row r="267">
      <c r="A267" s="22" t="str">
        <f t="array" ref="A267">IF(E267="","",IFERROR(INDEX(CONFIGURACION!C:C,MATCH(E267,CONFIGURACION!E:E,0)),""))
</f>
        <v/>
      </c>
      <c r="B267" s="22" t="str">
        <f t="array" ref="B267">IF(E267="","",IFERROR(INDEX(CONFIGURACION!D:D,MATCH(E267,CONFIGURACION!E:E,0)),""))
</f>
        <v/>
      </c>
      <c r="C267" s="31"/>
      <c r="D267" s="9"/>
      <c r="E267" s="6"/>
      <c r="F267" s="24"/>
      <c r="G267" s="9"/>
      <c r="H267" s="32"/>
      <c r="I267" s="33" t="str">
        <f>IFERROR(__xludf.DUMMYFUNCTION("IF(F267="""","""",LET(
  nombre, TRIM(F267),
  primer, REGEXEXTRACT(nombre, ""^\S+""),
  resto, TRIM(REGEXREPLACE(nombre, ""^\S+\s*"", """")),
  iniciales, IF(
    resto="""",
    """",
    TEXTJOIN("""",1,ARRAYFORMULA(LEFT(SPLIT(resto,"" ""),1) &amp; "".""))"&amp;"
  ),
  UPPER(primer) &amp; "" "" &amp; UPPER(iniciales)
))"),"")</f>
        <v/>
      </c>
      <c r="J267" s="33" t="str">
        <f>IFERROR(__xludf.DUMMYFUNCTION("IF(H267="""","""",IFERROR(
IF(REGEXMATCH(E267,""VELOCIDAD""),
   IF(H267&gt;=MAX(INDEX(BAREMOS!F:X,MATCH(1,(BAREMOS!A:A=A267)*(BAREMOS!B:B=B267)*(BAREMOS!C:C=C267)*(BAREMOS!D:D=D267),0),0)),1,
      IF(H267&lt;=MIN(INDEX(BAREMOS!F:X,MATCH(1,(BAREMOS!A:A=A267)*("&amp;"BAREMOS!B:B=B267)*(BAREMOS!C:C=C267)*(BAREMOS!D:D=D267),0),0)),19,
         MATCH(H267,INDEX(BAREMOS!F:X,MATCH(1,(BAREMOS!A:A=A267)*(BAREMOS!B:B=B267)*(BAREMOS!C:C=C267)*(BAREMOS!D:D=D267),0),0),-1)
      )
   ),
   IF(H267&lt;=MIN(INDEX(BAREMOS!F:X,MATCH(1,"&amp;"(BAREMOS!A:A=A267)*(BAREMOS!B:B=B267)*(BAREMOS!C:C=C267)*(BAREMOS!D:D=D267),0),0)),1,
      IF(H267&gt;=MAX(INDEX(BAREMOS!F:X,MATCH(1,(BAREMOS!A:A=A267)*(BAREMOS!B:B=B267)*(BAREMOS!C:C=C267)*(BAREMOS!D:D=D267),0),0)),19,
         MATCH(H267,INDEX(BAREMOS!F:X"&amp;",MATCH(1,(BAREMOS!A:A=A267)*(BAREMOS!B:B=B267)*(BAREMOS!C:C=C267)*(BAREMOS!D:D=D267),0),0),1)
      )
   )
)
,""""))
"),"")</f>
        <v/>
      </c>
      <c r="K267" s="34" t="str">
        <f t="shared" si="1"/>
        <v/>
      </c>
      <c r="L267" s="16"/>
      <c r="M267" s="16"/>
      <c r="N267" s="16"/>
      <c r="O267" s="16"/>
      <c r="P267" s="16"/>
      <c r="Q267" s="16"/>
      <c r="R267" s="16"/>
      <c r="S267" s="16"/>
      <c r="T267" s="16"/>
      <c r="U267" s="16"/>
      <c r="V267" s="16"/>
      <c r="W267" s="16"/>
      <c r="X267" s="16"/>
      <c r="Y267" s="16"/>
      <c r="Z267" s="16"/>
      <c r="AA267" s="16"/>
      <c r="AB267" s="16"/>
      <c r="AC267" s="16"/>
    </row>
    <row r="268">
      <c r="A268" s="22" t="str">
        <f t="array" ref="A268">IF(E268="","",IFERROR(INDEX(CONFIGURACION!C:C,MATCH(E268,CONFIGURACION!E:E,0)),""))
</f>
        <v/>
      </c>
      <c r="B268" s="22" t="str">
        <f t="array" ref="B268">IF(E268="","",IFERROR(INDEX(CONFIGURACION!D:D,MATCH(E268,CONFIGURACION!E:E,0)),""))
</f>
        <v/>
      </c>
      <c r="C268" s="31"/>
      <c r="D268" s="9"/>
      <c r="E268" s="6"/>
      <c r="F268" s="24"/>
      <c r="G268" s="9"/>
      <c r="H268" s="32"/>
      <c r="I268" s="33" t="str">
        <f>IFERROR(__xludf.DUMMYFUNCTION("IF(F268="""","""",LET(
  nombre, TRIM(F268),
  primer, REGEXEXTRACT(nombre, ""^\S+""),
  resto, TRIM(REGEXREPLACE(nombre, ""^\S+\s*"", """")),
  iniciales, IF(
    resto="""",
    """",
    TEXTJOIN("""",1,ARRAYFORMULA(LEFT(SPLIT(resto,"" ""),1) &amp; "".""))"&amp;"
  ),
  UPPER(primer) &amp; "" "" &amp; UPPER(iniciales)
))"),"")</f>
        <v/>
      </c>
      <c r="J268" s="33" t="str">
        <f>IFERROR(__xludf.DUMMYFUNCTION("IF(H268="""","""",IFERROR(
IF(REGEXMATCH(E268,""VELOCIDAD""),
   IF(H268&gt;=MAX(INDEX(BAREMOS!F:X,MATCH(1,(BAREMOS!A:A=A268)*(BAREMOS!B:B=B268)*(BAREMOS!C:C=C268)*(BAREMOS!D:D=D268),0),0)),1,
      IF(H268&lt;=MIN(INDEX(BAREMOS!F:X,MATCH(1,(BAREMOS!A:A=A268)*("&amp;"BAREMOS!B:B=B268)*(BAREMOS!C:C=C268)*(BAREMOS!D:D=D268),0),0)),19,
         MATCH(H268,INDEX(BAREMOS!F:X,MATCH(1,(BAREMOS!A:A=A268)*(BAREMOS!B:B=B268)*(BAREMOS!C:C=C268)*(BAREMOS!D:D=D268),0),0),-1)
      )
   ),
   IF(H268&lt;=MIN(INDEX(BAREMOS!F:X,MATCH(1,"&amp;"(BAREMOS!A:A=A268)*(BAREMOS!B:B=B268)*(BAREMOS!C:C=C268)*(BAREMOS!D:D=D268),0),0)),1,
      IF(H268&gt;=MAX(INDEX(BAREMOS!F:X,MATCH(1,(BAREMOS!A:A=A268)*(BAREMOS!B:B=B268)*(BAREMOS!C:C=C268)*(BAREMOS!D:D=D268),0),0)),19,
         MATCH(H268,INDEX(BAREMOS!F:X"&amp;",MATCH(1,(BAREMOS!A:A=A268)*(BAREMOS!B:B=B268)*(BAREMOS!C:C=C268)*(BAREMOS!D:D=D268),0),0),1)
      )
   )
)
,""""))
"),"")</f>
        <v/>
      </c>
      <c r="K268" s="34" t="str">
        <f t="shared" si="1"/>
        <v/>
      </c>
      <c r="L268" s="16"/>
      <c r="M268" s="16"/>
      <c r="N268" s="16"/>
      <c r="O268" s="16"/>
      <c r="P268" s="16"/>
      <c r="Q268" s="16"/>
      <c r="R268" s="16"/>
      <c r="S268" s="16"/>
      <c r="T268" s="16"/>
      <c r="U268" s="16"/>
      <c r="V268" s="16"/>
      <c r="W268" s="16"/>
      <c r="X268" s="16"/>
      <c r="Y268" s="16"/>
      <c r="Z268" s="16"/>
      <c r="AA268" s="16"/>
      <c r="AB268" s="16"/>
      <c r="AC268" s="16"/>
    </row>
    <row r="269">
      <c r="A269" s="22" t="str">
        <f t="array" ref="A269">IF(E269="","",IFERROR(INDEX(CONFIGURACION!C:C,MATCH(E269,CONFIGURACION!E:E,0)),""))
</f>
        <v/>
      </c>
      <c r="B269" s="22" t="str">
        <f t="array" ref="B269">IF(E269="","",IFERROR(INDEX(CONFIGURACION!D:D,MATCH(E269,CONFIGURACION!E:E,0)),""))
</f>
        <v/>
      </c>
      <c r="C269" s="31"/>
      <c r="D269" s="9"/>
      <c r="E269" s="6"/>
      <c r="F269" s="24"/>
      <c r="G269" s="9"/>
      <c r="H269" s="32"/>
      <c r="I269" s="33" t="str">
        <f>IFERROR(__xludf.DUMMYFUNCTION("IF(F269="""","""",LET(
  nombre, TRIM(F269),
  primer, REGEXEXTRACT(nombre, ""^\S+""),
  resto, TRIM(REGEXREPLACE(nombre, ""^\S+\s*"", """")),
  iniciales, IF(
    resto="""",
    """",
    TEXTJOIN("""",1,ARRAYFORMULA(LEFT(SPLIT(resto,"" ""),1) &amp; "".""))"&amp;"
  ),
  UPPER(primer) &amp; "" "" &amp; UPPER(iniciales)
))"),"")</f>
        <v/>
      </c>
      <c r="J269" s="33" t="str">
        <f>IFERROR(__xludf.DUMMYFUNCTION("IF(H269="""","""",IFERROR(
IF(REGEXMATCH(E269,""VELOCIDAD""),
   IF(H269&gt;=MAX(INDEX(BAREMOS!F:X,MATCH(1,(BAREMOS!A:A=A269)*(BAREMOS!B:B=B269)*(BAREMOS!C:C=C269)*(BAREMOS!D:D=D269),0),0)),1,
      IF(H269&lt;=MIN(INDEX(BAREMOS!F:X,MATCH(1,(BAREMOS!A:A=A269)*("&amp;"BAREMOS!B:B=B269)*(BAREMOS!C:C=C269)*(BAREMOS!D:D=D269),0),0)),19,
         MATCH(H269,INDEX(BAREMOS!F:X,MATCH(1,(BAREMOS!A:A=A269)*(BAREMOS!B:B=B269)*(BAREMOS!C:C=C269)*(BAREMOS!D:D=D269),0),0),-1)
      )
   ),
   IF(H269&lt;=MIN(INDEX(BAREMOS!F:X,MATCH(1,"&amp;"(BAREMOS!A:A=A269)*(BAREMOS!B:B=B269)*(BAREMOS!C:C=C269)*(BAREMOS!D:D=D269),0),0)),1,
      IF(H269&gt;=MAX(INDEX(BAREMOS!F:X,MATCH(1,(BAREMOS!A:A=A269)*(BAREMOS!B:B=B269)*(BAREMOS!C:C=C269)*(BAREMOS!D:D=D269),0),0)),19,
         MATCH(H269,INDEX(BAREMOS!F:X"&amp;",MATCH(1,(BAREMOS!A:A=A269)*(BAREMOS!B:B=B269)*(BAREMOS!C:C=C269)*(BAREMOS!D:D=D269),0),0),1)
      )
   )
)
,""""))
"),"")</f>
        <v/>
      </c>
      <c r="K269" s="34" t="str">
        <f t="shared" si="1"/>
        <v/>
      </c>
      <c r="L269" s="16"/>
      <c r="M269" s="16"/>
      <c r="N269" s="16"/>
      <c r="O269" s="16"/>
      <c r="P269" s="16"/>
      <c r="Q269" s="16"/>
      <c r="R269" s="16"/>
      <c r="S269" s="16"/>
      <c r="T269" s="16"/>
      <c r="U269" s="16"/>
      <c r="V269" s="16"/>
      <c r="W269" s="16"/>
      <c r="X269" s="16"/>
      <c r="Y269" s="16"/>
      <c r="Z269" s="16"/>
      <c r="AA269" s="16"/>
      <c r="AB269" s="16"/>
      <c r="AC269" s="16"/>
    </row>
    <row r="270">
      <c r="A270" s="22" t="str">
        <f t="array" ref="A270">IF(E270="","",IFERROR(INDEX(CONFIGURACION!C:C,MATCH(E270,CONFIGURACION!E:E,0)),""))
</f>
        <v/>
      </c>
      <c r="B270" s="22" t="str">
        <f t="array" ref="B270">IF(E270="","",IFERROR(INDEX(CONFIGURACION!D:D,MATCH(E270,CONFIGURACION!E:E,0)),""))
</f>
        <v/>
      </c>
      <c r="C270" s="31"/>
      <c r="D270" s="9"/>
      <c r="E270" s="6"/>
      <c r="F270" s="24"/>
      <c r="G270" s="9"/>
      <c r="H270" s="32"/>
      <c r="I270" s="33" t="str">
        <f>IFERROR(__xludf.DUMMYFUNCTION("IF(F270="""","""",LET(
  nombre, TRIM(F270),
  primer, REGEXEXTRACT(nombre, ""^\S+""),
  resto, TRIM(REGEXREPLACE(nombre, ""^\S+\s*"", """")),
  iniciales, IF(
    resto="""",
    """",
    TEXTJOIN("""",1,ARRAYFORMULA(LEFT(SPLIT(resto,"" ""),1) &amp; "".""))"&amp;"
  ),
  UPPER(primer) &amp; "" "" &amp; UPPER(iniciales)
))"),"")</f>
        <v/>
      </c>
      <c r="J270" s="33" t="str">
        <f>IFERROR(__xludf.DUMMYFUNCTION("IF(H270="""","""",IFERROR(
IF(REGEXMATCH(E270,""VELOCIDAD""),
   IF(H270&gt;=MAX(INDEX(BAREMOS!F:X,MATCH(1,(BAREMOS!A:A=A270)*(BAREMOS!B:B=B270)*(BAREMOS!C:C=C270)*(BAREMOS!D:D=D270),0),0)),1,
      IF(H270&lt;=MIN(INDEX(BAREMOS!F:X,MATCH(1,(BAREMOS!A:A=A270)*("&amp;"BAREMOS!B:B=B270)*(BAREMOS!C:C=C270)*(BAREMOS!D:D=D270),0),0)),19,
         MATCH(H270,INDEX(BAREMOS!F:X,MATCH(1,(BAREMOS!A:A=A270)*(BAREMOS!B:B=B270)*(BAREMOS!C:C=C270)*(BAREMOS!D:D=D270),0),0),-1)
      )
   ),
   IF(H270&lt;=MIN(INDEX(BAREMOS!F:X,MATCH(1,"&amp;"(BAREMOS!A:A=A270)*(BAREMOS!B:B=B270)*(BAREMOS!C:C=C270)*(BAREMOS!D:D=D270),0),0)),1,
      IF(H270&gt;=MAX(INDEX(BAREMOS!F:X,MATCH(1,(BAREMOS!A:A=A270)*(BAREMOS!B:B=B270)*(BAREMOS!C:C=C270)*(BAREMOS!D:D=D270),0),0)),19,
         MATCH(H270,INDEX(BAREMOS!F:X"&amp;",MATCH(1,(BAREMOS!A:A=A270)*(BAREMOS!B:B=B270)*(BAREMOS!C:C=C270)*(BAREMOS!D:D=D270),0),0),1)
      )
   )
)
,""""))
"),"")</f>
        <v/>
      </c>
      <c r="K270" s="34" t="str">
        <f t="shared" si="1"/>
        <v/>
      </c>
      <c r="L270" s="16"/>
      <c r="M270" s="16"/>
      <c r="N270" s="16"/>
      <c r="O270" s="16"/>
      <c r="P270" s="16"/>
      <c r="Q270" s="16"/>
      <c r="R270" s="16"/>
      <c r="S270" s="16"/>
      <c r="T270" s="16"/>
      <c r="U270" s="16"/>
      <c r="V270" s="16"/>
      <c r="W270" s="16"/>
      <c r="X270" s="16"/>
      <c r="Y270" s="16"/>
      <c r="Z270" s="16"/>
      <c r="AA270" s="16"/>
      <c r="AB270" s="16"/>
      <c r="AC270" s="16"/>
    </row>
    <row r="271">
      <c r="A271" s="22" t="str">
        <f t="array" ref="A271">IF(E271="","",IFERROR(INDEX(CONFIGURACION!C:C,MATCH(E271,CONFIGURACION!E:E,0)),""))
</f>
        <v/>
      </c>
      <c r="B271" s="22" t="str">
        <f t="array" ref="B271">IF(E271="","",IFERROR(INDEX(CONFIGURACION!D:D,MATCH(E271,CONFIGURACION!E:E,0)),""))
</f>
        <v/>
      </c>
      <c r="C271" s="31"/>
      <c r="D271" s="9"/>
      <c r="E271" s="6"/>
      <c r="F271" s="24"/>
      <c r="G271" s="9"/>
      <c r="H271" s="32"/>
      <c r="I271" s="33" t="str">
        <f>IFERROR(__xludf.DUMMYFUNCTION("IF(F271="""","""",LET(
  nombre, TRIM(F271),
  primer, REGEXEXTRACT(nombre, ""^\S+""),
  resto, TRIM(REGEXREPLACE(nombre, ""^\S+\s*"", """")),
  iniciales, IF(
    resto="""",
    """",
    TEXTJOIN("""",1,ARRAYFORMULA(LEFT(SPLIT(resto,"" ""),1) &amp; "".""))"&amp;"
  ),
  UPPER(primer) &amp; "" "" &amp; UPPER(iniciales)
))"),"")</f>
        <v/>
      </c>
      <c r="J271" s="33" t="str">
        <f>IFERROR(__xludf.DUMMYFUNCTION("IF(H271="""","""",IFERROR(
IF(REGEXMATCH(E271,""VELOCIDAD""),
   IF(H271&gt;=MAX(INDEX(BAREMOS!F:X,MATCH(1,(BAREMOS!A:A=A271)*(BAREMOS!B:B=B271)*(BAREMOS!C:C=C271)*(BAREMOS!D:D=D271),0),0)),1,
      IF(H271&lt;=MIN(INDEX(BAREMOS!F:X,MATCH(1,(BAREMOS!A:A=A271)*("&amp;"BAREMOS!B:B=B271)*(BAREMOS!C:C=C271)*(BAREMOS!D:D=D271),0),0)),19,
         MATCH(H271,INDEX(BAREMOS!F:X,MATCH(1,(BAREMOS!A:A=A271)*(BAREMOS!B:B=B271)*(BAREMOS!C:C=C271)*(BAREMOS!D:D=D271),0),0),-1)
      )
   ),
   IF(H271&lt;=MIN(INDEX(BAREMOS!F:X,MATCH(1,"&amp;"(BAREMOS!A:A=A271)*(BAREMOS!B:B=B271)*(BAREMOS!C:C=C271)*(BAREMOS!D:D=D271),0),0)),1,
      IF(H271&gt;=MAX(INDEX(BAREMOS!F:X,MATCH(1,(BAREMOS!A:A=A271)*(BAREMOS!B:B=B271)*(BAREMOS!C:C=C271)*(BAREMOS!D:D=D271),0),0)),19,
         MATCH(H271,INDEX(BAREMOS!F:X"&amp;",MATCH(1,(BAREMOS!A:A=A271)*(BAREMOS!B:B=B271)*(BAREMOS!C:C=C271)*(BAREMOS!D:D=D271),0),0),1)
      )
   )
)
,""""))
"),"")</f>
        <v/>
      </c>
      <c r="K271" s="34" t="str">
        <f t="shared" si="1"/>
        <v/>
      </c>
      <c r="L271" s="16"/>
      <c r="M271" s="16"/>
      <c r="N271" s="16"/>
      <c r="O271" s="16"/>
      <c r="P271" s="16"/>
      <c r="Q271" s="16"/>
      <c r="R271" s="16"/>
      <c r="S271" s="16"/>
      <c r="T271" s="16"/>
      <c r="U271" s="16"/>
      <c r="V271" s="16"/>
      <c r="W271" s="16"/>
      <c r="X271" s="16"/>
      <c r="Y271" s="16"/>
      <c r="Z271" s="16"/>
      <c r="AA271" s="16"/>
      <c r="AB271" s="16"/>
      <c r="AC271" s="16"/>
    </row>
    <row r="272">
      <c r="A272" s="22" t="str">
        <f t="array" ref="A272">IF(E272="","",IFERROR(INDEX(CONFIGURACION!C:C,MATCH(E272,CONFIGURACION!E:E,0)),""))
</f>
        <v/>
      </c>
      <c r="B272" s="22" t="str">
        <f t="array" ref="B272">IF(E272="","",IFERROR(INDEX(CONFIGURACION!D:D,MATCH(E272,CONFIGURACION!E:E,0)),""))
</f>
        <v/>
      </c>
      <c r="C272" s="31"/>
      <c r="D272" s="9"/>
      <c r="E272" s="6"/>
      <c r="F272" s="24"/>
      <c r="G272" s="9"/>
      <c r="H272" s="32"/>
      <c r="I272" s="33" t="str">
        <f>IFERROR(__xludf.DUMMYFUNCTION("IF(F272="""","""",LET(
  nombre, TRIM(F272),
  primer, REGEXEXTRACT(nombre, ""^\S+""),
  resto, TRIM(REGEXREPLACE(nombre, ""^\S+\s*"", """")),
  iniciales, IF(
    resto="""",
    """",
    TEXTJOIN("""",1,ARRAYFORMULA(LEFT(SPLIT(resto,"" ""),1) &amp; "".""))"&amp;"
  ),
  UPPER(primer) &amp; "" "" &amp; UPPER(iniciales)
))"),"")</f>
        <v/>
      </c>
      <c r="J272" s="33" t="str">
        <f>IFERROR(__xludf.DUMMYFUNCTION("IF(H272="""","""",IFERROR(
IF(REGEXMATCH(E272,""VELOCIDAD""),
   IF(H272&gt;=MAX(INDEX(BAREMOS!F:X,MATCH(1,(BAREMOS!A:A=A272)*(BAREMOS!B:B=B272)*(BAREMOS!C:C=C272)*(BAREMOS!D:D=D272),0),0)),1,
      IF(H272&lt;=MIN(INDEX(BAREMOS!F:X,MATCH(1,(BAREMOS!A:A=A272)*("&amp;"BAREMOS!B:B=B272)*(BAREMOS!C:C=C272)*(BAREMOS!D:D=D272),0),0)),19,
         MATCH(H272,INDEX(BAREMOS!F:X,MATCH(1,(BAREMOS!A:A=A272)*(BAREMOS!B:B=B272)*(BAREMOS!C:C=C272)*(BAREMOS!D:D=D272),0),0),-1)
      )
   ),
   IF(H272&lt;=MIN(INDEX(BAREMOS!F:X,MATCH(1,"&amp;"(BAREMOS!A:A=A272)*(BAREMOS!B:B=B272)*(BAREMOS!C:C=C272)*(BAREMOS!D:D=D272),0),0)),1,
      IF(H272&gt;=MAX(INDEX(BAREMOS!F:X,MATCH(1,(BAREMOS!A:A=A272)*(BAREMOS!B:B=B272)*(BAREMOS!C:C=C272)*(BAREMOS!D:D=D272),0),0)),19,
         MATCH(H272,INDEX(BAREMOS!F:X"&amp;",MATCH(1,(BAREMOS!A:A=A272)*(BAREMOS!B:B=B272)*(BAREMOS!C:C=C272)*(BAREMOS!D:D=D272),0),0),1)
      )
   )
)
,""""))
"),"")</f>
        <v/>
      </c>
      <c r="K272" s="34" t="str">
        <f t="shared" si="1"/>
        <v/>
      </c>
      <c r="L272" s="16"/>
      <c r="M272" s="16"/>
      <c r="N272" s="16"/>
      <c r="O272" s="16"/>
      <c r="P272" s="16"/>
      <c r="Q272" s="16"/>
      <c r="R272" s="16"/>
      <c r="S272" s="16"/>
      <c r="T272" s="16"/>
      <c r="U272" s="16"/>
      <c r="V272" s="16"/>
      <c r="W272" s="16"/>
      <c r="X272" s="16"/>
      <c r="Y272" s="16"/>
      <c r="Z272" s="16"/>
      <c r="AA272" s="16"/>
      <c r="AB272" s="16"/>
      <c r="AC272" s="16"/>
    </row>
    <row r="273">
      <c r="A273" s="22" t="str">
        <f t="array" ref="A273">IF(E273="","",IFERROR(INDEX(CONFIGURACION!C:C,MATCH(E273,CONFIGURACION!E:E,0)),""))
</f>
        <v/>
      </c>
      <c r="B273" s="22" t="str">
        <f t="array" ref="B273">IF(E273="","",IFERROR(INDEX(CONFIGURACION!D:D,MATCH(E273,CONFIGURACION!E:E,0)),""))
</f>
        <v/>
      </c>
      <c r="C273" s="31"/>
      <c r="D273" s="9"/>
      <c r="E273" s="6"/>
      <c r="F273" s="24"/>
      <c r="G273" s="9"/>
      <c r="H273" s="32"/>
      <c r="I273" s="33" t="str">
        <f>IFERROR(__xludf.DUMMYFUNCTION("IF(F273="""","""",LET(
  nombre, TRIM(F273),
  primer, REGEXEXTRACT(nombre, ""^\S+""),
  resto, TRIM(REGEXREPLACE(nombre, ""^\S+\s*"", """")),
  iniciales, IF(
    resto="""",
    """",
    TEXTJOIN("""",1,ARRAYFORMULA(LEFT(SPLIT(resto,"" ""),1) &amp; "".""))"&amp;"
  ),
  UPPER(primer) &amp; "" "" &amp; UPPER(iniciales)
))"),"")</f>
        <v/>
      </c>
      <c r="J273" s="33" t="str">
        <f>IFERROR(__xludf.DUMMYFUNCTION("IF(H273="""","""",IFERROR(
IF(REGEXMATCH(E273,""VELOCIDAD""),
   IF(H273&gt;=MAX(INDEX(BAREMOS!F:X,MATCH(1,(BAREMOS!A:A=A273)*(BAREMOS!B:B=B273)*(BAREMOS!C:C=C273)*(BAREMOS!D:D=D273),0),0)),1,
      IF(H273&lt;=MIN(INDEX(BAREMOS!F:X,MATCH(1,(BAREMOS!A:A=A273)*("&amp;"BAREMOS!B:B=B273)*(BAREMOS!C:C=C273)*(BAREMOS!D:D=D273),0),0)),19,
         MATCH(H273,INDEX(BAREMOS!F:X,MATCH(1,(BAREMOS!A:A=A273)*(BAREMOS!B:B=B273)*(BAREMOS!C:C=C273)*(BAREMOS!D:D=D273),0),0),-1)
      )
   ),
   IF(H273&lt;=MIN(INDEX(BAREMOS!F:X,MATCH(1,"&amp;"(BAREMOS!A:A=A273)*(BAREMOS!B:B=B273)*(BAREMOS!C:C=C273)*(BAREMOS!D:D=D273),0),0)),1,
      IF(H273&gt;=MAX(INDEX(BAREMOS!F:X,MATCH(1,(BAREMOS!A:A=A273)*(BAREMOS!B:B=B273)*(BAREMOS!C:C=C273)*(BAREMOS!D:D=D273),0),0)),19,
         MATCH(H273,INDEX(BAREMOS!F:X"&amp;",MATCH(1,(BAREMOS!A:A=A273)*(BAREMOS!B:B=B273)*(BAREMOS!C:C=C273)*(BAREMOS!D:D=D273),0),0),1)
      )
   )
)
,""""))
"),"")</f>
        <v/>
      </c>
      <c r="K273" s="34" t="str">
        <f t="shared" si="1"/>
        <v/>
      </c>
      <c r="L273" s="16"/>
      <c r="M273" s="16"/>
      <c r="N273" s="16"/>
      <c r="O273" s="16"/>
      <c r="P273" s="16"/>
      <c r="Q273" s="16"/>
      <c r="R273" s="16"/>
      <c r="S273" s="16"/>
      <c r="T273" s="16"/>
      <c r="U273" s="16"/>
      <c r="V273" s="16"/>
      <c r="W273" s="16"/>
      <c r="X273" s="16"/>
      <c r="Y273" s="16"/>
      <c r="Z273" s="16"/>
      <c r="AA273" s="16"/>
      <c r="AB273" s="16"/>
      <c r="AC273" s="16"/>
    </row>
    <row r="274">
      <c r="A274" s="22" t="str">
        <f t="array" ref="A274">IF(E274="","",IFERROR(INDEX(CONFIGURACION!C:C,MATCH(E274,CONFIGURACION!E:E,0)),""))
</f>
        <v/>
      </c>
      <c r="B274" s="22" t="str">
        <f t="array" ref="B274">IF(E274="","",IFERROR(INDEX(CONFIGURACION!D:D,MATCH(E274,CONFIGURACION!E:E,0)),""))
</f>
        <v/>
      </c>
      <c r="C274" s="31"/>
      <c r="D274" s="9"/>
      <c r="E274" s="6"/>
      <c r="F274" s="24"/>
      <c r="G274" s="9"/>
      <c r="H274" s="32"/>
      <c r="I274" s="33" t="str">
        <f>IFERROR(__xludf.DUMMYFUNCTION("IF(F274="""","""",LET(
  nombre, TRIM(F274),
  primer, REGEXEXTRACT(nombre, ""^\S+""),
  resto, TRIM(REGEXREPLACE(nombre, ""^\S+\s*"", """")),
  iniciales, IF(
    resto="""",
    """",
    TEXTJOIN("""",1,ARRAYFORMULA(LEFT(SPLIT(resto,"" ""),1) &amp; "".""))"&amp;"
  ),
  UPPER(primer) &amp; "" "" &amp; UPPER(iniciales)
))"),"")</f>
        <v/>
      </c>
      <c r="J274" s="33" t="str">
        <f>IFERROR(__xludf.DUMMYFUNCTION("IF(H274="""","""",IFERROR(
IF(REGEXMATCH(E274,""VELOCIDAD""),
   IF(H274&gt;=MAX(INDEX(BAREMOS!F:X,MATCH(1,(BAREMOS!A:A=A274)*(BAREMOS!B:B=B274)*(BAREMOS!C:C=C274)*(BAREMOS!D:D=D274),0),0)),1,
      IF(H274&lt;=MIN(INDEX(BAREMOS!F:X,MATCH(1,(BAREMOS!A:A=A274)*("&amp;"BAREMOS!B:B=B274)*(BAREMOS!C:C=C274)*(BAREMOS!D:D=D274),0),0)),19,
         MATCH(H274,INDEX(BAREMOS!F:X,MATCH(1,(BAREMOS!A:A=A274)*(BAREMOS!B:B=B274)*(BAREMOS!C:C=C274)*(BAREMOS!D:D=D274),0),0),-1)
      )
   ),
   IF(H274&lt;=MIN(INDEX(BAREMOS!F:X,MATCH(1,"&amp;"(BAREMOS!A:A=A274)*(BAREMOS!B:B=B274)*(BAREMOS!C:C=C274)*(BAREMOS!D:D=D274),0),0)),1,
      IF(H274&gt;=MAX(INDEX(BAREMOS!F:X,MATCH(1,(BAREMOS!A:A=A274)*(BAREMOS!B:B=B274)*(BAREMOS!C:C=C274)*(BAREMOS!D:D=D274),0),0)),19,
         MATCH(H274,INDEX(BAREMOS!F:X"&amp;",MATCH(1,(BAREMOS!A:A=A274)*(BAREMOS!B:B=B274)*(BAREMOS!C:C=C274)*(BAREMOS!D:D=D274),0),0),1)
      )
   )
)
,""""))
"),"")</f>
        <v/>
      </c>
      <c r="K274" s="34" t="str">
        <f t="shared" si="1"/>
        <v/>
      </c>
      <c r="L274" s="16"/>
      <c r="M274" s="16"/>
      <c r="N274" s="16"/>
      <c r="O274" s="16"/>
      <c r="P274" s="16"/>
      <c r="Q274" s="16"/>
      <c r="R274" s="16"/>
      <c r="S274" s="16"/>
      <c r="T274" s="16"/>
      <c r="U274" s="16"/>
      <c r="V274" s="16"/>
      <c r="W274" s="16"/>
      <c r="X274" s="16"/>
      <c r="Y274" s="16"/>
      <c r="Z274" s="16"/>
      <c r="AA274" s="16"/>
      <c r="AB274" s="16"/>
      <c r="AC274" s="16"/>
    </row>
    <row r="275">
      <c r="A275" s="22" t="str">
        <f t="array" ref="A275">IF(E275="","",IFERROR(INDEX(CONFIGURACION!C:C,MATCH(E275,CONFIGURACION!E:E,0)),""))
</f>
        <v/>
      </c>
      <c r="B275" s="22" t="str">
        <f t="array" ref="B275">IF(E275="","",IFERROR(INDEX(CONFIGURACION!D:D,MATCH(E275,CONFIGURACION!E:E,0)),""))
</f>
        <v/>
      </c>
      <c r="C275" s="31"/>
      <c r="D275" s="9"/>
      <c r="E275" s="6"/>
      <c r="F275" s="24"/>
      <c r="G275" s="9"/>
      <c r="H275" s="32"/>
      <c r="I275" s="33" t="str">
        <f>IFERROR(__xludf.DUMMYFUNCTION("IF(F275="""","""",LET(
  nombre, TRIM(F275),
  primer, REGEXEXTRACT(nombre, ""^\S+""),
  resto, TRIM(REGEXREPLACE(nombre, ""^\S+\s*"", """")),
  iniciales, IF(
    resto="""",
    """",
    TEXTJOIN("""",1,ARRAYFORMULA(LEFT(SPLIT(resto,"" ""),1) &amp; "".""))"&amp;"
  ),
  UPPER(primer) &amp; "" "" &amp; UPPER(iniciales)
))"),"")</f>
        <v/>
      </c>
      <c r="J275" s="33" t="str">
        <f>IFERROR(__xludf.DUMMYFUNCTION("IF(H275="""","""",IFERROR(
IF(REGEXMATCH(E275,""VELOCIDAD""),
   IF(H275&gt;=MAX(INDEX(BAREMOS!F:X,MATCH(1,(BAREMOS!A:A=A275)*(BAREMOS!B:B=B275)*(BAREMOS!C:C=C275)*(BAREMOS!D:D=D275),0),0)),1,
      IF(H275&lt;=MIN(INDEX(BAREMOS!F:X,MATCH(1,(BAREMOS!A:A=A275)*("&amp;"BAREMOS!B:B=B275)*(BAREMOS!C:C=C275)*(BAREMOS!D:D=D275),0),0)),19,
         MATCH(H275,INDEX(BAREMOS!F:X,MATCH(1,(BAREMOS!A:A=A275)*(BAREMOS!B:B=B275)*(BAREMOS!C:C=C275)*(BAREMOS!D:D=D275),0),0),-1)
      )
   ),
   IF(H275&lt;=MIN(INDEX(BAREMOS!F:X,MATCH(1,"&amp;"(BAREMOS!A:A=A275)*(BAREMOS!B:B=B275)*(BAREMOS!C:C=C275)*(BAREMOS!D:D=D275),0),0)),1,
      IF(H275&gt;=MAX(INDEX(BAREMOS!F:X,MATCH(1,(BAREMOS!A:A=A275)*(BAREMOS!B:B=B275)*(BAREMOS!C:C=C275)*(BAREMOS!D:D=D275),0),0)),19,
         MATCH(H275,INDEX(BAREMOS!F:X"&amp;",MATCH(1,(BAREMOS!A:A=A275)*(BAREMOS!B:B=B275)*(BAREMOS!C:C=C275)*(BAREMOS!D:D=D275),0),0),1)
      )
   )
)
,""""))
"),"")</f>
        <v/>
      </c>
      <c r="K275" s="34" t="str">
        <f t="shared" si="1"/>
        <v/>
      </c>
      <c r="L275" s="16"/>
      <c r="M275" s="16"/>
      <c r="N275" s="16"/>
      <c r="O275" s="16"/>
      <c r="P275" s="16"/>
      <c r="Q275" s="16"/>
      <c r="R275" s="16"/>
      <c r="S275" s="16"/>
      <c r="T275" s="16"/>
      <c r="U275" s="16"/>
      <c r="V275" s="16"/>
      <c r="W275" s="16"/>
      <c r="X275" s="16"/>
      <c r="Y275" s="16"/>
      <c r="Z275" s="16"/>
      <c r="AA275" s="16"/>
      <c r="AB275" s="16"/>
      <c r="AC275" s="16"/>
    </row>
    <row r="276">
      <c r="A276" s="22" t="str">
        <f t="array" ref="A276">IF(E276="","",IFERROR(INDEX(CONFIGURACION!C:C,MATCH(E276,CONFIGURACION!E:E,0)),""))
</f>
        <v/>
      </c>
      <c r="B276" s="22" t="str">
        <f t="array" ref="B276">IF(E276="","",IFERROR(INDEX(CONFIGURACION!D:D,MATCH(E276,CONFIGURACION!E:E,0)),""))
</f>
        <v/>
      </c>
      <c r="C276" s="31"/>
      <c r="D276" s="9"/>
      <c r="E276" s="6"/>
      <c r="F276" s="24"/>
      <c r="G276" s="9"/>
      <c r="H276" s="32"/>
      <c r="I276" s="33" t="str">
        <f>IFERROR(__xludf.DUMMYFUNCTION("IF(F276="""","""",LET(
  nombre, TRIM(F276),
  primer, REGEXEXTRACT(nombre, ""^\S+""),
  resto, TRIM(REGEXREPLACE(nombre, ""^\S+\s*"", """")),
  iniciales, IF(
    resto="""",
    """",
    TEXTJOIN("""",1,ARRAYFORMULA(LEFT(SPLIT(resto,"" ""),1) &amp; "".""))"&amp;"
  ),
  UPPER(primer) &amp; "" "" &amp; UPPER(iniciales)
))"),"")</f>
        <v/>
      </c>
      <c r="J276" s="33" t="str">
        <f>IFERROR(__xludf.DUMMYFUNCTION("IF(H276="""","""",IFERROR(
IF(REGEXMATCH(E276,""VELOCIDAD""),
   IF(H276&gt;=MAX(INDEX(BAREMOS!F:X,MATCH(1,(BAREMOS!A:A=A276)*(BAREMOS!B:B=B276)*(BAREMOS!C:C=C276)*(BAREMOS!D:D=D276),0),0)),1,
      IF(H276&lt;=MIN(INDEX(BAREMOS!F:X,MATCH(1,(BAREMOS!A:A=A276)*("&amp;"BAREMOS!B:B=B276)*(BAREMOS!C:C=C276)*(BAREMOS!D:D=D276),0),0)),19,
         MATCH(H276,INDEX(BAREMOS!F:X,MATCH(1,(BAREMOS!A:A=A276)*(BAREMOS!B:B=B276)*(BAREMOS!C:C=C276)*(BAREMOS!D:D=D276),0),0),-1)
      )
   ),
   IF(H276&lt;=MIN(INDEX(BAREMOS!F:X,MATCH(1,"&amp;"(BAREMOS!A:A=A276)*(BAREMOS!B:B=B276)*(BAREMOS!C:C=C276)*(BAREMOS!D:D=D276),0),0)),1,
      IF(H276&gt;=MAX(INDEX(BAREMOS!F:X,MATCH(1,(BAREMOS!A:A=A276)*(BAREMOS!B:B=B276)*(BAREMOS!C:C=C276)*(BAREMOS!D:D=D276),0),0)),19,
         MATCH(H276,INDEX(BAREMOS!F:X"&amp;",MATCH(1,(BAREMOS!A:A=A276)*(BAREMOS!B:B=B276)*(BAREMOS!C:C=C276)*(BAREMOS!D:D=D276),0),0),1)
      )
   )
)
,""""))
"),"")</f>
        <v/>
      </c>
      <c r="K276" s="34" t="str">
        <f t="shared" si="1"/>
        <v/>
      </c>
      <c r="L276" s="16"/>
      <c r="M276" s="16"/>
      <c r="N276" s="16"/>
      <c r="O276" s="16"/>
      <c r="P276" s="16"/>
      <c r="Q276" s="16"/>
      <c r="R276" s="16"/>
      <c r="S276" s="16"/>
      <c r="T276" s="16"/>
      <c r="U276" s="16"/>
      <c r="V276" s="16"/>
      <c r="W276" s="16"/>
      <c r="X276" s="16"/>
      <c r="Y276" s="16"/>
      <c r="Z276" s="16"/>
      <c r="AA276" s="16"/>
      <c r="AB276" s="16"/>
      <c r="AC276" s="16"/>
    </row>
    <row r="277">
      <c r="A277" s="22" t="str">
        <f t="array" ref="A277">IF(E277="","",IFERROR(INDEX(CONFIGURACION!C:C,MATCH(E277,CONFIGURACION!E:E,0)),""))
</f>
        <v/>
      </c>
      <c r="B277" s="22" t="str">
        <f t="array" ref="B277">IF(E277="","",IFERROR(INDEX(CONFIGURACION!D:D,MATCH(E277,CONFIGURACION!E:E,0)),""))
</f>
        <v/>
      </c>
      <c r="C277" s="31"/>
      <c r="D277" s="9"/>
      <c r="E277" s="6"/>
      <c r="F277" s="24"/>
      <c r="G277" s="9"/>
      <c r="H277" s="32"/>
      <c r="I277" s="33" t="str">
        <f>IFERROR(__xludf.DUMMYFUNCTION("IF(F277="""","""",LET(
  nombre, TRIM(F277),
  primer, REGEXEXTRACT(nombre, ""^\S+""),
  resto, TRIM(REGEXREPLACE(nombre, ""^\S+\s*"", """")),
  iniciales, IF(
    resto="""",
    """",
    TEXTJOIN("""",1,ARRAYFORMULA(LEFT(SPLIT(resto,"" ""),1) &amp; "".""))"&amp;"
  ),
  UPPER(primer) &amp; "" "" &amp; UPPER(iniciales)
))"),"")</f>
        <v/>
      </c>
      <c r="J277" s="33" t="str">
        <f>IFERROR(__xludf.DUMMYFUNCTION("IF(H277="""","""",IFERROR(
IF(REGEXMATCH(E277,""VELOCIDAD""),
   IF(H277&gt;=MAX(INDEX(BAREMOS!F:X,MATCH(1,(BAREMOS!A:A=A277)*(BAREMOS!B:B=B277)*(BAREMOS!C:C=C277)*(BAREMOS!D:D=D277),0),0)),1,
      IF(H277&lt;=MIN(INDEX(BAREMOS!F:X,MATCH(1,(BAREMOS!A:A=A277)*("&amp;"BAREMOS!B:B=B277)*(BAREMOS!C:C=C277)*(BAREMOS!D:D=D277),0),0)),19,
         MATCH(H277,INDEX(BAREMOS!F:X,MATCH(1,(BAREMOS!A:A=A277)*(BAREMOS!B:B=B277)*(BAREMOS!C:C=C277)*(BAREMOS!D:D=D277),0),0),-1)
      )
   ),
   IF(H277&lt;=MIN(INDEX(BAREMOS!F:X,MATCH(1,"&amp;"(BAREMOS!A:A=A277)*(BAREMOS!B:B=B277)*(BAREMOS!C:C=C277)*(BAREMOS!D:D=D277),0),0)),1,
      IF(H277&gt;=MAX(INDEX(BAREMOS!F:X,MATCH(1,(BAREMOS!A:A=A277)*(BAREMOS!B:B=B277)*(BAREMOS!C:C=C277)*(BAREMOS!D:D=D277),0),0)),19,
         MATCH(H277,INDEX(BAREMOS!F:X"&amp;",MATCH(1,(BAREMOS!A:A=A277)*(BAREMOS!B:B=B277)*(BAREMOS!C:C=C277)*(BAREMOS!D:D=D277),0),0),1)
      )
   )
)
,""""))
"),"")</f>
        <v/>
      </c>
      <c r="K277" s="34" t="str">
        <f t="shared" si="1"/>
        <v/>
      </c>
      <c r="L277" s="16"/>
      <c r="M277" s="16"/>
      <c r="N277" s="16"/>
      <c r="O277" s="16"/>
      <c r="P277" s="16"/>
      <c r="Q277" s="16"/>
      <c r="R277" s="16"/>
      <c r="S277" s="16"/>
      <c r="T277" s="16"/>
      <c r="U277" s="16"/>
      <c r="V277" s="16"/>
      <c r="W277" s="16"/>
      <c r="X277" s="16"/>
      <c r="Y277" s="16"/>
      <c r="Z277" s="16"/>
      <c r="AA277" s="16"/>
      <c r="AB277" s="16"/>
      <c r="AC277" s="16"/>
    </row>
    <row r="278">
      <c r="A278" s="22" t="str">
        <f t="array" ref="A278">IF(E278="","",IFERROR(INDEX(CONFIGURACION!C:C,MATCH(E278,CONFIGURACION!E:E,0)),""))
</f>
        <v/>
      </c>
      <c r="B278" s="22" t="str">
        <f t="array" ref="B278">IF(E278="","",IFERROR(INDEX(CONFIGURACION!D:D,MATCH(E278,CONFIGURACION!E:E,0)),""))
</f>
        <v/>
      </c>
      <c r="C278" s="31"/>
      <c r="D278" s="9"/>
      <c r="E278" s="6"/>
      <c r="F278" s="24"/>
      <c r="G278" s="9"/>
      <c r="H278" s="32"/>
      <c r="I278" s="33" t="str">
        <f>IFERROR(__xludf.DUMMYFUNCTION("IF(F278="""","""",LET(
  nombre, TRIM(F278),
  primer, REGEXEXTRACT(nombre, ""^\S+""),
  resto, TRIM(REGEXREPLACE(nombre, ""^\S+\s*"", """")),
  iniciales, IF(
    resto="""",
    """",
    TEXTJOIN("""",1,ARRAYFORMULA(LEFT(SPLIT(resto,"" ""),1) &amp; "".""))"&amp;"
  ),
  UPPER(primer) &amp; "" "" &amp; UPPER(iniciales)
))"),"")</f>
        <v/>
      </c>
      <c r="J278" s="33" t="str">
        <f>IFERROR(__xludf.DUMMYFUNCTION("IF(H278="""","""",IFERROR(
IF(REGEXMATCH(E278,""VELOCIDAD""),
   IF(H278&gt;=MAX(INDEX(BAREMOS!F:X,MATCH(1,(BAREMOS!A:A=A278)*(BAREMOS!B:B=B278)*(BAREMOS!C:C=C278)*(BAREMOS!D:D=D278),0),0)),1,
      IF(H278&lt;=MIN(INDEX(BAREMOS!F:X,MATCH(1,(BAREMOS!A:A=A278)*("&amp;"BAREMOS!B:B=B278)*(BAREMOS!C:C=C278)*(BAREMOS!D:D=D278),0),0)),19,
         MATCH(H278,INDEX(BAREMOS!F:X,MATCH(1,(BAREMOS!A:A=A278)*(BAREMOS!B:B=B278)*(BAREMOS!C:C=C278)*(BAREMOS!D:D=D278),0),0),-1)
      )
   ),
   IF(H278&lt;=MIN(INDEX(BAREMOS!F:X,MATCH(1,"&amp;"(BAREMOS!A:A=A278)*(BAREMOS!B:B=B278)*(BAREMOS!C:C=C278)*(BAREMOS!D:D=D278),0),0)),1,
      IF(H278&gt;=MAX(INDEX(BAREMOS!F:X,MATCH(1,(BAREMOS!A:A=A278)*(BAREMOS!B:B=B278)*(BAREMOS!C:C=C278)*(BAREMOS!D:D=D278),0),0)),19,
         MATCH(H278,INDEX(BAREMOS!F:X"&amp;",MATCH(1,(BAREMOS!A:A=A278)*(BAREMOS!B:B=B278)*(BAREMOS!C:C=C278)*(BAREMOS!D:D=D278),0),0),1)
      )
   )
)
,""""))
"),"")</f>
        <v/>
      </c>
      <c r="K278" s="34" t="str">
        <f t="shared" si="1"/>
        <v/>
      </c>
      <c r="L278" s="16"/>
      <c r="M278" s="16"/>
      <c r="N278" s="16"/>
      <c r="O278" s="16"/>
      <c r="P278" s="16"/>
      <c r="Q278" s="16"/>
      <c r="R278" s="16"/>
      <c r="S278" s="16"/>
      <c r="T278" s="16"/>
      <c r="U278" s="16"/>
      <c r="V278" s="16"/>
      <c r="W278" s="16"/>
      <c r="X278" s="16"/>
      <c r="Y278" s="16"/>
      <c r="Z278" s="16"/>
      <c r="AA278" s="16"/>
      <c r="AB278" s="16"/>
      <c r="AC278" s="16"/>
    </row>
    <row r="279">
      <c r="A279" s="22" t="str">
        <f t="array" ref="A279">IF(E279="","",IFERROR(INDEX(CONFIGURACION!C:C,MATCH(E279,CONFIGURACION!E:E,0)),""))
</f>
        <v/>
      </c>
      <c r="B279" s="22" t="str">
        <f t="array" ref="B279">IF(E279="","",IFERROR(INDEX(CONFIGURACION!D:D,MATCH(E279,CONFIGURACION!E:E,0)),""))
</f>
        <v/>
      </c>
      <c r="C279" s="31"/>
      <c r="D279" s="9"/>
      <c r="E279" s="6"/>
      <c r="F279" s="24"/>
      <c r="G279" s="9"/>
      <c r="H279" s="32"/>
      <c r="I279" s="33" t="str">
        <f>IFERROR(__xludf.DUMMYFUNCTION("IF(F279="""","""",LET(
  nombre, TRIM(F279),
  primer, REGEXEXTRACT(nombre, ""^\S+""),
  resto, TRIM(REGEXREPLACE(nombre, ""^\S+\s*"", """")),
  iniciales, IF(
    resto="""",
    """",
    TEXTJOIN("""",1,ARRAYFORMULA(LEFT(SPLIT(resto,"" ""),1) &amp; "".""))"&amp;"
  ),
  UPPER(primer) &amp; "" "" &amp; UPPER(iniciales)
))"),"")</f>
        <v/>
      </c>
      <c r="J279" s="33" t="str">
        <f>IFERROR(__xludf.DUMMYFUNCTION("IF(H279="""","""",IFERROR(
IF(REGEXMATCH(E279,""VELOCIDAD""),
   IF(H279&gt;=MAX(INDEX(BAREMOS!F:X,MATCH(1,(BAREMOS!A:A=A279)*(BAREMOS!B:B=B279)*(BAREMOS!C:C=C279)*(BAREMOS!D:D=D279),0),0)),1,
      IF(H279&lt;=MIN(INDEX(BAREMOS!F:X,MATCH(1,(BAREMOS!A:A=A279)*("&amp;"BAREMOS!B:B=B279)*(BAREMOS!C:C=C279)*(BAREMOS!D:D=D279),0),0)),19,
         MATCH(H279,INDEX(BAREMOS!F:X,MATCH(1,(BAREMOS!A:A=A279)*(BAREMOS!B:B=B279)*(BAREMOS!C:C=C279)*(BAREMOS!D:D=D279),0),0),-1)
      )
   ),
   IF(H279&lt;=MIN(INDEX(BAREMOS!F:X,MATCH(1,"&amp;"(BAREMOS!A:A=A279)*(BAREMOS!B:B=B279)*(BAREMOS!C:C=C279)*(BAREMOS!D:D=D279),0),0)),1,
      IF(H279&gt;=MAX(INDEX(BAREMOS!F:X,MATCH(1,(BAREMOS!A:A=A279)*(BAREMOS!B:B=B279)*(BAREMOS!C:C=C279)*(BAREMOS!D:D=D279),0),0)),19,
         MATCH(H279,INDEX(BAREMOS!F:X"&amp;",MATCH(1,(BAREMOS!A:A=A279)*(BAREMOS!B:B=B279)*(BAREMOS!C:C=C279)*(BAREMOS!D:D=D279),0),0),1)
      )
   )
)
,""""))
"),"")</f>
        <v/>
      </c>
      <c r="K279" s="34" t="str">
        <f t="shared" si="1"/>
        <v/>
      </c>
      <c r="L279" s="16"/>
      <c r="M279" s="16"/>
      <c r="N279" s="16"/>
      <c r="O279" s="16"/>
      <c r="P279" s="16"/>
      <c r="Q279" s="16"/>
      <c r="R279" s="16"/>
      <c r="S279" s="16"/>
      <c r="T279" s="16"/>
      <c r="U279" s="16"/>
      <c r="V279" s="16"/>
      <c r="W279" s="16"/>
      <c r="X279" s="16"/>
      <c r="Y279" s="16"/>
      <c r="Z279" s="16"/>
      <c r="AA279" s="16"/>
      <c r="AB279" s="16"/>
      <c r="AC279" s="16"/>
    </row>
    <row r="280">
      <c r="A280" s="22" t="str">
        <f t="array" ref="A280">IF(E280="","",IFERROR(INDEX(CONFIGURACION!C:C,MATCH(E280,CONFIGURACION!E:E,0)),""))
</f>
        <v/>
      </c>
      <c r="B280" s="22" t="str">
        <f t="array" ref="B280">IF(E280="","",IFERROR(INDEX(CONFIGURACION!D:D,MATCH(E280,CONFIGURACION!E:E,0)),""))
</f>
        <v/>
      </c>
      <c r="C280" s="31"/>
      <c r="D280" s="9"/>
      <c r="E280" s="6"/>
      <c r="F280" s="24"/>
      <c r="G280" s="9"/>
      <c r="H280" s="32"/>
      <c r="I280" s="33" t="str">
        <f>IFERROR(__xludf.DUMMYFUNCTION("IF(F280="""","""",LET(
  nombre, TRIM(F280),
  primer, REGEXEXTRACT(nombre, ""^\S+""),
  resto, TRIM(REGEXREPLACE(nombre, ""^\S+\s*"", """")),
  iniciales, IF(
    resto="""",
    """",
    TEXTJOIN("""",1,ARRAYFORMULA(LEFT(SPLIT(resto,"" ""),1) &amp; "".""))"&amp;"
  ),
  UPPER(primer) &amp; "" "" &amp; UPPER(iniciales)
))"),"")</f>
        <v/>
      </c>
      <c r="J280" s="33" t="str">
        <f>IFERROR(__xludf.DUMMYFUNCTION("IF(H280="""","""",IFERROR(
IF(REGEXMATCH(E280,""VELOCIDAD""),
   IF(H280&gt;=MAX(INDEX(BAREMOS!F:X,MATCH(1,(BAREMOS!A:A=A280)*(BAREMOS!B:B=B280)*(BAREMOS!C:C=C280)*(BAREMOS!D:D=D280),0),0)),1,
      IF(H280&lt;=MIN(INDEX(BAREMOS!F:X,MATCH(1,(BAREMOS!A:A=A280)*("&amp;"BAREMOS!B:B=B280)*(BAREMOS!C:C=C280)*(BAREMOS!D:D=D280),0),0)),19,
         MATCH(H280,INDEX(BAREMOS!F:X,MATCH(1,(BAREMOS!A:A=A280)*(BAREMOS!B:B=B280)*(BAREMOS!C:C=C280)*(BAREMOS!D:D=D280),0),0),-1)
      )
   ),
   IF(H280&lt;=MIN(INDEX(BAREMOS!F:X,MATCH(1,"&amp;"(BAREMOS!A:A=A280)*(BAREMOS!B:B=B280)*(BAREMOS!C:C=C280)*(BAREMOS!D:D=D280),0),0)),1,
      IF(H280&gt;=MAX(INDEX(BAREMOS!F:X,MATCH(1,(BAREMOS!A:A=A280)*(BAREMOS!B:B=B280)*(BAREMOS!C:C=C280)*(BAREMOS!D:D=D280),0),0)),19,
         MATCH(H280,INDEX(BAREMOS!F:X"&amp;",MATCH(1,(BAREMOS!A:A=A280)*(BAREMOS!B:B=B280)*(BAREMOS!C:C=C280)*(BAREMOS!D:D=D280),0),0),1)
      )
   )
)
,""""))
"),"")</f>
        <v/>
      </c>
      <c r="K280" s="34" t="str">
        <f t="shared" si="1"/>
        <v/>
      </c>
      <c r="L280" s="16"/>
      <c r="M280" s="16"/>
      <c r="N280" s="16"/>
      <c r="O280" s="16"/>
      <c r="P280" s="16"/>
      <c r="Q280" s="16"/>
      <c r="R280" s="16"/>
      <c r="S280" s="16"/>
      <c r="T280" s="16"/>
      <c r="U280" s="16"/>
      <c r="V280" s="16"/>
      <c r="W280" s="16"/>
      <c r="X280" s="16"/>
      <c r="Y280" s="16"/>
      <c r="Z280" s="16"/>
      <c r="AA280" s="16"/>
      <c r="AB280" s="16"/>
      <c r="AC280" s="16"/>
    </row>
    <row r="281">
      <c r="A281" s="22" t="str">
        <f t="array" ref="A281">IF(E281="","",IFERROR(INDEX(CONFIGURACION!C:C,MATCH(E281,CONFIGURACION!E:E,0)),""))
</f>
        <v/>
      </c>
      <c r="B281" s="22" t="str">
        <f t="array" ref="B281">IF(E281="","",IFERROR(INDEX(CONFIGURACION!D:D,MATCH(E281,CONFIGURACION!E:E,0)),""))
</f>
        <v/>
      </c>
      <c r="C281" s="31"/>
      <c r="D281" s="9"/>
      <c r="E281" s="6"/>
      <c r="F281" s="24"/>
      <c r="G281" s="9"/>
      <c r="H281" s="32"/>
      <c r="I281" s="33" t="str">
        <f>IFERROR(__xludf.DUMMYFUNCTION("IF(F281="""","""",LET(
  nombre, TRIM(F281),
  primer, REGEXEXTRACT(nombre, ""^\S+""),
  resto, TRIM(REGEXREPLACE(nombre, ""^\S+\s*"", """")),
  iniciales, IF(
    resto="""",
    """",
    TEXTJOIN("""",1,ARRAYFORMULA(LEFT(SPLIT(resto,"" ""),1) &amp; "".""))"&amp;"
  ),
  UPPER(primer) &amp; "" "" &amp; UPPER(iniciales)
))"),"")</f>
        <v/>
      </c>
      <c r="J281" s="33" t="str">
        <f>IFERROR(__xludf.DUMMYFUNCTION("IF(H281="""","""",IFERROR(
IF(REGEXMATCH(E281,""VELOCIDAD""),
   IF(H281&gt;=MAX(INDEX(BAREMOS!F:X,MATCH(1,(BAREMOS!A:A=A281)*(BAREMOS!B:B=B281)*(BAREMOS!C:C=C281)*(BAREMOS!D:D=D281),0),0)),1,
      IF(H281&lt;=MIN(INDEX(BAREMOS!F:X,MATCH(1,(BAREMOS!A:A=A281)*("&amp;"BAREMOS!B:B=B281)*(BAREMOS!C:C=C281)*(BAREMOS!D:D=D281),0),0)),19,
         MATCH(H281,INDEX(BAREMOS!F:X,MATCH(1,(BAREMOS!A:A=A281)*(BAREMOS!B:B=B281)*(BAREMOS!C:C=C281)*(BAREMOS!D:D=D281),0),0),-1)
      )
   ),
   IF(H281&lt;=MIN(INDEX(BAREMOS!F:X,MATCH(1,"&amp;"(BAREMOS!A:A=A281)*(BAREMOS!B:B=B281)*(BAREMOS!C:C=C281)*(BAREMOS!D:D=D281),0),0)),1,
      IF(H281&gt;=MAX(INDEX(BAREMOS!F:X,MATCH(1,(BAREMOS!A:A=A281)*(BAREMOS!B:B=B281)*(BAREMOS!C:C=C281)*(BAREMOS!D:D=D281),0),0)),19,
         MATCH(H281,INDEX(BAREMOS!F:X"&amp;",MATCH(1,(BAREMOS!A:A=A281)*(BAREMOS!B:B=B281)*(BAREMOS!C:C=C281)*(BAREMOS!D:D=D281),0),0),1)
      )
   )
)
,""""))
"),"")</f>
        <v/>
      </c>
      <c r="K281" s="34" t="str">
        <f t="shared" si="1"/>
        <v/>
      </c>
      <c r="L281" s="16"/>
      <c r="M281" s="16"/>
      <c r="N281" s="16"/>
      <c r="O281" s="16"/>
      <c r="P281" s="16"/>
      <c r="Q281" s="16"/>
      <c r="R281" s="16"/>
      <c r="S281" s="16"/>
      <c r="T281" s="16"/>
      <c r="U281" s="16"/>
      <c r="V281" s="16"/>
      <c r="W281" s="16"/>
      <c r="X281" s="16"/>
      <c r="Y281" s="16"/>
      <c r="Z281" s="16"/>
      <c r="AA281" s="16"/>
      <c r="AB281" s="16"/>
      <c r="AC281" s="16"/>
    </row>
    <row r="282">
      <c r="A282" s="22" t="str">
        <f t="array" ref="A282">IF(E282="","",IFERROR(INDEX(CONFIGURACION!C:C,MATCH(E282,CONFIGURACION!E:E,0)),""))
</f>
        <v/>
      </c>
      <c r="B282" s="22" t="str">
        <f t="array" ref="B282">IF(E282="","",IFERROR(INDEX(CONFIGURACION!D:D,MATCH(E282,CONFIGURACION!E:E,0)),""))
</f>
        <v/>
      </c>
      <c r="C282" s="31"/>
      <c r="D282" s="9"/>
      <c r="E282" s="6"/>
      <c r="F282" s="24"/>
      <c r="G282" s="9"/>
      <c r="H282" s="32"/>
      <c r="I282" s="33" t="str">
        <f>IFERROR(__xludf.DUMMYFUNCTION("IF(F282="""","""",LET(
  nombre, TRIM(F282),
  primer, REGEXEXTRACT(nombre, ""^\S+""),
  resto, TRIM(REGEXREPLACE(nombre, ""^\S+\s*"", """")),
  iniciales, IF(
    resto="""",
    """",
    TEXTJOIN("""",1,ARRAYFORMULA(LEFT(SPLIT(resto,"" ""),1) &amp; "".""))"&amp;"
  ),
  UPPER(primer) &amp; "" "" &amp; UPPER(iniciales)
))"),"")</f>
        <v/>
      </c>
      <c r="J282" s="33" t="str">
        <f>IFERROR(__xludf.DUMMYFUNCTION("IF(H282="""","""",IFERROR(
IF(REGEXMATCH(E282,""VELOCIDAD""),
   IF(H282&gt;=MAX(INDEX(BAREMOS!F:X,MATCH(1,(BAREMOS!A:A=A282)*(BAREMOS!B:B=B282)*(BAREMOS!C:C=C282)*(BAREMOS!D:D=D282),0),0)),1,
      IF(H282&lt;=MIN(INDEX(BAREMOS!F:X,MATCH(1,(BAREMOS!A:A=A282)*("&amp;"BAREMOS!B:B=B282)*(BAREMOS!C:C=C282)*(BAREMOS!D:D=D282),0),0)),19,
         MATCH(H282,INDEX(BAREMOS!F:X,MATCH(1,(BAREMOS!A:A=A282)*(BAREMOS!B:B=B282)*(BAREMOS!C:C=C282)*(BAREMOS!D:D=D282),0),0),-1)
      )
   ),
   IF(H282&lt;=MIN(INDEX(BAREMOS!F:X,MATCH(1,"&amp;"(BAREMOS!A:A=A282)*(BAREMOS!B:B=B282)*(BAREMOS!C:C=C282)*(BAREMOS!D:D=D282),0),0)),1,
      IF(H282&gt;=MAX(INDEX(BAREMOS!F:X,MATCH(1,(BAREMOS!A:A=A282)*(BAREMOS!B:B=B282)*(BAREMOS!C:C=C282)*(BAREMOS!D:D=D282),0),0)),19,
         MATCH(H282,INDEX(BAREMOS!F:X"&amp;",MATCH(1,(BAREMOS!A:A=A282)*(BAREMOS!B:B=B282)*(BAREMOS!C:C=C282)*(BAREMOS!D:D=D282),0),0),1)
      )
   )
)
,""""))
"),"")</f>
        <v/>
      </c>
      <c r="K282" s="34" t="str">
        <f t="shared" si="1"/>
        <v/>
      </c>
      <c r="L282" s="16"/>
      <c r="M282" s="16"/>
      <c r="N282" s="16"/>
      <c r="O282" s="16"/>
      <c r="P282" s="16"/>
      <c r="Q282" s="16"/>
      <c r="R282" s="16"/>
      <c r="S282" s="16"/>
      <c r="T282" s="16"/>
      <c r="U282" s="16"/>
      <c r="V282" s="16"/>
      <c r="W282" s="16"/>
      <c r="X282" s="16"/>
      <c r="Y282" s="16"/>
      <c r="Z282" s="16"/>
      <c r="AA282" s="16"/>
      <c r="AB282" s="16"/>
      <c r="AC282" s="16"/>
    </row>
    <row r="283">
      <c r="A283" s="22" t="str">
        <f t="array" ref="A283">IF(E283="","",IFERROR(INDEX(CONFIGURACION!C:C,MATCH(E283,CONFIGURACION!E:E,0)),""))
</f>
        <v/>
      </c>
      <c r="B283" s="22" t="str">
        <f t="array" ref="B283">IF(E283="","",IFERROR(INDEX(CONFIGURACION!D:D,MATCH(E283,CONFIGURACION!E:E,0)),""))
</f>
        <v/>
      </c>
      <c r="C283" s="31"/>
      <c r="D283" s="9"/>
      <c r="E283" s="6"/>
      <c r="F283" s="24"/>
      <c r="G283" s="9"/>
      <c r="H283" s="32"/>
      <c r="I283" s="33" t="str">
        <f>IFERROR(__xludf.DUMMYFUNCTION("IF(F283="""","""",LET(
  nombre, TRIM(F283),
  primer, REGEXEXTRACT(nombre, ""^\S+""),
  resto, TRIM(REGEXREPLACE(nombre, ""^\S+\s*"", """")),
  iniciales, IF(
    resto="""",
    """",
    TEXTJOIN("""",1,ARRAYFORMULA(LEFT(SPLIT(resto,"" ""),1) &amp; "".""))"&amp;"
  ),
  UPPER(primer) &amp; "" "" &amp; UPPER(iniciales)
))"),"")</f>
        <v/>
      </c>
      <c r="J283" s="33" t="str">
        <f>IFERROR(__xludf.DUMMYFUNCTION("IF(H283="""","""",IFERROR(
IF(REGEXMATCH(E283,""VELOCIDAD""),
   IF(H283&gt;=MAX(INDEX(BAREMOS!F:X,MATCH(1,(BAREMOS!A:A=A283)*(BAREMOS!B:B=B283)*(BAREMOS!C:C=C283)*(BAREMOS!D:D=D283),0),0)),1,
      IF(H283&lt;=MIN(INDEX(BAREMOS!F:X,MATCH(1,(BAREMOS!A:A=A283)*("&amp;"BAREMOS!B:B=B283)*(BAREMOS!C:C=C283)*(BAREMOS!D:D=D283),0),0)),19,
         MATCH(H283,INDEX(BAREMOS!F:X,MATCH(1,(BAREMOS!A:A=A283)*(BAREMOS!B:B=B283)*(BAREMOS!C:C=C283)*(BAREMOS!D:D=D283),0),0),-1)
      )
   ),
   IF(H283&lt;=MIN(INDEX(BAREMOS!F:X,MATCH(1,"&amp;"(BAREMOS!A:A=A283)*(BAREMOS!B:B=B283)*(BAREMOS!C:C=C283)*(BAREMOS!D:D=D283),0),0)),1,
      IF(H283&gt;=MAX(INDEX(BAREMOS!F:X,MATCH(1,(BAREMOS!A:A=A283)*(BAREMOS!B:B=B283)*(BAREMOS!C:C=C283)*(BAREMOS!D:D=D283),0),0)),19,
         MATCH(H283,INDEX(BAREMOS!F:X"&amp;",MATCH(1,(BAREMOS!A:A=A283)*(BAREMOS!B:B=B283)*(BAREMOS!C:C=C283)*(BAREMOS!D:D=D283),0),0),1)
      )
   )
)
,""""))
"),"")</f>
        <v/>
      </c>
      <c r="K283" s="34" t="str">
        <f t="shared" si="1"/>
        <v/>
      </c>
      <c r="L283" s="16"/>
      <c r="M283" s="16"/>
      <c r="N283" s="16"/>
      <c r="O283" s="16"/>
      <c r="P283" s="16"/>
      <c r="Q283" s="16"/>
      <c r="R283" s="16"/>
      <c r="S283" s="16"/>
      <c r="T283" s="16"/>
      <c r="U283" s="16"/>
      <c r="V283" s="16"/>
      <c r="W283" s="16"/>
      <c r="X283" s="16"/>
      <c r="Y283" s="16"/>
      <c r="Z283" s="16"/>
      <c r="AA283" s="16"/>
      <c r="AB283" s="16"/>
      <c r="AC283" s="16"/>
    </row>
    <row r="284">
      <c r="A284" s="22" t="str">
        <f t="array" ref="A284">IF(E284="","",IFERROR(INDEX(CONFIGURACION!C:C,MATCH(E284,CONFIGURACION!E:E,0)),""))
</f>
        <v/>
      </c>
      <c r="B284" s="22" t="str">
        <f t="array" ref="B284">IF(E284="","",IFERROR(INDEX(CONFIGURACION!D:D,MATCH(E284,CONFIGURACION!E:E,0)),""))
</f>
        <v/>
      </c>
      <c r="C284" s="31"/>
      <c r="D284" s="9"/>
      <c r="E284" s="6"/>
      <c r="F284" s="24"/>
      <c r="G284" s="9"/>
      <c r="H284" s="32"/>
      <c r="I284" s="33" t="str">
        <f>IFERROR(__xludf.DUMMYFUNCTION("IF(F284="""","""",LET(
  nombre, TRIM(F284),
  primer, REGEXEXTRACT(nombre, ""^\S+""),
  resto, TRIM(REGEXREPLACE(nombre, ""^\S+\s*"", """")),
  iniciales, IF(
    resto="""",
    """",
    TEXTJOIN("""",1,ARRAYFORMULA(LEFT(SPLIT(resto,"" ""),1) &amp; "".""))"&amp;"
  ),
  UPPER(primer) &amp; "" "" &amp; UPPER(iniciales)
))"),"")</f>
        <v/>
      </c>
      <c r="J284" s="33" t="str">
        <f>IFERROR(__xludf.DUMMYFUNCTION("IF(H284="""","""",IFERROR(
IF(REGEXMATCH(E284,""VELOCIDAD""),
   IF(H284&gt;=MAX(INDEX(BAREMOS!F:X,MATCH(1,(BAREMOS!A:A=A284)*(BAREMOS!B:B=B284)*(BAREMOS!C:C=C284)*(BAREMOS!D:D=D284),0),0)),1,
      IF(H284&lt;=MIN(INDEX(BAREMOS!F:X,MATCH(1,(BAREMOS!A:A=A284)*("&amp;"BAREMOS!B:B=B284)*(BAREMOS!C:C=C284)*(BAREMOS!D:D=D284),0),0)),19,
         MATCH(H284,INDEX(BAREMOS!F:X,MATCH(1,(BAREMOS!A:A=A284)*(BAREMOS!B:B=B284)*(BAREMOS!C:C=C284)*(BAREMOS!D:D=D284),0),0),-1)
      )
   ),
   IF(H284&lt;=MIN(INDEX(BAREMOS!F:X,MATCH(1,"&amp;"(BAREMOS!A:A=A284)*(BAREMOS!B:B=B284)*(BAREMOS!C:C=C284)*(BAREMOS!D:D=D284),0),0)),1,
      IF(H284&gt;=MAX(INDEX(BAREMOS!F:X,MATCH(1,(BAREMOS!A:A=A284)*(BAREMOS!B:B=B284)*(BAREMOS!C:C=C284)*(BAREMOS!D:D=D284),0),0)),19,
         MATCH(H284,INDEX(BAREMOS!F:X"&amp;",MATCH(1,(BAREMOS!A:A=A284)*(BAREMOS!B:B=B284)*(BAREMOS!C:C=C284)*(BAREMOS!D:D=D284),0),0),1)
      )
   )
)
,""""))
"),"")</f>
        <v/>
      </c>
      <c r="K284" s="34" t="str">
        <f t="shared" si="1"/>
        <v/>
      </c>
      <c r="L284" s="16"/>
      <c r="M284" s="16"/>
      <c r="N284" s="16"/>
      <c r="O284" s="16"/>
      <c r="P284" s="16"/>
      <c r="Q284" s="16"/>
      <c r="R284" s="16"/>
      <c r="S284" s="16"/>
      <c r="T284" s="16"/>
      <c r="U284" s="16"/>
      <c r="V284" s="16"/>
      <c r="W284" s="16"/>
      <c r="X284" s="16"/>
      <c r="Y284" s="16"/>
      <c r="Z284" s="16"/>
      <c r="AA284" s="16"/>
      <c r="AB284" s="16"/>
      <c r="AC284" s="16"/>
    </row>
    <row r="285">
      <c r="A285" s="22" t="str">
        <f t="array" ref="A285">IF(E285="","",IFERROR(INDEX(CONFIGURACION!C:C,MATCH(E285,CONFIGURACION!E:E,0)),""))
</f>
        <v/>
      </c>
      <c r="B285" s="22" t="str">
        <f t="array" ref="B285">IF(E285="","",IFERROR(INDEX(CONFIGURACION!D:D,MATCH(E285,CONFIGURACION!E:E,0)),""))
</f>
        <v/>
      </c>
      <c r="C285" s="31"/>
      <c r="D285" s="9"/>
      <c r="E285" s="6"/>
      <c r="F285" s="24"/>
      <c r="G285" s="9"/>
      <c r="H285" s="32"/>
      <c r="I285" s="33" t="str">
        <f>IFERROR(__xludf.DUMMYFUNCTION("IF(F285="""","""",LET(
  nombre, TRIM(F285),
  primer, REGEXEXTRACT(nombre, ""^\S+""),
  resto, TRIM(REGEXREPLACE(nombre, ""^\S+\s*"", """")),
  iniciales, IF(
    resto="""",
    """",
    TEXTJOIN("""",1,ARRAYFORMULA(LEFT(SPLIT(resto,"" ""),1) &amp; "".""))"&amp;"
  ),
  UPPER(primer) &amp; "" "" &amp; UPPER(iniciales)
))"),"")</f>
        <v/>
      </c>
      <c r="J285" s="33" t="str">
        <f>IFERROR(__xludf.DUMMYFUNCTION("IF(H285="""","""",IFERROR(
IF(REGEXMATCH(E285,""VELOCIDAD""),
   IF(H285&gt;=MAX(INDEX(BAREMOS!F:X,MATCH(1,(BAREMOS!A:A=A285)*(BAREMOS!B:B=B285)*(BAREMOS!C:C=C285)*(BAREMOS!D:D=D285),0),0)),1,
      IF(H285&lt;=MIN(INDEX(BAREMOS!F:X,MATCH(1,(BAREMOS!A:A=A285)*("&amp;"BAREMOS!B:B=B285)*(BAREMOS!C:C=C285)*(BAREMOS!D:D=D285),0),0)),19,
         MATCH(H285,INDEX(BAREMOS!F:X,MATCH(1,(BAREMOS!A:A=A285)*(BAREMOS!B:B=B285)*(BAREMOS!C:C=C285)*(BAREMOS!D:D=D285),0),0),-1)
      )
   ),
   IF(H285&lt;=MIN(INDEX(BAREMOS!F:X,MATCH(1,"&amp;"(BAREMOS!A:A=A285)*(BAREMOS!B:B=B285)*(BAREMOS!C:C=C285)*(BAREMOS!D:D=D285),0),0)),1,
      IF(H285&gt;=MAX(INDEX(BAREMOS!F:X,MATCH(1,(BAREMOS!A:A=A285)*(BAREMOS!B:B=B285)*(BAREMOS!C:C=C285)*(BAREMOS!D:D=D285),0),0)),19,
         MATCH(H285,INDEX(BAREMOS!F:X"&amp;",MATCH(1,(BAREMOS!A:A=A285)*(BAREMOS!B:B=B285)*(BAREMOS!C:C=C285)*(BAREMOS!D:D=D285),0),0),1)
      )
   )
)
,""""))
"),"")</f>
        <v/>
      </c>
      <c r="K285" s="34" t="str">
        <f t="shared" si="1"/>
        <v/>
      </c>
      <c r="L285" s="16"/>
      <c r="M285" s="16"/>
      <c r="N285" s="16"/>
      <c r="O285" s="16"/>
      <c r="P285" s="16"/>
      <c r="Q285" s="16"/>
      <c r="R285" s="16"/>
      <c r="S285" s="16"/>
      <c r="T285" s="16"/>
      <c r="U285" s="16"/>
      <c r="V285" s="16"/>
      <c r="W285" s="16"/>
      <c r="X285" s="16"/>
      <c r="Y285" s="16"/>
      <c r="Z285" s="16"/>
      <c r="AA285" s="16"/>
      <c r="AB285" s="16"/>
      <c r="AC285" s="16"/>
    </row>
    <row r="286">
      <c r="A286" s="22" t="str">
        <f t="array" ref="A286">IF(E286="","",IFERROR(INDEX(CONFIGURACION!C:C,MATCH(E286,CONFIGURACION!E:E,0)),""))
</f>
        <v/>
      </c>
      <c r="B286" s="22" t="str">
        <f t="array" ref="B286">IF(E286="","",IFERROR(INDEX(CONFIGURACION!D:D,MATCH(E286,CONFIGURACION!E:E,0)),""))
</f>
        <v/>
      </c>
      <c r="C286" s="31"/>
      <c r="D286" s="9"/>
      <c r="E286" s="6"/>
      <c r="F286" s="24"/>
      <c r="G286" s="9"/>
      <c r="H286" s="32"/>
      <c r="I286" s="33" t="str">
        <f>IFERROR(__xludf.DUMMYFUNCTION("IF(F286="""","""",LET(
  nombre, TRIM(F286),
  primer, REGEXEXTRACT(nombre, ""^\S+""),
  resto, TRIM(REGEXREPLACE(nombre, ""^\S+\s*"", """")),
  iniciales, IF(
    resto="""",
    """",
    TEXTJOIN("""",1,ARRAYFORMULA(LEFT(SPLIT(resto,"" ""),1) &amp; "".""))"&amp;"
  ),
  UPPER(primer) &amp; "" "" &amp; UPPER(iniciales)
))"),"")</f>
        <v/>
      </c>
      <c r="J286" s="33" t="str">
        <f>IFERROR(__xludf.DUMMYFUNCTION("IF(H286="""","""",IFERROR(
IF(REGEXMATCH(E286,""VELOCIDAD""),
   IF(H286&gt;=MAX(INDEX(BAREMOS!F:X,MATCH(1,(BAREMOS!A:A=A286)*(BAREMOS!B:B=B286)*(BAREMOS!C:C=C286)*(BAREMOS!D:D=D286),0),0)),1,
      IF(H286&lt;=MIN(INDEX(BAREMOS!F:X,MATCH(1,(BAREMOS!A:A=A286)*("&amp;"BAREMOS!B:B=B286)*(BAREMOS!C:C=C286)*(BAREMOS!D:D=D286),0),0)),19,
         MATCH(H286,INDEX(BAREMOS!F:X,MATCH(1,(BAREMOS!A:A=A286)*(BAREMOS!B:B=B286)*(BAREMOS!C:C=C286)*(BAREMOS!D:D=D286),0),0),-1)
      )
   ),
   IF(H286&lt;=MIN(INDEX(BAREMOS!F:X,MATCH(1,"&amp;"(BAREMOS!A:A=A286)*(BAREMOS!B:B=B286)*(BAREMOS!C:C=C286)*(BAREMOS!D:D=D286),0),0)),1,
      IF(H286&gt;=MAX(INDEX(BAREMOS!F:X,MATCH(1,(BAREMOS!A:A=A286)*(BAREMOS!B:B=B286)*(BAREMOS!C:C=C286)*(BAREMOS!D:D=D286),0),0)),19,
         MATCH(H286,INDEX(BAREMOS!F:X"&amp;",MATCH(1,(BAREMOS!A:A=A286)*(BAREMOS!B:B=B286)*(BAREMOS!C:C=C286)*(BAREMOS!D:D=D286),0),0),1)
      )
   )
)
,""""))
"),"")</f>
        <v/>
      </c>
      <c r="K286" s="34" t="str">
        <f t="shared" si="1"/>
        <v/>
      </c>
      <c r="L286" s="16"/>
      <c r="M286" s="16"/>
      <c r="N286" s="16"/>
      <c r="O286" s="16"/>
      <c r="P286" s="16"/>
      <c r="Q286" s="16"/>
      <c r="R286" s="16"/>
      <c r="S286" s="16"/>
      <c r="T286" s="16"/>
      <c r="U286" s="16"/>
      <c r="V286" s="16"/>
      <c r="W286" s="16"/>
      <c r="X286" s="16"/>
      <c r="Y286" s="16"/>
      <c r="Z286" s="16"/>
      <c r="AA286" s="16"/>
      <c r="AB286" s="16"/>
      <c r="AC286" s="16"/>
    </row>
    <row r="287">
      <c r="A287" s="22" t="str">
        <f t="array" ref="A287">IF(E287="","",IFERROR(INDEX(CONFIGURACION!C:C,MATCH(E287,CONFIGURACION!E:E,0)),""))
</f>
        <v/>
      </c>
      <c r="B287" s="22" t="str">
        <f t="array" ref="B287">IF(E287="","",IFERROR(INDEX(CONFIGURACION!D:D,MATCH(E287,CONFIGURACION!E:E,0)),""))
</f>
        <v/>
      </c>
      <c r="C287" s="31"/>
      <c r="D287" s="9"/>
      <c r="E287" s="6"/>
      <c r="F287" s="24"/>
      <c r="G287" s="9"/>
      <c r="H287" s="32"/>
      <c r="I287" s="33" t="str">
        <f>IFERROR(__xludf.DUMMYFUNCTION("IF(F287="""","""",LET(
  nombre, TRIM(F287),
  primer, REGEXEXTRACT(nombre, ""^\S+""),
  resto, TRIM(REGEXREPLACE(nombre, ""^\S+\s*"", """")),
  iniciales, IF(
    resto="""",
    """",
    TEXTJOIN("""",1,ARRAYFORMULA(LEFT(SPLIT(resto,"" ""),1) &amp; "".""))"&amp;"
  ),
  UPPER(primer) &amp; "" "" &amp; UPPER(iniciales)
))"),"")</f>
        <v/>
      </c>
      <c r="J287" s="33" t="str">
        <f>IFERROR(__xludf.DUMMYFUNCTION("IF(H287="""","""",IFERROR(
IF(REGEXMATCH(E287,""VELOCIDAD""),
   IF(H287&gt;=MAX(INDEX(BAREMOS!F:X,MATCH(1,(BAREMOS!A:A=A287)*(BAREMOS!B:B=B287)*(BAREMOS!C:C=C287)*(BAREMOS!D:D=D287),0),0)),1,
      IF(H287&lt;=MIN(INDEX(BAREMOS!F:X,MATCH(1,(BAREMOS!A:A=A287)*("&amp;"BAREMOS!B:B=B287)*(BAREMOS!C:C=C287)*(BAREMOS!D:D=D287),0),0)),19,
         MATCH(H287,INDEX(BAREMOS!F:X,MATCH(1,(BAREMOS!A:A=A287)*(BAREMOS!B:B=B287)*(BAREMOS!C:C=C287)*(BAREMOS!D:D=D287),0),0),-1)
      )
   ),
   IF(H287&lt;=MIN(INDEX(BAREMOS!F:X,MATCH(1,"&amp;"(BAREMOS!A:A=A287)*(BAREMOS!B:B=B287)*(BAREMOS!C:C=C287)*(BAREMOS!D:D=D287),0),0)),1,
      IF(H287&gt;=MAX(INDEX(BAREMOS!F:X,MATCH(1,(BAREMOS!A:A=A287)*(BAREMOS!B:B=B287)*(BAREMOS!C:C=C287)*(BAREMOS!D:D=D287),0),0)),19,
         MATCH(H287,INDEX(BAREMOS!F:X"&amp;",MATCH(1,(BAREMOS!A:A=A287)*(BAREMOS!B:B=B287)*(BAREMOS!C:C=C287)*(BAREMOS!D:D=D287),0),0),1)
      )
   )
)
,""""))
"),"")</f>
        <v/>
      </c>
      <c r="K287" s="34" t="str">
        <f t="shared" si="1"/>
        <v/>
      </c>
      <c r="L287" s="16"/>
      <c r="M287" s="16"/>
      <c r="N287" s="16"/>
      <c r="O287" s="16"/>
      <c r="P287" s="16"/>
      <c r="Q287" s="16"/>
      <c r="R287" s="16"/>
      <c r="S287" s="16"/>
      <c r="T287" s="16"/>
      <c r="U287" s="16"/>
      <c r="V287" s="16"/>
      <c r="W287" s="16"/>
      <c r="X287" s="16"/>
      <c r="Y287" s="16"/>
      <c r="Z287" s="16"/>
      <c r="AA287" s="16"/>
      <c r="AB287" s="16"/>
      <c r="AC287" s="16"/>
    </row>
    <row r="288">
      <c r="A288" s="22" t="str">
        <f t="array" ref="A288">IF(E288="","",IFERROR(INDEX(CONFIGURACION!C:C,MATCH(E288,CONFIGURACION!E:E,0)),""))
</f>
        <v/>
      </c>
      <c r="B288" s="22" t="str">
        <f t="array" ref="B288">IF(E288="","",IFERROR(INDEX(CONFIGURACION!D:D,MATCH(E288,CONFIGURACION!E:E,0)),""))
</f>
        <v/>
      </c>
      <c r="C288" s="31"/>
      <c r="D288" s="9"/>
      <c r="E288" s="6"/>
      <c r="F288" s="24"/>
      <c r="G288" s="9"/>
      <c r="H288" s="32"/>
      <c r="I288" s="33" t="str">
        <f>IFERROR(__xludf.DUMMYFUNCTION("IF(F288="""","""",LET(
  nombre, TRIM(F288),
  primer, REGEXEXTRACT(nombre, ""^\S+""),
  resto, TRIM(REGEXREPLACE(nombre, ""^\S+\s*"", """")),
  iniciales, IF(
    resto="""",
    """",
    TEXTJOIN("""",1,ARRAYFORMULA(LEFT(SPLIT(resto,"" ""),1) &amp; "".""))"&amp;"
  ),
  UPPER(primer) &amp; "" "" &amp; UPPER(iniciales)
))"),"")</f>
        <v/>
      </c>
      <c r="J288" s="33" t="str">
        <f>IFERROR(__xludf.DUMMYFUNCTION("IF(H288="""","""",IFERROR(
IF(REGEXMATCH(E288,""VELOCIDAD""),
   IF(H288&gt;=MAX(INDEX(BAREMOS!F:X,MATCH(1,(BAREMOS!A:A=A288)*(BAREMOS!B:B=B288)*(BAREMOS!C:C=C288)*(BAREMOS!D:D=D288),0),0)),1,
      IF(H288&lt;=MIN(INDEX(BAREMOS!F:X,MATCH(1,(BAREMOS!A:A=A288)*("&amp;"BAREMOS!B:B=B288)*(BAREMOS!C:C=C288)*(BAREMOS!D:D=D288),0),0)),19,
         MATCH(H288,INDEX(BAREMOS!F:X,MATCH(1,(BAREMOS!A:A=A288)*(BAREMOS!B:B=B288)*(BAREMOS!C:C=C288)*(BAREMOS!D:D=D288),0),0),-1)
      )
   ),
   IF(H288&lt;=MIN(INDEX(BAREMOS!F:X,MATCH(1,"&amp;"(BAREMOS!A:A=A288)*(BAREMOS!B:B=B288)*(BAREMOS!C:C=C288)*(BAREMOS!D:D=D288),0),0)),1,
      IF(H288&gt;=MAX(INDEX(BAREMOS!F:X,MATCH(1,(BAREMOS!A:A=A288)*(BAREMOS!B:B=B288)*(BAREMOS!C:C=C288)*(BAREMOS!D:D=D288),0),0)),19,
         MATCH(H288,INDEX(BAREMOS!F:X"&amp;",MATCH(1,(BAREMOS!A:A=A288)*(BAREMOS!B:B=B288)*(BAREMOS!C:C=C288)*(BAREMOS!D:D=D288),0),0),1)
      )
   )
)
,""""))
"),"")</f>
        <v/>
      </c>
      <c r="K288" s="34" t="str">
        <f t="shared" si="1"/>
        <v/>
      </c>
      <c r="L288" s="16"/>
      <c r="M288" s="16"/>
      <c r="N288" s="16"/>
      <c r="O288" s="16"/>
      <c r="P288" s="16"/>
      <c r="Q288" s="16"/>
      <c r="R288" s="16"/>
      <c r="S288" s="16"/>
      <c r="T288" s="16"/>
      <c r="U288" s="16"/>
      <c r="V288" s="16"/>
      <c r="W288" s="16"/>
      <c r="X288" s="16"/>
      <c r="Y288" s="16"/>
      <c r="Z288" s="16"/>
      <c r="AA288" s="16"/>
      <c r="AB288" s="16"/>
      <c r="AC288" s="16"/>
    </row>
    <row r="289">
      <c r="A289" s="22" t="str">
        <f t="array" ref="A289">IF(E289="","",IFERROR(INDEX(CONFIGURACION!C:C,MATCH(E289,CONFIGURACION!E:E,0)),""))
</f>
        <v/>
      </c>
      <c r="B289" s="22" t="str">
        <f t="array" ref="B289">IF(E289="","",IFERROR(INDEX(CONFIGURACION!D:D,MATCH(E289,CONFIGURACION!E:E,0)),""))
</f>
        <v/>
      </c>
      <c r="C289" s="31"/>
      <c r="D289" s="9"/>
      <c r="E289" s="6"/>
      <c r="F289" s="24"/>
      <c r="G289" s="9"/>
      <c r="H289" s="32"/>
      <c r="I289" s="33" t="str">
        <f>IFERROR(__xludf.DUMMYFUNCTION("IF(F289="""","""",LET(
  nombre, TRIM(F289),
  primer, REGEXEXTRACT(nombre, ""^\S+""),
  resto, TRIM(REGEXREPLACE(nombre, ""^\S+\s*"", """")),
  iniciales, IF(
    resto="""",
    """",
    TEXTJOIN("""",1,ARRAYFORMULA(LEFT(SPLIT(resto,"" ""),1) &amp; "".""))"&amp;"
  ),
  UPPER(primer) &amp; "" "" &amp; UPPER(iniciales)
))"),"")</f>
        <v/>
      </c>
      <c r="J289" s="33" t="str">
        <f>IFERROR(__xludf.DUMMYFUNCTION("IF(H289="""","""",IFERROR(
IF(REGEXMATCH(E289,""VELOCIDAD""),
   IF(H289&gt;=MAX(INDEX(BAREMOS!F:X,MATCH(1,(BAREMOS!A:A=A289)*(BAREMOS!B:B=B289)*(BAREMOS!C:C=C289)*(BAREMOS!D:D=D289),0),0)),1,
      IF(H289&lt;=MIN(INDEX(BAREMOS!F:X,MATCH(1,(BAREMOS!A:A=A289)*("&amp;"BAREMOS!B:B=B289)*(BAREMOS!C:C=C289)*(BAREMOS!D:D=D289),0),0)),19,
         MATCH(H289,INDEX(BAREMOS!F:X,MATCH(1,(BAREMOS!A:A=A289)*(BAREMOS!B:B=B289)*(BAREMOS!C:C=C289)*(BAREMOS!D:D=D289),0),0),-1)
      )
   ),
   IF(H289&lt;=MIN(INDEX(BAREMOS!F:X,MATCH(1,"&amp;"(BAREMOS!A:A=A289)*(BAREMOS!B:B=B289)*(BAREMOS!C:C=C289)*(BAREMOS!D:D=D289),0),0)),1,
      IF(H289&gt;=MAX(INDEX(BAREMOS!F:X,MATCH(1,(BAREMOS!A:A=A289)*(BAREMOS!B:B=B289)*(BAREMOS!C:C=C289)*(BAREMOS!D:D=D289),0),0)),19,
         MATCH(H289,INDEX(BAREMOS!F:X"&amp;",MATCH(1,(BAREMOS!A:A=A289)*(BAREMOS!B:B=B289)*(BAREMOS!C:C=C289)*(BAREMOS!D:D=D289),0),0),1)
      )
   )
)
,""""))
"),"")</f>
        <v/>
      </c>
      <c r="K289" s="34" t="str">
        <f t="shared" si="1"/>
        <v/>
      </c>
      <c r="L289" s="16"/>
      <c r="M289" s="16"/>
      <c r="N289" s="16"/>
      <c r="O289" s="16"/>
      <c r="P289" s="16"/>
      <c r="Q289" s="16"/>
      <c r="R289" s="16"/>
      <c r="S289" s="16"/>
      <c r="T289" s="16"/>
      <c r="U289" s="16"/>
      <c r="V289" s="16"/>
      <c r="W289" s="16"/>
      <c r="X289" s="16"/>
      <c r="Y289" s="16"/>
      <c r="Z289" s="16"/>
      <c r="AA289" s="16"/>
      <c r="AB289" s="16"/>
      <c r="AC289" s="16"/>
    </row>
    <row r="290">
      <c r="A290" s="22" t="str">
        <f t="array" ref="A290">IF(E290="","",IFERROR(INDEX(CONFIGURACION!C:C,MATCH(E290,CONFIGURACION!E:E,0)),""))
</f>
        <v/>
      </c>
      <c r="B290" s="22" t="str">
        <f t="array" ref="B290">IF(E290="","",IFERROR(INDEX(CONFIGURACION!D:D,MATCH(E290,CONFIGURACION!E:E,0)),""))
</f>
        <v/>
      </c>
      <c r="C290" s="31"/>
      <c r="D290" s="9"/>
      <c r="E290" s="6"/>
      <c r="F290" s="24"/>
      <c r="G290" s="9"/>
      <c r="H290" s="32"/>
      <c r="I290" s="33" t="str">
        <f>IFERROR(__xludf.DUMMYFUNCTION("IF(F290="""","""",LET(
  nombre, TRIM(F290),
  primer, REGEXEXTRACT(nombre, ""^\S+""),
  resto, TRIM(REGEXREPLACE(nombre, ""^\S+\s*"", """")),
  iniciales, IF(
    resto="""",
    """",
    TEXTJOIN("""",1,ARRAYFORMULA(LEFT(SPLIT(resto,"" ""),1) &amp; "".""))"&amp;"
  ),
  UPPER(primer) &amp; "" "" &amp; UPPER(iniciales)
))"),"")</f>
        <v/>
      </c>
      <c r="J290" s="33" t="str">
        <f>IFERROR(__xludf.DUMMYFUNCTION("IF(H290="""","""",IFERROR(
IF(REGEXMATCH(E290,""VELOCIDAD""),
   IF(H290&gt;=MAX(INDEX(BAREMOS!F:X,MATCH(1,(BAREMOS!A:A=A290)*(BAREMOS!B:B=B290)*(BAREMOS!C:C=C290)*(BAREMOS!D:D=D290),0),0)),1,
      IF(H290&lt;=MIN(INDEX(BAREMOS!F:X,MATCH(1,(BAREMOS!A:A=A290)*("&amp;"BAREMOS!B:B=B290)*(BAREMOS!C:C=C290)*(BAREMOS!D:D=D290),0),0)),19,
         MATCH(H290,INDEX(BAREMOS!F:X,MATCH(1,(BAREMOS!A:A=A290)*(BAREMOS!B:B=B290)*(BAREMOS!C:C=C290)*(BAREMOS!D:D=D290),0),0),-1)
      )
   ),
   IF(H290&lt;=MIN(INDEX(BAREMOS!F:X,MATCH(1,"&amp;"(BAREMOS!A:A=A290)*(BAREMOS!B:B=B290)*(BAREMOS!C:C=C290)*(BAREMOS!D:D=D290),0),0)),1,
      IF(H290&gt;=MAX(INDEX(BAREMOS!F:X,MATCH(1,(BAREMOS!A:A=A290)*(BAREMOS!B:B=B290)*(BAREMOS!C:C=C290)*(BAREMOS!D:D=D290),0),0)),19,
         MATCH(H290,INDEX(BAREMOS!F:X"&amp;",MATCH(1,(BAREMOS!A:A=A290)*(BAREMOS!B:B=B290)*(BAREMOS!C:C=C290)*(BAREMOS!D:D=D290),0),0),1)
      )
   )
)
,""""))
"),"")</f>
        <v/>
      </c>
      <c r="K290" s="34" t="str">
        <f t="shared" si="1"/>
        <v/>
      </c>
      <c r="L290" s="16"/>
      <c r="M290" s="16"/>
      <c r="N290" s="16"/>
      <c r="O290" s="16"/>
      <c r="P290" s="16"/>
      <c r="Q290" s="16"/>
      <c r="R290" s="16"/>
      <c r="S290" s="16"/>
      <c r="T290" s="16"/>
      <c r="U290" s="16"/>
      <c r="V290" s="16"/>
      <c r="W290" s="16"/>
      <c r="X290" s="16"/>
      <c r="Y290" s="16"/>
      <c r="Z290" s="16"/>
      <c r="AA290" s="16"/>
      <c r="AB290" s="16"/>
      <c r="AC290" s="16"/>
    </row>
    <row r="291">
      <c r="A291" s="22" t="str">
        <f t="array" ref="A291">IF(E291="","",IFERROR(INDEX(CONFIGURACION!C:C,MATCH(E291,CONFIGURACION!E:E,0)),""))
</f>
        <v/>
      </c>
      <c r="B291" s="22" t="str">
        <f t="array" ref="B291">IF(E291="","",IFERROR(INDEX(CONFIGURACION!D:D,MATCH(E291,CONFIGURACION!E:E,0)),""))
</f>
        <v/>
      </c>
      <c r="C291" s="31"/>
      <c r="D291" s="9"/>
      <c r="E291" s="6"/>
      <c r="F291" s="24"/>
      <c r="G291" s="9"/>
      <c r="H291" s="32"/>
      <c r="I291" s="33" t="str">
        <f>IFERROR(__xludf.DUMMYFUNCTION("IF(F291="""","""",LET(
  nombre, TRIM(F291),
  primer, REGEXEXTRACT(nombre, ""^\S+""),
  resto, TRIM(REGEXREPLACE(nombre, ""^\S+\s*"", """")),
  iniciales, IF(
    resto="""",
    """",
    TEXTJOIN("""",1,ARRAYFORMULA(LEFT(SPLIT(resto,"" ""),1) &amp; "".""))"&amp;"
  ),
  UPPER(primer) &amp; "" "" &amp; UPPER(iniciales)
))"),"")</f>
        <v/>
      </c>
      <c r="J291" s="33" t="str">
        <f>IFERROR(__xludf.DUMMYFUNCTION("IF(H291="""","""",IFERROR(
IF(REGEXMATCH(E291,""VELOCIDAD""),
   IF(H291&gt;=MAX(INDEX(BAREMOS!F:X,MATCH(1,(BAREMOS!A:A=A291)*(BAREMOS!B:B=B291)*(BAREMOS!C:C=C291)*(BAREMOS!D:D=D291),0),0)),1,
      IF(H291&lt;=MIN(INDEX(BAREMOS!F:X,MATCH(1,(BAREMOS!A:A=A291)*("&amp;"BAREMOS!B:B=B291)*(BAREMOS!C:C=C291)*(BAREMOS!D:D=D291),0),0)),19,
         MATCH(H291,INDEX(BAREMOS!F:X,MATCH(1,(BAREMOS!A:A=A291)*(BAREMOS!B:B=B291)*(BAREMOS!C:C=C291)*(BAREMOS!D:D=D291),0),0),-1)
      )
   ),
   IF(H291&lt;=MIN(INDEX(BAREMOS!F:X,MATCH(1,"&amp;"(BAREMOS!A:A=A291)*(BAREMOS!B:B=B291)*(BAREMOS!C:C=C291)*(BAREMOS!D:D=D291),0),0)),1,
      IF(H291&gt;=MAX(INDEX(BAREMOS!F:X,MATCH(1,(BAREMOS!A:A=A291)*(BAREMOS!B:B=B291)*(BAREMOS!C:C=C291)*(BAREMOS!D:D=D291),0),0)),19,
         MATCH(H291,INDEX(BAREMOS!F:X"&amp;",MATCH(1,(BAREMOS!A:A=A291)*(BAREMOS!B:B=B291)*(BAREMOS!C:C=C291)*(BAREMOS!D:D=D291),0),0),1)
      )
   )
)
,""""))
"),"")</f>
        <v/>
      </c>
      <c r="K291" s="34" t="str">
        <f t="shared" si="1"/>
        <v/>
      </c>
      <c r="L291" s="16"/>
      <c r="M291" s="16"/>
      <c r="N291" s="16"/>
      <c r="O291" s="16"/>
      <c r="P291" s="16"/>
      <c r="Q291" s="16"/>
      <c r="R291" s="16"/>
      <c r="S291" s="16"/>
      <c r="T291" s="16"/>
      <c r="U291" s="16"/>
      <c r="V291" s="16"/>
      <c r="W291" s="16"/>
      <c r="X291" s="16"/>
      <c r="Y291" s="16"/>
      <c r="Z291" s="16"/>
      <c r="AA291" s="16"/>
      <c r="AB291" s="16"/>
      <c r="AC291" s="16"/>
    </row>
    <row r="292">
      <c r="A292" s="22" t="str">
        <f t="array" ref="A292">IF(E292="","",IFERROR(INDEX(CONFIGURACION!C:C,MATCH(E292,CONFIGURACION!E:E,0)),""))
</f>
        <v/>
      </c>
      <c r="B292" s="22" t="str">
        <f t="array" ref="B292">IF(E292="","",IFERROR(INDEX(CONFIGURACION!D:D,MATCH(E292,CONFIGURACION!E:E,0)),""))
</f>
        <v/>
      </c>
      <c r="C292" s="31"/>
      <c r="D292" s="9"/>
      <c r="E292" s="6"/>
      <c r="F292" s="24"/>
      <c r="G292" s="9"/>
      <c r="H292" s="32"/>
      <c r="I292" s="33" t="str">
        <f>IFERROR(__xludf.DUMMYFUNCTION("IF(F292="""","""",LET(
  nombre, TRIM(F292),
  primer, REGEXEXTRACT(nombre, ""^\S+""),
  resto, TRIM(REGEXREPLACE(nombre, ""^\S+\s*"", """")),
  iniciales, IF(
    resto="""",
    """",
    TEXTJOIN("""",1,ARRAYFORMULA(LEFT(SPLIT(resto,"" ""),1) &amp; "".""))"&amp;"
  ),
  UPPER(primer) &amp; "" "" &amp; UPPER(iniciales)
))"),"")</f>
        <v/>
      </c>
      <c r="J292" s="33" t="str">
        <f>IFERROR(__xludf.DUMMYFUNCTION("IF(H292="""","""",IFERROR(
IF(REGEXMATCH(E292,""VELOCIDAD""),
   IF(H292&gt;=MAX(INDEX(BAREMOS!F:X,MATCH(1,(BAREMOS!A:A=A292)*(BAREMOS!B:B=B292)*(BAREMOS!C:C=C292)*(BAREMOS!D:D=D292),0),0)),1,
      IF(H292&lt;=MIN(INDEX(BAREMOS!F:X,MATCH(1,(BAREMOS!A:A=A292)*("&amp;"BAREMOS!B:B=B292)*(BAREMOS!C:C=C292)*(BAREMOS!D:D=D292),0),0)),19,
         MATCH(H292,INDEX(BAREMOS!F:X,MATCH(1,(BAREMOS!A:A=A292)*(BAREMOS!B:B=B292)*(BAREMOS!C:C=C292)*(BAREMOS!D:D=D292),0),0),-1)
      )
   ),
   IF(H292&lt;=MIN(INDEX(BAREMOS!F:X,MATCH(1,"&amp;"(BAREMOS!A:A=A292)*(BAREMOS!B:B=B292)*(BAREMOS!C:C=C292)*(BAREMOS!D:D=D292),0),0)),1,
      IF(H292&gt;=MAX(INDEX(BAREMOS!F:X,MATCH(1,(BAREMOS!A:A=A292)*(BAREMOS!B:B=B292)*(BAREMOS!C:C=C292)*(BAREMOS!D:D=D292),0),0)),19,
         MATCH(H292,INDEX(BAREMOS!F:X"&amp;",MATCH(1,(BAREMOS!A:A=A292)*(BAREMOS!B:B=B292)*(BAREMOS!C:C=C292)*(BAREMOS!D:D=D292),0),0),1)
      )
   )
)
,""""))
"),"")</f>
        <v/>
      </c>
      <c r="K292" s="34" t="str">
        <f t="shared" si="1"/>
        <v/>
      </c>
      <c r="L292" s="16"/>
      <c r="M292" s="16"/>
      <c r="N292" s="16"/>
      <c r="O292" s="16"/>
      <c r="P292" s="16"/>
      <c r="Q292" s="16"/>
      <c r="R292" s="16"/>
      <c r="S292" s="16"/>
      <c r="T292" s="16"/>
      <c r="U292" s="16"/>
      <c r="V292" s="16"/>
      <c r="W292" s="16"/>
      <c r="X292" s="16"/>
      <c r="Y292" s="16"/>
      <c r="Z292" s="16"/>
      <c r="AA292" s="16"/>
      <c r="AB292" s="16"/>
      <c r="AC292" s="16"/>
    </row>
    <row r="293">
      <c r="A293" s="22" t="str">
        <f t="array" ref="A293">IF(E293="","",IFERROR(INDEX(CONFIGURACION!C:C,MATCH(E293,CONFIGURACION!E:E,0)),""))
</f>
        <v/>
      </c>
      <c r="B293" s="22" t="str">
        <f t="array" ref="B293">IF(E293="","",IFERROR(INDEX(CONFIGURACION!D:D,MATCH(E293,CONFIGURACION!E:E,0)),""))
</f>
        <v/>
      </c>
      <c r="C293" s="31"/>
      <c r="D293" s="9"/>
      <c r="E293" s="6"/>
      <c r="F293" s="24"/>
      <c r="G293" s="9"/>
      <c r="H293" s="32"/>
      <c r="I293" s="33" t="str">
        <f>IFERROR(__xludf.DUMMYFUNCTION("IF(F293="""","""",LET(
  nombre, TRIM(F293),
  primer, REGEXEXTRACT(nombre, ""^\S+""),
  resto, TRIM(REGEXREPLACE(nombre, ""^\S+\s*"", """")),
  iniciales, IF(
    resto="""",
    """",
    TEXTJOIN("""",1,ARRAYFORMULA(LEFT(SPLIT(resto,"" ""),1) &amp; "".""))"&amp;"
  ),
  UPPER(primer) &amp; "" "" &amp; UPPER(iniciales)
))"),"")</f>
        <v/>
      </c>
      <c r="J293" s="33" t="str">
        <f>IFERROR(__xludf.DUMMYFUNCTION("IF(H293="""","""",IFERROR(
IF(REGEXMATCH(E293,""VELOCIDAD""),
   IF(H293&gt;=MAX(INDEX(BAREMOS!F:X,MATCH(1,(BAREMOS!A:A=A293)*(BAREMOS!B:B=B293)*(BAREMOS!C:C=C293)*(BAREMOS!D:D=D293),0),0)),1,
      IF(H293&lt;=MIN(INDEX(BAREMOS!F:X,MATCH(1,(BAREMOS!A:A=A293)*("&amp;"BAREMOS!B:B=B293)*(BAREMOS!C:C=C293)*(BAREMOS!D:D=D293),0),0)),19,
         MATCH(H293,INDEX(BAREMOS!F:X,MATCH(1,(BAREMOS!A:A=A293)*(BAREMOS!B:B=B293)*(BAREMOS!C:C=C293)*(BAREMOS!D:D=D293),0),0),-1)
      )
   ),
   IF(H293&lt;=MIN(INDEX(BAREMOS!F:X,MATCH(1,"&amp;"(BAREMOS!A:A=A293)*(BAREMOS!B:B=B293)*(BAREMOS!C:C=C293)*(BAREMOS!D:D=D293),0),0)),1,
      IF(H293&gt;=MAX(INDEX(BAREMOS!F:X,MATCH(1,(BAREMOS!A:A=A293)*(BAREMOS!B:B=B293)*(BAREMOS!C:C=C293)*(BAREMOS!D:D=D293),0),0)),19,
         MATCH(H293,INDEX(BAREMOS!F:X"&amp;",MATCH(1,(BAREMOS!A:A=A293)*(BAREMOS!B:B=B293)*(BAREMOS!C:C=C293)*(BAREMOS!D:D=D293),0),0),1)
      )
   )
)
,""""))
"),"")</f>
        <v/>
      </c>
      <c r="K293" s="34" t="str">
        <f t="shared" si="1"/>
        <v/>
      </c>
      <c r="L293" s="16"/>
      <c r="M293" s="16"/>
      <c r="N293" s="16"/>
      <c r="O293" s="16"/>
      <c r="P293" s="16"/>
      <c r="Q293" s="16"/>
      <c r="R293" s="16"/>
      <c r="S293" s="16"/>
      <c r="T293" s="16"/>
      <c r="U293" s="16"/>
      <c r="V293" s="16"/>
      <c r="W293" s="16"/>
      <c r="X293" s="16"/>
      <c r="Y293" s="16"/>
      <c r="Z293" s="16"/>
      <c r="AA293" s="16"/>
      <c r="AB293" s="16"/>
      <c r="AC293" s="16"/>
    </row>
    <row r="294">
      <c r="A294" s="22" t="str">
        <f t="array" ref="A294">IF(E294="","",IFERROR(INDEX(CONFIGURACION!C:C,MATCH(E294,CONFIGURACION!E:E,0)),""))
</f>
        <v/>
      </c>
      <c r="B294" s="22" t="str">
        <f t="array" ref="B294">IF(E294="","",IFERROR(INDEX(CONFIGURACION!D:D,MATCH(E294,CONFIGURACION!E:E,0)),""))
</f>
        <v/>
      </c>
      <c r="C294" s="31"/>
      <c r="D294" s="9"/>
      <c r="E294" s="6"/>
      <c r="F294" s="24"/>
      <c r="G294" s="9"/>
      <c r="H294" s="32"/>
      <c r="I294" s="33" t="str">
        <f>IFERROR(__xludf.DUMMYFUNCTION("IF(F294="""","""",LET(
  nombre, TRIM(F294),
  primer, REGEXEXTRACT(nombre, ""^\S+""),
  resto, TRIM(REGEXREPLACE(nombre, ""^\S+\s*"", """")),
  iniciales, IF(
    resto="""",
    """",
    TEXTJOIN("""",1,ARRAYFORMULA(LEFT(SPLIT(resto,"" ""),1) &amp; "".""))"&amp;"
  ),
  UPPER(primer) &amp; "" "" &amp; UPPER(iniciales)
))"),"")</f>
        <v/>
      </c>
      <c r="J294" s="33" t="str">
        <f>IFERROR(__xludf.DUMMYFUNCTION("IF(H294="""","""",IFERROR(
IF(REGEXMATCH(E294,""VELOCIDAD""),
   IF(H294&gt;=MAX(INDEX(BAREMOS!F:X,MATCH(1,(BAREMOS!A:A=A294)*(BAREMOS!B:B=B294)*(BAREMOS!C:C=C294)*(BAREMOS!D:D=D294),0),0)),1,
      IF(H294&lt;=MIN(INDEX(BAREMOS!F:X,MATCH(1,(BAREMOS!A:A=A294)*("&amp;"BAREMOS!B:B=B294)*(BAREMOS!C:C=C294)*(BAREMOS!D:D=D294),0),0)),19,
         MATCH(H294,INDEX(BAREMOS!F:X,MATCH(1,(BAREMOS!A:A=A294)*(BAREMOS!B:B=B294)*(BAREMOS!C:C=C294)*(BAREMOS!D:D=D294),0),0),-1)
      )
   ),
   IF(H294&lt;=MIN(INDEX(BAREMOS!F:X,MATCH(1,"&amp;"(BAREMOS!A:A=A294)*(BAREMOS!B:B=B294)*(BAREMOS!C:C=C294)*(BAREMOS!D:D=D294),0),0)),1,
      IF(H294&gt;=MAX(INDEX(BAREMOS!F:X,MATCH(1,(BAREMOS!A:A=A294)*(BAREMOS!B:B=B294)*(BAREMOS!C:C=C294)*(BAREMOS!D:D=D294),0),0)),19,
         MATCH(H294,INDEX(BAREMOS!F:X"&amp;",MATCH(1,(BAREMOS!A:A=A294)*(BAREMOS!B:B=B294)*(BAREMOS!C:C=C294)*(BAREMOS!D:D=D294),0),0),1)
      )
   )
)
,""""))
"),"")</f>
        <v/>
      </c>
      <c r="K294" s="34" t="str">
        <f t="shared" si="1"/>
        <v/>
      </c>
      <c r="L294" s="16"/>
      <c r="M294" s="16"/>
      <c r="N294" s="16"/>
      <c r="O294" s="16"/>
      <c r="P294" s="16"/>
      <c r="Q294" s="16"/>
      <c r="R294" s="16"/>
      <c r="S294" s="16"/>
      <c r="T294" s="16"/>
      <c r="U294" s="16"/>
      <c r="V294" s="16"/>
      <c r="W294" s="16"/>
      <c r="X294" s="16"/>
      <c r="Y294" s="16"/>
      <c r="Z294" s="16"/>
      <c r="AA294" s="16"/>
      <c r="AB294" s="16"/>
      <c r="AC294" s="16"/>
    </row>
    <row r="295">
      <c r="A295" s="22" t="str">
        <f t="array" ref="A295">IF(E295="","",IFERROR(INDEX(CONFIGURACION!C:C,MATCH(E295,CONFIGURACION!E:E,0)),""))
</f>
        <v/>
      </c>
      <c r="B295" s="22" t="str">
        <f t="array" ref="B295">IF(E295="","",IFERROR(INDEX(CONFIGURACION!D:D,MATCH(E295,CONFIGURACION!E:E,0)),""))
</f>
        <v/>
      </c>
      <c r="C295" s="31"/>
      <c r="D295" s="9"/>
      <c r="E295" s="6"/>
      <c r="F295" s="24"/>
      <c r="G295" s="9"/>
      <c r="H295" s="32"/>
      <c r="I295" s="33" t="str">
        <f>IFERROR(__xludf.DUMMYFUNCTION("IF(F295="""","""",LET(
  nombre, TRIM(F295),
  primer, REGEXEXTRACT(nombre, ""^\S+""),
  resto, TRIM(REGEXREPLACE(nombre, ""^\S+\s*"", """")),
  iniciales, IF(
    resto="""",
    """",
    TEXTJOIN("""",1,ARRAYFORMULA(LEFT(SPLIT(resto,"" ""),1) &amp; "".""))"&amp;"
  ),
  UPPER(primer) &amp; "" "" &amp; UPPER(iniciales)
))"),"")</f>
        <v/>
      </c>
      <c r="J295" s="33" t="str">
        <f>IFERROR(__xludf.DUMMYFUNCTION("IF(H295="""","""",IFERROR(
IF(REGEXMATCH(E295,""VELOCIDAD""),
   IF(H295&gt;=MAX(INDEX(BAREMOS!F:X,MATCH(1,(BAREMOS!A:A=A295)*(BAREMOS!B:B=B295)*(BAREMOS!C:C=C295)*(BAREMOS!D:D=D295),0),0)),1,
      IF(H295&lt;=MIN(INDEX(BAREMOS!F:X,MATCH(1,(BAREMOS!A:A=A295)*("&amp;"BAREMOS!B:B=B295)*(BAREMOS!C:C=C295)*(BAREMOS!D:D=D295),0),0)),19,
         MATCH(H295,INDEX(BAREMOS!F:X,MATCH(1,(BAREMOS!A:A=A295)*(BAREMOS!B:B=B295)*(BAREMOS!C:C=C295)*(BAREMOS!D:D=D295),0),0),-1)
      )
   ),
   IF(H295&lt;=MIN(INDEX(BAREMOS!F:X,MATCH(1,"&amp;"(BAREMOS!A:A=A295)*(BAREMOS!B:B=B295)*(BAREMOS!C:C=C295)*(BAREMOS!D:D=D295),0),0)),1,
      IF(H295&gt;=MAX(INDEX(BAREMOS!F:X,MATCH(1,(BAREMOS!A:A=A295)*(BAREMOS!B:B=B295)*(BAREMOS!C:C=C295)*(BAREMOS!D:D=D295),0),0)),19,
         MATCH(H295,INDEX(BAREMOS!F:X"&amp;",MATCH(1,(BAREMOS!A:A=A295)*(BAREMOS!B:B=B295)*(BAREMOS!C:C=C295)*(BAREMOS!D:D=D295),0),0),1)
      )
   )
)
,""""))
"),"")</f>
        <v/>
      </c>
      <c r="K295" s="34" t="str">
        <f t="shared" si="1"/>
        <v/>
      </c>
      <c r="L295" s="16"/>
      <c r="M295" s="16"/>
      <c r="N295" s="16"/>
      <c r="O295" s="16"/>
      <c r="P295" s="16"/>
      <c r="Q295" s="16"/>
      <c r="R295" s="16"/>
      <c r="S295" s="16"/>
      <c r="T295" s="16"/>
      <c r="U295" s="16"/>
      <c r="V295" s="16"/>
      <c r="W295" s="16"/>
      <c r="X295" s="16"/>
      <c r="Y295" s="16"/>
      <c r="Z295" s="16"/>
      <c r="AA295" s="16"/>
      <c r="AB295" s="16"/>
      <c r="AC295" s="16"/>
    </row>
    <row r="296">
      <c r="A296" s="22" t="str">
        <f t="array" ref="A296">IF(E296="","",IFERROR(INDEX(CONFIGURACION!C:C,MATCH(E296,CONFIGURACION!E:E,0)),""))
</f>
        <v/>
      </c>
      <c r="B296" s="22" t="str">
        <f t="array" ref="B296">IF(E296="","",IFERROR(INDEX(CONFIGURACION!D:D,MATCH(E296,CONFIGURACION!E:E,0)),""))
</f>
        <v/>
      </c>
      <c r="C296" s="31"/>
      <c r="D296" s="9"/>
      <c r="E296" s="6"/>
      <c r="F296" s="24"/>
      <c r="G296" s="9"/>
      <c r="H296" s="32"/>
      <c r="I296" s="33" t="str">
        <f>IFERROR(__xludf.DUMMYFUNCTION("IF(F296="""","""",LET(
  nombre, TRIM(F296),
  primer, REGEXEXTRACT(nombre, ""^\S+""),
  resto, TRIM(REGEXREPLACE(nombre, ""^\S+\s*"", """")),
  iniciales, IF(
    resto="""",
    """",
    TEXTJOIN("""",1,ARRAYFORMULA(LEFT(SPLIT(resto,"" ""),1) &amp; "".""))"&amp;"
  ),
  UPPER(primer) &amp; "" "" &amp; UPPER(iniciales)
))"),"")</f>
        <v/>
      </c>
      <c r="J296" s="33" t="str">
        <f>IFERROR(__xludf.DUMMYFUNCTION("IF(H296="""","""",IFERROR(
IF(REGEXMATCH(E296,""VELOCIDAD""),
   IF(H296&gt;=MAX(INDEX(BAREMOS!F:X,MATCH(1,(BAREMOS!A:A=A296)*(BAREMOS!B:B=B296)*(BAREMOS!C:C=C296)*(BAREMOS!D:D=D296),0),0)),1,
      IF(H296&lt;=MIN(INDEX(BAREMOS!F:X,MATCH(1,(BAREMOS!A:A=A296)*("&amp;"BAREMOS!B:B=B296)*(BAREMOS!C:C=C296)*(BAREMOS!D:D=D296),0),0)),19,
         MATCH(H296,INDEX(BAREMOS!F:X,MATCH(1,(BAREMOS!A:A=A296)*(BAREMOS!B:B=B296)*(BAREMOS!C:C=C296)*(BAREMOS!D:D=D296),0),0),-1)
      )
   ),
   IF(H296&lt;=MIN(INDEX(BAREMOS!F:X,MATCH(1,"&amp;"(BAREMOS!A:A=A296)*(BAREMOS!B:B=B296)*(BAREMOS!C:C=C296)*(BAREMOS!D:D=D296),0),0)),1,
      IF(H296&gt;=MAX(INDEX(BAREMOS!F:X,MATCH(1,(BAREMOS!A:A=A296)*(BAREMOS!B:B=B296)*(BAREMOS!C:C=C296)*(BAREMOS!D:D=D296),0),0)),19,
         MATCH(H296,INDEX(BAREMOS!F:X"&amp;",MATCH(1,(BAREMOS!A:A=A296)*(BAREMOS!B:B=B296)*(BAREMOS!C:C=C296)*(BAREMOS!D:D=D296),0),0),1)
      )
   )
)
,""""))
"),"")</f>
        <v/>
      </c>
      <c r="K296" s="34" t="str">
        <f t="shared" si="1"/>
        <v/>
      </c>
      <c r="L296" s="16"/>
      <c r="M296" s="16"/>
      <c r="N296" s="16"/>
      <c r="O296" s="16"/>
      <c r="P296" s="16"/>
      <c r="Q296" s="16"/>
      <c r="R296" s="16"/>
      <c r="S296" s="16"/>
      <c r="T296" s="16"/>
      <c r="U296" s="16"/>
      <c r="V296" s="16"/>
      <c r="W296" s="16"/>
      <c r="X296" s="16"/>
      <c r="Y296" s="16"/>
      <c r="Z296" s="16"/>
      <c r="AA296" s="16"/>
      <c r="AB296" s="16"/>
      <c r="AC296" s="16"/>
    </row>
    <row r="297">
      <c r="A297" s="22" t="str">
        <f t="array" ref="A297">IF(E297="","",IFERROR(INDEX(CONFIGURACION!C:C,MATCH(E297,CONFIGURACION!E:E,0)),""))
</f>
        <v/>
      </c>
      <c r="B297" s="22" t="str">
        <f t="array" ref="B297">IF(E297="","",IFERROR(INDEX(CONFIGURACION!D:D,MATCH(E297,CONFIGURACION!E:E,0)),""))
</f>
        <v/>
      </c>
      <c r="C297" s="31"/>
      <c r="D297" s="9"/>
      <c r="E297" s="6"/>
      <c r="F297" s="24"/>
      <c r="G297" s="9"/>
      <c r="H297" s="32"/>
      <c r="I297" s="33" t="str">
        <f>IFERROR(__xludf.DUMMYFUNCTION("IF(F297="""","""",LET(
  nombre, TRIM(F297),
  primer, REGEXEXTRACT(nombre, ""^\S+""),
  resto, TRIM(REGEXREPLACE(nombre, ""^\S+\s*"", """")),
  iniciales, IF(
    resto="""",
    """",
    TEXTJOIN("""",1,ARRAYFORMULA(LEFT(SPLIT(resto,"" ""),1) &amp; "".""))"&amp;"
  ),
  UPPER(primer) &amp; "" "" &amp; UPPER(iniciales)
))"),"")</f>
        <v/>
      </c>
      <c r="J297" s="33" t="str">
        <f>IFERROR(__xludf.DUMMYFUNCTION("IF(H297="""","""",IFERROR(
IF(REGEXMATCH(E297,""VELOCIDAD""),
   IF(H297&gt;=MAX(INDEX(BAREMOS!F:X,MATCH(1,(BAREMOS!A:A=A297)*(BAREMOS!B:B=B297)*(BAREMOS!C:C=C297)*(BAREMOS!D:D=D297),0),0)),1,
      IF(H297&lt;=MIN(INDEX(BAREMOS!F:X,MATCH(1,(BAREMOS!A:A=A297)*("&amp;"BAREMOS!B:B=B297)*(BAREMOS!C:C=C297)*(BAREMOS!D:D=D297),0),0)),19,
         MATCH(H297,INDEX(BAREMOS!F:X,MATCH(1,(BAREMOS!A:A=A297)*(BAREMOS!B:B=B297)*(BAREMOS!C:C=C297)*(BAREMOS!D:D=D297),0),0),-1)
      )
   ),
   IF(H297&lt;=MIN(INDEX(BAREMOS!F:X,MATCH(1,"&amp;"(BAREMOS!A:A=A297)*(BAREMOS!B:B=B297)*(BAREMOS!C:C=C297)*(BAREMOS!D:D=D297),0),0)),1,
      IF(H297&gt;=MAX(INDEX(BAREMOS!F:X,MATCH(1,(BAREMOS!A:A=A297)*(BAREMOS!B:B=B297)*(BAREMOS!C:C=C297)*(BAREMOS!D:D=D297),0),0)),19,
         MATCH(H297,INDEX(BAREMOS!F:X"&amp;",MATCH(1,(BAREMOS!A:A=A297)*(BAREMOS!B:B=B297)*(BAREMOS!C:C=C297)*(BAREMOS!D:D=D297),0),0),1)
      )
   )
)
,""""))
"),"")</f>
        <v/>
      </c>
      <c r="K297" s="34" t="str">
        <f t="shared" si="1"/>
        <v/>
      </c>
      <c r="L297" s="16"/>
      <c r="M297" s="16"/>
      <c r="N297" s="16"/>
      <c r="O297" s="16"/>
      <c r="P297" s="16"/>
      <c r="Q297" s="16"/>
      <c r="R297" s="16"/>
      <c r="S297" s="16"/>
      <c r="T297" s="16"/>
      <c r="U297" s="16"/>
      <c r="V297" s="16"/>
      <c r="W297" s="16"/>
      <c r="X297" s="16"/>
      <c r="Y297" s="16"/>
      <c r="Z297" s="16"/>
      <c r="AA297" s="16"/>
      <c r="AB297" s="16"/>
      <c r="AC297" s="16"/>
    </row>
    <row r="298">
      <c r="A298" s="22" t="str">
        <f t="array" ref="A298">IF(E298="","",IFERROR(INDEX(CONFIGURACION!C:C,MATCH(E298,CONFIGURACION!E:E,0)),""))
</f>
        <v/>
      </c>
      <c r="B298" s="22" t="str">
        <f t="array" ref="B298">IF(E298="","",IFERROR(INDEX(CONFIGURACION!D:D,MATCH(E298,CONFIGURACION!E:E,0)),""))
</f>
        <v/>
      </c>
      <c r="C298" s="31"/>
      <c r="D298" s="9"/>
      <c r="E298" s="6"/>
      <c r="F298" s="24"/>
      <c r="G298" s="9"/>
      <c r="H298" s="32"/>
      <c r="I298" s="33" t="str">
        <f>IFERROR(__xludf.DUMMYFUNCTION("IF(F298="""","""",LET(
  nombre, TRIM(F298),
  primer, REGEXEXTRACT(nombre, ""^\S+""),
  resto, TRIM(REGEXREPLACE(nombre, ""^\S+\s*"", """")),
  iniciales, IF(
    resto="""",
    """",
    TEXTJOIN("""",1,ARRAYFORMULA(LEFT(SPLIT(resto,"" ""),1) &amp; "".""))"&amp;"
  ),
  UPPER(primer) &amp; "" "" &amp; UPPER(iniciales)
))"),"")</f>
        <v/>
      </c>
      <c r="J298" s="33" t="str">
        <f>IFERROR(__xludf.DUMMYFUNCTION("IF(H298="""","""",IFERROR(
IF(REGEXMATCH(E298,""VELOCIDAD""),
   IF(H298&gt;=MAX(INDEX(BAREMOS!F:X,MATCH(1,(BAREMOS!A:A=A298)*(BAREMOS!B:B=B298)*(BAREMOS!C:C=C298)*(BAREMOS!D:D=D298),0),0)),1,
      IF(H298&lt;=MIN(INDEX(BAREMOS!F:X,MATCH(1,(BAREMOS!A:A=A298)*("&amp;"BAREMOS!B:B=B298)*(BAREMOS!C:C=C298)*(BAREMOS!D:D=D298),0),0)),19,
         MATCH(H298,INDEX(BAREMOS!F:X,MATCH(1,(BAREMOS!A:A=A298)*(BAREMOS!B:B=B298)*(BAREMOS!C:C=C298)*(BAREMOS!D:D=D298),0),0),-1)
      )
   ),
   IF(H298&lt;=MIN(INDEX(BAREMOS!F:X,MATCH(1,"&amp;"(BAREMOS!A:A=A298)*(BAREMOS!B:B=B298)*(BAREMOS!C:C=C298)*(BAREMOS!D:D=D298),0),0)),1,
      IF(H298&gt;=MAX(INDEX(BAREMOS!F:X,MATCH(1,(BAREMOS!A:A=A298)*(BAREMOS!B:B=B298)*(BAREMOS!C:C=C298)*(BAREMOS!D:D=D298),0),0)),19,
         MATCH(H298,INDEX(BAREMOS!F:X"&amp;",MATCH(1,(BAREMOS!A:A=A298)*(BAREMOS!B:B=B298)*(BAREMOS!C:C=C298)*(BAREMOS!D:D=D298),0),0),1)
      )
   )
)
,""""))
"),"")</f>
        <v/>
      </c>
      <c r="K298" s="34" t="str">
        <f t="shared" si="1"/>
        <v/>
      </c>
      <c r="L298" s="16"/>
      <c r="M298" s="16"/>
      <c r="N298" s="16"/>
      <c r="O298" s="16"/>
      <c r="P298" s="16"/>
      <c r="Q298" s="16"/>
      <c r="R298" s="16"/>
      <c r="S298" s="16"/>
      <c r="T298" s="16"/>
      <c r="U298" s="16"/>
      <c r="V298" s="16"/>
      <c r="W298" s="16"/>
      <c r="X298" s="16"/>
      <c r="Y298" s="16"/>
      <c r="Z298" s="16"/>
      <c r="AA298" s="16"/>
      <c r="AB298" s="16"/>
      <c r="AC298" s="16"/>
    </row>
    <row r="299">
      <c r="A299" s="22" t="str">
        <f t="array" ref="A299">IF(E299="","",IFERROR(INDEX(CONFIGURACION!C:C,MATCH(E299,CONFIGURACION!E:E,0)),""))
</f>
        <v/>
      </c>
      <c r="B299" s="22" t="str">
        <f t="array" ref="B299">IF(E299="","",IFERROR(INDEX(CONFIGURACION!D:D,MATCH(E299,CONFIGURACION!E:E,0)),""))
</f>
        <v/>
      </c>
      <c r="C299" s="31"/>
      <c r="D299" s="9"/>
      <c r="E299" s="6"/>
      <c r="F299" s="24"/>
      <c r="G299" s="9"/>
      <c r="H299" s="32"/>
      <c r="I299" s="33" t="str">
        <f>IFERROR(__xludf.DUMMYFUNCTION("IF(F299="""","""",LET(
  nombre, TRIM(F299),
  primer, REGEXEXTRACT(nombre, ""^\S+""),
  resto, TRIM(REGEXREPLACE(nombre, ""^\S+\s*"", """")),
  iniciales, IF(
    resto="""",
    """",
    TEXTJOIN("""",1,ARRAYFORMULA(LEFT(SPLIT(resto,"" ""),1) &amp; "".""))"&amp;"
  ),
  UPPER(primer) &amp; "" "" &amp; UPPER(iniciales)
))"),"")</f>
        <v/>
      </c>
      <c r="J299" s="33" t="str">
        <f>IFERROR(__xludf.DUMMYFUNCTION("IF(H299="""","""",IFERROR(
IF(REGEXMATCH(E299,""VELOCIDAD""),
   IF(H299&gt;=MAX(INDEX(BAREMOS!F:X,MATCH(1,(BAREMOS!A:A=A299)*(BAREMOS!B:B=B299)*(BAREMOS!C:C=C299)*(BAREMOS!D:D=D299),0),0)),1,
      IF(H299&lt;=MIN(INDEX(BAREMOS!F:X,MATCH(1,(BAREMOS!A:A=A299)*("&amp;"BAREMOS!B:B=B299)*(BAREMOS!C:C=C299)*(BAREMOS!D:D=D299),0),0)),19,
         MATCH(H299,INDEX(BAREMOS!F:X,MATCH(1,(BAREMOS!A:A=A299)*(BAREMOS!B:B=B299)*(BAREMOS!C:C=C299)*(BAREMOS!D:D=D299),0),0),-1)
      )
   ),
   IF(H299&lt;=MIN(INDEX(BAREMOS!F:X,MATCH(1,"&amp;"(BAREMOS!A:A=A299)*(BAREMOS!B:B=B299)*(BAREMOS!C:C=C299)*(BAREMOS!D:D=D299),0),0)),1,
      IF(H299&gt;=MAX(INDEX(BAREMOS!F:X,MATCH(1,(BAREMOS!A:A=A299)*(BAREMOS!B:B=B299)*(BAREMOS!C:C=C299)*(BAREMOS!D:D=D299),0),0)),19,
         MATCH(H299,INDEX(BAREMOS!F:X"&amp;",MATCH(1,(BAREMOS!A:A=A299)*(BAREMOS!B:B=B299)*(BAREMOS!C:C=C299)*(BAREMOS!D:D=D299),0),0),1)
      )
   )
)
,""""))
"),"")</f>
        <v/>
      </c>
      <c r="K299" s="34" t="str">
        <f t="shared" si="1"/>
        <v/>
      </c>
      <c r="L299" s="16"/>
      <c r="M299" s="16"/>
      <c r="N299" s="16"/>
      <c r="O299" s="16"/>
      <c r="P299" s="16"/>
      <c r="Q299" s="16"/>
      <c r="R299" s="16"/>
      <c r="S299" s="16"/>
      <c r="T299" s="16"/>
      <c r="U299" s="16"/>
      <c r="V299" s="16"/>
      <c r="W299" s="16"/>
      <c r="X299" s="16"/>
      <c r="Y299" s="16"/>
      <c r="Z299" s="16"/>
      <c r="AA299" s="16"/>
      <c r="AB299" s="16"/>
      <c r="AC299" s="16"/>
    </row>
    <row r="300">
      <c r="A300" s="22" t="str">
        <f t="array" ref="A300">IF(E300="","",IFERROR(INDEX(CONFIGURACION!C:C,MATCH(E300,CONFIGURACION!E:E,0)),""))
</f>
        <v/>
      </c>
      <c r="B300" s="22" t="str">
        <f t="array" ref="B300">IF(E300="","",IFERROR(INDEX(CONFIGURACION!D:D,MATCH(E300,CONFIGURACION!E:E,0)),""))
</f>
        <v/>
      </c>
      <c r="C300" s="31"/>
      <c r="D300" s="9"/>
      <c r="E300" s="6"/>
      <c r="F300" s="24"/>
      <c r="G300" s="9"/>
      <c r="H300" s="32"/>
      <c r="I300" s="33" t="str">
        <f>IFERROR(__xludf.DUMMYFUNCTION("IF(F300="""","""",LET(
  nombre, TRIM(F300),
  primer, REGEXEXTRACT(nombre, ""^\S+""),
  resto, TRIM(REGEXREPLACE(nombre, ""^\S+\s*"", """")),
  iniciales, IF(
    resto="""",
    """",
    TEXTJOIN("""",1,ARRAYFORMULA(LEFT(SPLIT(resto,"" ""),1) &amp; "".""))"&amp;"
  ),
  UPPER(primer) &amp; "" "" &amp; UPPER(iniciales)
))"),"")</f>
        <v/>
      </c>
      <c r="J300" s="33" t="str">
        <f>IFERROR(__xludf.DUMMYFUNCTION("IF(H300="""","""",IFERROR(
IF(REGEXMATCH(E300,""VELOCIDAD""),
   IF(H300&gt;=MAX(INDEX(BAREMOS!F:X,MATCH(1,(BAREMOS!A:A=A300)*(BAREMOS!B:B=B300)*(BAREMOS!C:C=C300)*(BAREMOS!D:D=D300),0),0)),1,
      IF(H300&lt;=MIN(INDEX(BAREMOS!F:X,MATCH(1,(BAREMOS!A:A=A300)*("&amp;"BAREMOS!B:B=B300)*(BAREMOS!C:C=C300)*(BAREMOS!D:D=D300),0),0)),19,
         MATCH(H300,INDEX(BAREMOS!F:X,MATCH(1,(BAREMOS!A:A=A300)*(BAREMOS!B:B=B300)*(BAREMOS!C:C=C300)*(BAREMOS!D:D=D300),0),0),-1)
      )
   ),
   IF(H300&lt;=MIN(INDEX(BAREMOS!F:X,MATCH(1,"&amp;"(BAREMOS!A:A=A300)*(BAREMOS!B:B=B300)*(BAREMOS!C:C=C300)*(BAREMOS!D:D=D300),0),0)),1,
      IF(H300&gt;=MAX(INDEX(BAREMOS!F:X,MATCH(1,(BAREMOS!A:A=A300)*(BAREMOS!B:B=B300)*(BAREMOS!C:C=C300)*(BAREMOS!D:D=D300),0),0)),19,
         MATCH(H300,INDEX(BAREMOS!F:X"&amp;",MATCH(1,(BAREMOS!A:A=A300)*(BAREMOS!B:B=B300)*(BAREMOS!C:C=C300)*(BAREMOS!D:D=D300),0),0),1)
      )
   )
)
,""""))
"),"")</f>
        <v/>
      </c>
      <c r="K300" s="34" t="str">
        <f t="shared" si="1"/>
        <v/>
      </c>
      <c r="L300" s="16"/>
      <c r="M300" s="16"/>
      <c r="N300" s="16"/>
      <c r="O300" s="16"/>
      <c r="P300" s="16"/>
      <c r="Q300" s="16"/>
      <c r="R300" s="16"/>
      <c r="S300" s="16"/>
      <c r="T300" s="16"/>
      <c r="U300" s="16"/>
      <c r="V300" s="16"/>
      <c r="W300" s="16"/>
      <c r="X300" s="16"/>
      <c r="Y300" s="16"/>
      <c r="Z300" s="16"/>
      <c r="AA300" s="16"/>
      <c r="AB300" s="16"/>
      <c r="AC300" s="16"/>
    </row>
    <row r="301">
      <c r="A301" s="22" t="str">
        <f t="array" ref="A301">IF(E301="","",IFERROR(INDEX(CONFIGURACION!C:C,MATCH(E301,CONFIGURACION!E:E,0)),""))
</f>
        <v/>
      </c>
      <c r="B301" s="22" t="str">
        <f t="array" ref="B301">IF(E301="","",IFERROR(INDEX(CONFIGURACION!D:D,MATCH(E301,CONFIGURACION!E:E,0)),""))
</f>
        <v/>
      </c>
      <c r="C301" s="31"/>
      <c r="D301" s="9"/>
      <c r="E301" s="6"/>
      <c r="F301" s="24"/>
      <c r="G301" s="9"/>
      <c r="H301" s="32"/>
      <c r="I301" s="33" t="str">
        <f>IFERROR(__xludf.DUMMYFUNCTION("IF(F301="""","""",LET(
  nombre, TRIM(F301),
  primer, REGEXEXTRACT(nombre, ""^\S+""),
  resto, TRIM(REGEXREPLACE(nombre, ""^\S+\s*"", """")),
  iniciales, IF(
    resto="""",
    """",
    TEXTJOIN("""",1,ARRAYFORMULA(LEFT(SPLIT(resto,"" ""),1) &amp; "".""))"&amp;"
  ),
  UPPER(primer) &amp; "" "" &amp; UPPER(iniciales)
))"),"")</f>
        <v/>
      </c>
      <c r="J301" s="33" t="str">
        <f>IFERROR(__xludf.DUMMYFUNCTION("IF(H301="""","""",IFERROR(
IF(REGEXMATCH(E301,""VELOCIDAD""),
   IF(H301&gt;=MAX(INDEX(BAREMOS!F:X,MATCH(1,(BAREMOS!A:A=A301)*(BAREMOS!B:B=B301)*(BAREMOS!C:C=C301)*(BAREMOS!D:D=D301),0),0)),1,
      IF(H301&lt;=MIN(INDEX(BAREMOS!F:X,MATCH(1,(BAREMOS!A:A=A301)*("&amp;"BAREMOS!B:B=B301)*(BAREMOS!C:C=C301)*(BAREMOS!D:D=D301),0),0)),19,
         MATCH(H301,INDEX(BAREMOS!F:X,MATCH(1,(BAREMOS!A:A=A301)*(BAREMOS!B:B=B301)*(BAREMOS!C:C=C301)*(BAREMOS!D:D=D301),0),0),-1)
      )
   ),
   IF(H301&lt;=MIN(INDEX(BAREMOS!F:X,MATCH(1,"&amp;"(BAREMOS!A:A=A301)*(BAREMOS!B:B=B301)*(BAREMOS!C:C=C301)*(BAREMOS!D:D=D301),0),0)),1,
      IF(H301&gt;=MAX(INDEX(BAREMOS!F:X,MATCH(1,(BAREMOS!A:A=A301)*(BAREMOS!B:B=B301)*(BAREMOS!C:C=C301)*(BAREMOS!D:D=D301),0),0)),19,
         MATCH(H301,INDEX(BAREMOS!F:X"&amp;",MATCH(1,(BAREMOS!A:A=A301)*(BAREMOS!B:B=B301)*(BAREMOS!C:C=C301)*(BAREMOS!D:D=D301),0),0),1)
      )
   )
)
,""""))
"),"")</f>
        <v/>
      </c>
      <c r="K301" s="34" t="str">
        <f t="shared" si="1"/>
        <v/>
      </c>
      <c r="L301" s="16"/>
      <c r="M301" s="16"/>
      <c r="N301" s="16"/>
      <c r="O301" s="16"/>
      <c r="P301" s="16"/>
      <c r="Q301" s="16"/>
      <c r="R301" s="16"/>
      <c r="S301" s="16"/>
      <c r="T301" s="16"/>
      <c r="U301" s="16"/>
      <c r="V301" s="16"/>
      <c r="W301" s="16"/>
      <c r="X301" s="16"/>
      <c r="Y301" s="16"/>
      <c r="Z301" s="16"/>
      <c r="AA301" s="16"/>
      <c r="AB301" s="16"/>
      <c r="AC301" s="16"/>
    </row>
    <row r="302">
      <c r="A302" s="22" t="str">
        <f t="array" ref="A302">IF(E302="","",IFERROR(INDEX(CONFIGURACION!C:C,MATCH(E302,CONFIGURACION!E:E,0)),""))
</f>
        <v/>
      </c>
      <c r="B302" s="22" t="str">
        <f t="array" ref="B302">IF(E302="","",IFERROR(INDEX(CONFIGURACION!D:D,MATCH(E302,CONFIGURACION!E:E,0)),""))
</f>
        <v/>
      </c>
      <c r="C302" s="31"/>
      <c r="D302" s="9"/>
      <c r="E302" s="6"/>
      <c r="F302" s="24"/>
      <c r="G302" s="9"/>
      <c r="H302" s="32"/>
      <c r="I302" s="33" t="str">
        <f>IFERROR(__xludf.DUMMYFUNCTION("IF(F302="""","""",LET(
  nombre, TRIM(F302),
  primer, REGEXEXTRACT(nombre, ""^\S+""),
  resto, TRIM(REGEXREPLACE(nombre, ""^\S+\s*"", """")),
  iniciales, IF(
    resto="""",
    """",
    TEXTJOIN("""",1,ARRAYFORMULA(LEFT(SPLIT(resto,"" ""),1) &amp; "".""))"&amp;"
  ),
  UPPER(primer) &amp; "" "" &amp; UPPER(iniciales)
))"),"")</f>
        <v/>
      </c>
      <c r="J302" s="33" t="str">
        <f>IFERROR(__xludf.DUMMYFUNCTION("IF(H302="""","""",IFERROR(
IF(REGEXMATCH(E302,""VELOCIDAD""),
   IF(H302&gt;=MAX(INDEX(BAREMOS!F:X,MATCH(1,(BAREMOS!A:A=A302)*(BAREMOS!B:B=B302)*(BAREMOS!C:C=C302)*(BAREMOS!D:D=D302),0),0)),1,
      IF(H302&lt;=MIN(INDEX(BAREMOS!F:X,MATCH(1,(BAREMOS!A:A=A302)*("&amp;"BAREMOS!B:B=B302)*(BAREMOS!C:C=C302)*(BAREMOS!D:D=D302),0),0)),19,
         MATCH(H302,INDEX(BAREMOS!F:X,MATCH(1,(BAREMOS!A:A=A302)*(BAREMOS!B:B=B302)*(BAREMOS!C:C=C302)*(BAREMOS!D:D=D302),0),0),-1)
      )
   ),
   IF(H302&lt;=MIN(INDEX(BAREMOS!F:X,MATCH(1,"&amp;"(BAREMOS!A:A=A302)*(BAREMOS!B:B=B302)*(BAREMOS!C:C=C302)*(BAREMOS!D:D=D302),0),0)),1,
      IF(H302&gt;=MAX(INDEX(BAREMOS!F:X,MATCH(1,(BAREMOS!A:A=A302)*(BAREMOS!B:B=B302)*(BAREMOS!C:C=C302)*(BAREMOS!D:D=D302),0),0)),19,
         MATCH(H302,INDEX(BAREMOS!F:X"&amp;",MATCH(1,(BAREMOS!A:A=A302)*(BAREMOS!B:B=B302)*(BAREMOS!C:C=C302)*(BAREMOS!D:D=D302),0),0),1)
      )
   )
)
,""""))
"),"")</f>
        <v/>
      </c>
      <c r="K302" s="34" t="str">
        <f t="shared" si="1"/>
        <v/>
      </c>
      <c r="L302" s="16"/>
      <c r="M302" s="16"/>
      <c r="N302" s="16"/>
      <c r="O302" s="16"/>
      <c r="P302" s="16"/>
      <c r="Q302" s="16"/>
      <c r="R302" s="16"/>
      <c r="S302" s="16"/>
      <c r="T302" s="16"/>
      <c r="U302" s="16"/>
      <c r="V302" s="16"/>
      <c r="W302" s="16"/>
      <c r="X302" s="16"/>
      <c r="Y302" s="16"/>
      <c r="Z302" s="16"/>
      <c r="AA302" s="16"/>
      <c r="AB302" s="16"/>
      <c r="AC302" s="16"/>
    </row>
    <row r="303">
      <c r="A303" s="22" t="str">
        <f t="array" ref="A303">IF(E303="","",IFERROR(INDEX(CONFIGURACION!C:C,MATCH(E303,CONFIGURACION!E:E,0)),""))
</f>
        <v/>
      </c>
      <c r="B303" s="22" t="str">
        <f t="array" ref="B303">IF(E303="","",IFERROR(INDEX(CONFIGURACION!D:D,MATCH(E303,CONFIGURACION!E:E,0)),""))
</f>
        <v/>
      </c>
      <c r="C303" s="31"/>
      <c r="D303" s="9"/>
      <c r="E303" s="6"/>
      <c r="F303" s="24"/>
      <c r="G303" s="9"/>
      <c r="H303" s="32"/>
      <c r="I303" s="33" t="str">
        <f>IFERROR(__xludf.DUMMYFUNCTION("IF(F303="""","""",LET(
  nombre, TRIM(F303),
  primer, REGEXEXTRACT(nombre, ""^\S+""),
  resto, TRIM(REGEXREPLACE(nombre, ""^\S+\s*"", """")),
  iniciales, IF(
    resto="""",
    """",
    TEXTJOIN("""",1,ARRAYFORMULA(LEFT(SPLIT(resto,"" ""),1) &amp; "".""))"&amp;"
  ),
  UPPER(primer) &amp; "" "" &amp; UPPER(iniciales)
))"),"")</f>
        <v/>
      </c>
      <c r="J303" s="33" t="str">
        <f>IFERROR(__xludf.DUMMYFUNCTION("IF(H303="""","""",IFERROR(
IF(REGEXMATCH(E303,""VELOCIDAD""),
   IF(H303&gt;=MAX(INDEX(BAREMOS!F:X,MATCH(1,(BAREMOS!A:A=A303)*(BAREMOS!B:B=B303)*(BAREMOS!C:C=C303)*(BAREMOS!D:D=D303),0),0)),1,
      IF(H303&lt;=MIN(INDEX(BAREMOS!F:X,MATCH(1,(BAREMOS!A:A=A303)*("&amp;"BAREMOS!B:B=B303)*(BAREMOS!C:C=C303)*(BAREMOS!D:D=D303),0),0)),19,
         MATCH(H303,INDEX(BAREMOS!F:X,MATCH(1,(BAREMOS!A:A=A303)*(BAREMOS!B:B=B303)*(BAREMOS!C:C=C303)*(BAREMOS!D:D=D303),0),0),-1)
      )
   ),
   IF(H303&lt;=MIN(INDEX(BAREMOS!F:X,MATCH(1,"&amp;"(BAREMOS!A:A=A303)*(BAREMOS!B:B=B303)*(BAREMOS!C:C=C303)*(BAREMOS!D:D=D303),0),0)),1,
      IF(H303&gt;=MAX(INDEX(BAREMOS!F:X,MATCH(1,(BAREMOS!A:A=A303)*(BAREMOS!B:B=B303)*(BAREMOS!C:C=C303)*(BAREMOS!D:D=D303),0),0)),19,
         MATCH(H303,INDEX(BAREMOS!F:X"&amp;",MATCH(1,(BAREMOS!A:A=A303)*(BAREMOS!B:B=B303)*(BAREMOS!C:C=C303)*(BAREMOS!D:D=D303),0),0),1)
      )
   )
)
,""""))
"),"")</f>
        <v/>
      </c>
      <c r="K303" s="34" t="str">
        <f t="shared" si="1"/>
        <v/>
      </c>
      <c r="L303" s="16"/>
      <c r="M303" s="16"/>
      <c r="N303" s="16"/>
      <c r="O303" s="16"/>
      <c r="P303" s="16"/>
      <c r="Q303" s="16"/>
      <c r="R303" s="16"/>
      <c r="S303" s="16"/>
      <c r="T303" s="16"/>
      <c r="U303" s="16"/>
      <c r="V303" s="16"/>
      <c r="W303" s="16"/>
      <c r="X303" s="16"/>
      <c r="Y303" s="16"/>
      <c r="Z303" s="16"/>
      <c r="AA303" s="16"/>
      <c r="AB303" s="16"/>
      <c r="AC303" s="16"/>
    </row>
    <row r="304">
      <c r="A304" s="22" t="str">
        <f t="array" ref="A304">IF(E304="","",IFERROR(INDEX(CONFIGURACION!C:C,MATCH(E304,CONFIGURACION!E:E,0)),""))
</f>
        <v/>
      </c>
      <c r="B304" s="22" t="str">
        <f t="array" ref="B304">IF(E304="","",IFERROR(INDEX(CONFIGURACION!D:D,MATCH(E304,CONFIGURACION!E:E,0)),""))
</f>
        <v/>
      </c>
      <c r="C304" s="31"/>
      <c r="D304" s="9"/>
      <c r="E304" s="6"/>
      <c r="F304" s="24"/>
      <c r="G304" s="9"/>
      <c r="H304" s="32"/>
      <c r="I304" s="33" t="str">
        <f>IFERROR(__xludf.DUMMYFUNCTION("IF(F304="""","""",LET(
  nombre, TRIM(F304),
  primer, REGEXEXTRACT(nombre, ""^\S+""),
  resto, TRIM(REGEXREPLACE(nombre, ""^\S+\s*"", """")),
  iniciales, IF(
    resto="""",
    """",
    TEXTJOIN("""",1,ARRAYFORMULA(LEFT(SPLIT(resto,"" ""),1) &amp; "".""))"&amp;"
  ),
  UPPER(primer) &amp; "" "" &amp; UPPER(iniciales)
))"),"")</f>
        <v/>
      </c>
      <c r="J304" s="33" t="str">
        <f>IFERROR(__xludf.DUMMYFUNCTION("IF(H304="""","""",IFERROR(
IF(REGEXMATCH(E304,""VELOCIDAD""),
   IF(H304&gt;=MAX(INDEX(BAREMOS!F:X,MATCH(1,(BAREMOS!A:A=A304)*(BAREMOS!B:B=B304)*(BAREMOS!C:C=C304)*(BAREMOS!D:D=D304),0),0)),1,
      IF(H304&lt;=MIN(INDEX(BAREMOS!F:X,MATCH(1,(BAREMOS!A:A=A304)*("&amp;"BAREMOS!B:B=B304)*(BAREMOS!C:C=C304)*(BAREMOS!D:D=D304),0),0)),19,
         MATCH(H304,INDEX(BAREMOS!F:X,MATCH(1,(BAREMOS!A:A=A304)*(BAREMOS!B:B=B304)*(BAREMOS!C:C=C304)*(BAREMOS!D:D=D304),0),0),-1)
      )
   ),
   IF(H304&lt;=MIN(INDEX(BAREMOS!F:X,MATCH(1,"&amp;"(BAREMOS!A:A=A304)*(BAREMOS!B:B=B304)*(BAREMOS!C:C=C304)*(BAREMOS!D:D=D304),0),0)),1,
      IF(H304&gt;=MAX(INDEX(BAREMOS!F:X,MATCH(1,(BAREMOS!A:A=A304)*(BAREMOS!B:B=B304)*(BAREMOS!C:C=C304)*(BAREMOS!D:D=D304),0),0)),19,
         MATCH(H304,INDEX(BAREMOS!F:X"&amp;",MATCH(1,(BAREMOS!A:A=A304)*(BAREMOS!B:B=B304)*(BAREMOS!C:C=C304)*(BAREMOS!D:D=D304),0),0),1)
      )
   )
)
,""""))
"),"")</f>
        <v/>
      </c>
      <c r="K304" s="34" t="str">
        <f t="shared" si="1"/>
        <v/>
      </c>
      <c r="L304" s="16"/>
      <c r="M304" s="16"/>
      <c r="N304" s="16"/>
      <c r="O304" s="16"/>
      <c r="P304" s="16"/>
      <c r="Q304" s="16"/>
      <c r="R304" s="16"/>
      <c r="S304" s="16"/>
      <c r="T304" s="16"/>
      <c r="U304" s="16"/>
      <c r="V304" s="16"/>
      <c r="W304" s="16"/>
      <c r="X304" s="16"/>
      <c r="Y304" s="16"/>
      <c r="Z304" s="16"/>
      <c r="AA304" s="16"/>
      <c r="AB304" s="16"/>
      <c r="AC304" s="16"/>
    </row>
    <row r="305">
      <c r="A305" s="22" t="str">
        <f t="array" ref="A305">IF(E305="","",IFERROR(INDEX(CONFIGURACION!C:C,MATCH(E305,CONFIGURACION!E:E,0)),""))
</f>
        <v/>
      </c>
      <c r="B305" s="22" t="str">
        <f t="array" ref="B305">IF(E305="","",IFERROR(INDEX(CONFIGURACION!D:D,MATCH(E305,CONFIGURACION!E:E,0)),""))
</f>
        <v/>
      </c>
      <c r="C305" s="31"/>
      <c r="D305" s="9"/>
      <c r="E305" s="6"/>
      <c r="F305" s="24"/>
      <c r="G305" s="9"/>
      <c r="H305" s="32"/>
      <c r="I305" s="33" t="str">
        <f>IFERROR(__xludf.DUMMYFUNCTION("IF(F305="""","""",LET(
  nombre, TRIM(F305),
  primer, REGEXEXTRACT(nombre, ""^\S+""),
  resto, TRIM(REGEXREPLACE(nombre, ""^\S+\s*"", """")),
  iniciales, IF(
    resto="""",
    """",
    TEXTJOIN("""",1,ARRAYFORMULA(LEFT(SPLIT(resto,"" ""),1) &amp; "".""))"&amp;"
  ),
  UPPER(primer) &amp; "" "" &amp; UPPER(iniciales)
))"),"")</f>
        <v/>
      </c>
      <c r="J305" s="33" t="str">
        <f>IFERROR(__xludf.DUMMYFUNCTION("IF(H305="""","""",IFERROR(
IF(REGEXMATCH(E305,""VELOCIDAD""),
   IF(H305&gt;=MAX(INDEX(BAREMOS!F:X,MATCH(1,(BAREMOS!A:A=A305)*(BAREMOS!B:B=B305)*(BAREMOS!C:C=C305)*(BAREMOS!D:D=D305),0),0)),1,
      IF(H305&lt;=MIN(INDEX(BAREMOS!F:X,MATCH(1,(BAREMOS!A:A=A305)*("&amp;"BAREMOS!B:B=B305)*(BAREMOS!C:C=C305)*(BAREMOS!D:D=D305),0),0)),19,
         MATCH(H305,INDEX(BAREMOS!F:X,MATCH(1,(BAREMOS!A:A=A305)*(BAREMOS!B:B=B305)*(BAREMOS!C:C=C305)*(BAREMOS!D:D=D305),0),0),-1)
      )
   ),
   IF(H305&lt;=MIN(INDEX(BAREMOS!F:X,MATCH(1,"&amp;"(BAREMOS!A:A=A305)*(BAREMOS!B:B=B305)*(BAREMOS!C:C=C305)*(BAREMOS!D:D=D305),0),0)),1,
      IF(H305&gt;=MAX(INDEX(BAREMOS!F:X,MATCH(1,(BAREMOS!A:A=A305)*(BAREMOS!B:B=B305)*(BAREMOS!C:C=C305)*(BAREMOS!D:D=D305),0),0)),19,
         MATCH(H305,INDEX(BAREMOS!F:X"&amp;",MATCH(1,(BAREMOS!A:A=A305)*(BAREMOS!B:B=B305)*(BAREMOS!C:C=C305)*(BAREMOS!D:D=D305),0),0),1)
      )
   )
)
,""""))
"),"")</f>
        <v/>
      </c>
      <c r="K305" s="34" t="str">
        <f t="shared" si="1"/>
        <v/>
      </c>
      <c r="L305" s="16"/>
      <c r="M305" s="16"/>
      <c r="N305" s="16"/>
      <c r="O305" s="16"/>
      <c r="P305" s="16"/>
      <c r="Q305" s="16"/>
      <c r="R305" s="16"/>
      <c r="S305" s="16"/>
      <c r="T305" s="16"/>
      <c r="U305" s="16"/>
      <c r="V305" s="16"/>
      <c r="W305" s="16"/>
      <c r="X305" s="16"/>
      <c r="Y305" s="16"/>
      <c r="Z305" s="16"/>
      <c r="AA305" s="16"/>
      <c r="AB305" s="16"/>
      <c r="AC305" s="16"/>
    </row>
    <row r="306">
      <c r="A306" s="22" t="str">
        <f t="array" ref="A306">IF(E306="","",IFERROR(INDEX(CONFIGURACION!C:C,MATCH(E306,CONFIGURACION!E:E,0)),""))
</f>
        <v/>
      </c>
      <c r="B306" s="22" t="str">
        <f t="array" ref="B306">IF(E306="","",IFERROR(INDEX(CONFIGURACION!D:D,MATCH(E306,CONFIGURACION!E:E,0)),""))
</f>
        <v/>
      </c>
      <c r="C306" s="31"/>
      <c r="D306" s="9"/>
      <c r="E306" s="6"/>
      <c r="F306" s="24"/>
      <c r="G306" s="9"/>
      <c r="H306" s="32"/>
      <c r="I306" s="33" t="str">
        <f>IFERROR(__xludf.DUMMYFUNCTION("IF(F306="""","""",LET(
  nombre, TRIM(F306),
  primer, REGEXEXTRACT(nombre, ""^\S+""),
  resto, TRIM(REGEXREPLACE(nombre, ""^\S+\s*"", """")),
  iniciales, IF(
    resto="""",
    """",
    TEXTJOIN("""",1,ARRAYFORMULA(LEFT(SPLIT(resto,"" ""),1) &amp; "".""))"&amp;"
  ),
  UPPER(primer) &amp; "" "" &amp; UPPER(iniciales)
))"),"")</f>
        <v/>
      </c>
      <c r="J306" s="33" t="str">
        <f>IFERROR(__xludf.DUMMYFUNCTION("IF(H306="""","""",IFERROR(
IF(REGEXMATCH(E306,""VELOCIDAD""),
   IF(H306&gt;=MAX(INDEX(BAREMOS!F:X,MATCH(1,(BAREMOS!A:A=A306)*(BAREMOS!B:B=B306)*(BAREMOS!C:C=C306)*(BAREMOS!D:D=D306),0),0)),1,
      IF(H306&lt;=MIN(INDEX(BAREMOS!F:X,MATCH(1,(BAREMOS!A:A=A306)*("&amp;"BAREMOS!B:B=B306)*(BAREMOS!C:C=C306)*(BAREMOS!D:D=D306),0),0)),19,
         MATCH(H306,INDEX(BAREMOS!F:X,MATCH(1,(BAREMOS!A:A=A306)*(BAREMOS!B:B=B306)*(BAREMOS!C:C=C306)*(BAREMOS!D:D=D306),0),0),-1)
      )
   ),
   IF(H306&lt;=MIN(INDEX(BAREMOS!F:X,MATCH(1,"&amp;"(BAREMOS!A:A=A306)*(BAREMOS!B:B=B306)*(BAREMOS!C:C=C306)*(BAREMOS!D:D=D306),0),0)),1,
      IF(H306&gt;=MAX(INDEX(BAREMOS!F:X,MATCH(1,(BAREMOS!A:A=A306)*(BAREMOS!B:B=B306)*(BAREMOS!C:C=C306)*(BAREMOS!D:D=D306),0),0)),19,
         MATCH(H306,INDEX(BAREMOS!F:X"&amp;",MATCH(1,(BAREMOS!A:A=A306)*(BAREMOS!B:B=B306)*(BAREMOS!C:C=C306)*(BAREMOS!D:D=D306),0),0),1)
      )
   )
)
,""""))
"),"")</f>
        <v/>
      </c>
      <c r="K306" s="34" t="str">
        <f t="shared" si="1"/>
        <v/>
      </c>
      <c r="L306" s="16"/>
      <c r="M306" s="16"/>
      <c r="N306" s="16"/>
      <c r="O306" s="16"/>
      <c r="P306" s="16"/>
      <c r="Q306" s="16"/>
      <c r="R306" s="16"/>
      <c r="S306" s="16"/>
      <c r="T306" s="16"/>
      <c r="U306" s="16"/>
      <c r="V306" s="16"/>
      <c r="W306" s="16"/>
      <c r="X306" s="16"/>
      <c r="Y306" s="16"/>
      <c r="Z306" s="16"/>
      <c r="AA306" s="16"/>
      <c r="AB306" s="16"/>
      <c r="AC306" s="16"/>
    </row>
    <row r="307">
      <c r="A307" s="22" t="str">
        <f t="array" ref="A307">IF(E307="","",IFERROR(INDEX(CONFIGURACION!C:C,MATCH(E307,CONFIGURACION!E:E,0)),""))
</f>
        <v/>
      </c>
      <c r="B307" s="22" t="str">
        <f t="array" ref="B307">IF(E307="","",IFERROR(INDEX(CONFIGURACION!D:D,MATCH(E307,CONFIGURACION!E:E,0)),""))
</f>
        <v/>
      </c>
      <c r="C307" s="31"/>
      <c r="D307" s="9"/>
      <c r="E307" s="6"/>
      <c r="F307" s="24"/>
      <c r="G307" s="9"/>
      <c r="H307" s="32"/>
      <c r="I307" s="33" t="str">
        <f>IFERROR(__xludf.DUMMYFUNCTION("IF(F307="""","""",LET(
  nombre, TRIM(F307),
  primer, REGEXEXTRACT(nombre, ""^\S+""),
  resto, TRIM(REGEXREPLACE(nombre, ""^\S+\s*"", """")),
  iniciales, IF(
    resto="""",
    """",
    TEXTJOIN("""",1,ARRAYFORMULA(LEFT(SPLIT(resto,"" ""),1) &amp; "".""))"&amp;"
  ),
  UPPER(primer) &amp; "" "" &amp; UPPER(iniciales)
))"),"")</f>
        <v/>
      </c>
      <c r="J307" s="33" t="str">
        <f>IFERROR(__xludf.DUMMYFUNCTION("IF(H307="""","""",IFERROR(
IF(REGEXMATCH(E307,""VELOCIDAD""),
   IF(H307&gt;=MAX(INDEX(BAREMOS!F:X,MATCH(1,(BAREMOS!A:A=A307)*(BAREMOS!B:B=B307)*(BAREMOS!C:C=C307)*(BAREMOS!D:D=D307),0),0)),1,
      IF(H307&lt;=MIN(INDEX(BAREMOS!F:X,MATCH(1,(BAREMOS!A:A=A307)*("&amp;"BAREMOS!B:B=B307)*(BAREMOS!C:C=C307)*(BAREMOS!D:D=D307),0),0)),19,
         MATCH(H307,INDEX(BAREMOS!F:X,MATCH(1,(BAREMOS!A:A=A307)*(BAREMOS!B:B=B307)*(BAREMOS!C:C=C307)*(BAREMOS!D:D=D307),0),0),-1)
      )
   ),
   IF(H307&lt;=MIN(INDEX(BAREMOS!F:X,MATCH(1,"&amp;"(BAREMOS!A:A=A307)*(BAREMOS!B:B=B307)*(BAREMOS!C:C=C307)*(BAREMOS!D:D=D307),0),0)),1,
      IF(H307&gt;=MAX(INDEX(BAREMOS!F:X,MATCH(1,(BAREMOS!A:A=A307)*(BAREMOS!B:B=B307)*(BAREMOS!C:C=C307)*(BAREMOS!D:D=D307),0),0)),19,
         MATCH(H307,INDEX(BAREMOS!F:X"&amp;",MATCH(1,(BAREMOS!A:A=A307)*(BAREMOS!B:B=B307)*(BAREMOS!C:C=C307)*(BAREMOS!D:D=D307),0),0),1)
      )
   )
)
,""""))
"),"")</f>
        <v/>
      </c>
      <c r="K307" s="34" t="str">
        <f t="shared" si="1"/>
        <v/>
      </c>
      <c r="L307" s="16"/>
      <c r="M307" s="16"/>
      <c r="N307" s="16"/>
      <c r="O307" s="16"/>
      <c r="P307" s="16"/>
      <c r="Q307" s="16"/>
      <c r="R307" s="16"/>
      <c r="S307" s="16"/>
      <c r="T307" s="16"/>
      <c r="U307" s="16"/>
      <c r="V307" s="16"/>
      <c r="W307" s="16"/>
      <c r="X307" s="16"/>
      <c r="Y307" s="16"/>
      <c r="Z307" s="16"/>
      <c r="AA307" s="16"/>
      <c r="AB307" s="16"/>
      <c r="AC307" s="16"/>
    </row>
    <row r="308">
      <c r="A308" s="22" t="str">
        <f t="array" ref="A308">IF(E308="","",IFERROR(INDEX(CONFIGURACION!C:C,MATCH(E308,CONFIGURACION!E:E,0)),""))
</f>
        <v/>
      </c>
      <c r="B308" s="22" t="str">
        <f t="array" ref="B308">IF(E308="","",IFERROR(INDEX(CONFIGURACION!D:D,MATCH(E308,CONFIGURACION!E:E,0)),""))
</f>
        <v/>
      </c>
      <c r="C308" s="31"/>
      <c r="D308" s="9"/>
      <c r="E308" s="6"/>
      <c r="F308" s="24"/>
      <c r="G308" s="9"/>
      <c r="H308" s="32"/>
      <c r="I308" s="33" t="str">
        <f>IFERROR(__xludf.DUMMYFUNCTION("IF(F308="""","""",LET(
  nombre, TRIM(F308),
  primer, REGEXEXTRACT(nombre, ""^\S+""),
  resto, TRIM(REGEXREPLACE(nombre, ""^\S+\s*"", """")),
  iniciales, IF(
    resto="""",
    """",
    TEXTJOIN("""",1,ARRAYFORMULA(LEFT(SPLIT(resto,"" ""),1) &amp; "".""))"&amp;"
  ),
  UPPER(primer) &amp; "" "" &amp; UPPER(iniciales)
))"),"")</f>
        <v/>
      </c>
      <c r="J308" s="33" t="str">
        <f>IFERROR(__xludf.DUMMYFUNCTION("IF(H308="""","""",IFERROR(
IF(REGEXMATCH(E308,""VELOCIDAD""),
   IF(H308&gt;=MAX(INDEX(BAREMOS!F:X,MATCH(1,(BAREMOS!A:A=A308)*(BAREMOS!B:B=B308)*(BAREMOS!C:C=C308)*(BAREMOS!D:D=D308),0),0)),1,
      IF(H308&lt;=MIN(INDEX(BAREMOS!F:X,MATCH(1,(BAREMOS!A:A=A308)*("&amp;"BAREMOS!B:B=B308)*(BAREMOS!C:C=C308)*(BAREMOS!D:D=D308),0),0)),19,
         MATCH(H308,INDEX(BAREMOS!F:X,MATCH(1,(BAREMOS!A:A=A308)*(BAREMOS!B:B=B308)*(BAREMOS!C:C=C308)*(BAREMOS!D:D=D308),0),0),-1)
      )
   ),
   IF(H308&lt;=MIN(INDEX(BAREMOS!F:X,MATCH(1,"&amp;"(BAREMOS!A:A=A308)*(BAREMOS!B:B=B308)*(BAREMOS!C:C=C308)*(BAREMOS!D:D=D308),0),0)),1,
      IF(H308&gt;=MAX(INDEX(BAREMOS!F:X,MATCH(1,(BAREMOS!A:A=A308)*(BAREMOS!B:B=B308)*(BAREMOS!C:C=C308)*(BAREMOS!D:D=D308),0),0)),19,
         MATCH(H308,INDEX(BAREMOS!F:X"&amp;",MATCH(1,(BAREMOS!A:A=A308)*(BAREMOS!B:B=B308)*(BAREMOS!C:C=C308)*(BAREMOS!D:D=D308),0),0),1)
      )
   )
)
,""""))
"),"")</f>
        <v/>
      </c>
      <c r="K308" s="34" t="str">
        <f t="shared" si="1"/>
        <v/>
      </c>
      <c r="L308" s="16"/>
      <c r="M308" s="16"/>
      <c r="N308" s="16"/>
      <c r="O308" s="16"/>
      <c r="P308" s="16"/>
      <c r="Q308" s="16"/>
      <c r="R308" s="16"/>
      <c r="S308" s="16"/>
      <c r="T308" s="16"/>
      <c r="U308" s="16"/>
      <c r="V308" s="16"/>
      <c r="W308" s="16"/>
      <c r="X308" s="16"/>
      <c r="Y308" s="16"/>
      <c r="Z308" s="16"/>
      <c r="AA308" s="16"/>
      <c r="AB308" s="16"/>
      <c r="AC308" s="16"/>
    </row>
    <row r="309">
      <c r="A309" s="22" t="str">
        <f t="array" ref="A309">IF(E309="","",IFERROR(INDEX(CONFIGURACION!C:C,MATCH(E309,CONFIGURACION!E:E,0)),""))
</f>
        <v/>
      </c>
      <c r="B309" s="22" t="str">
        <f t="array" ref="B309">IF(E309="","",IFERROR(INDEX(CONFIGURACION!D:D,MATCH(E309,CONFIGURACION!E:E,0)),""))
</f>
        <v/>
      </c>
      <c r="C309" s="31"/>
      <c r="D309" s="9"/>
      <c r="E309" s="6"/>
      <c r="F309" s="24"/>
      <c r="G309" s="9"/>
      <c r="H309" s="32"/>
      <c r="I309" s="33" t="str">
        <f>IFERROR(__xludf.DUMMYFUNCTION("IF(F309="""","""",LET(
  nombre, TRIM(F309),
  primer, REGEXEXTRACT(nombre, ""^\S+""),
  resto, TRIM(REGEXREPLACE(nombre, ""^\S+\s*"", """")),
  iniciales, IF(
    resto="""",
    """",
    TEXTJOIN("""",1,ARRAYFORMULA(LEFT(SPLIT(resto,"" ""),1) &amp; "".""))"&amp;"
  ),
  UPPER(primer) &amp; "" "" &amp; UPPER(iniciales)
))"),"")</f>
        <v/>
      </c>
      <c r="J309" s="33" t="str">
        <f>IFERROR(__xludf.DUMMYFUNCTION("IF(H309="""","""",IFERROR(
IF(REGEXMATCH(E309,""VELOCIDAD""),
   IF(H309&gt;=MAX(INDEX(BAREMOS!F:X,MATCH(1,(BAREMOS!A:A=A309)*(BAREMOS!B:B=B309)*(BAREMOS!C:C=C309)*(BAREMOS!D:D=D309),0),0)),1,
      IF(H309&lt;=MIN(INDEX(BAREMOS!F:X,MATCH(1,(BAREMOS!A:A=A309)*("&amp;"BAREMOS!B:B=B309)*(BAREMOS!C:C=C309)*(BAREMOS!D:D=D309),0),0)),19,
         MATCH(H309,INDEX(BAREMOS!F:X,MATCH(1,(BAREMOS!A:A=A309)*(BAREMOS!B:B=B309)*(BAREMOS!C:C=C309)*(BAREMOS!D:D=D309),0),0),-1)
      )
   ),
   IF(H309&lt;=MIN(INDEX(BAREMOS!F:X,MATCH(1,"&amp;"(BAREMOS!A:A=A309)*(BAREMOS!B:B=B309)*(BAREMOS!C:C=C309)*(BAREMOS!D:D=D309),0),0)),1,
      IF(H309&gt;=MAX(INDEX(BAREMOS!F:X,MATCH(1,(BAREMOS!A:A=A309)*(BAREMOS!B:B=B309)*(BAREMOS!C:C=C309)*(BAREMOS!D:D=D309),0),0)),19,
         MATCH(H309,INDEX(BAREMOS!F:X"&amp;",MATCH(1,(BAREMOS!A:A=A309)*(BAREMOS!B:B=B309)*(BAREMOS!C:C=C309)*(BAREMOS!D:D=D309),0),0),1)
      )
   )
)
,""""))
"),"")</f>
        <v/>
      </c>
      <c r="K309" s="34" t="str">
        <f t="shared" si="1"/>
        <v/>
      </c>
      <c r="L309" s="16"/>
      <c r="M309" s="16"/>
      <c r="N309" s="16"/>
      <c r="O309" s="16"/>
      <c r="P309" s="16"/>
      <c r="Q309" s="16"/>
      <c r="R309" s="16"/>
      <c r="S309" s="16"/>
      <c r="T309" s="16"/>
      <c r="U309" s="16"/>
      <c r="V309" s="16"/>
      <c r="W309" s="16"/>
      <c r="X309" s="16"/>
      <c r="Y309" s="16"/>
      <c r="Z309" s="16"/>
      <c r="AA309" s="16"/>
      <c r="AB309" s="16"/>
      <c r="AC309" s="16"/>
    </row>
    <row r="310">
      <c r="A310" s="22" t="str">
        <f t="array" ref="A310">IF(E310="","",IFERROR(INDEX(CONFIGURACION!C:C,MATCH(E310,CONFIGURACION!E:E,0)),""))
</f>
        <v/>
      </c>
      <c r="B310" s="22" t="str">
        <f t="array" ref="B310">IF(E310="","",IFERROR(INDEX(CONFIGURACION!D:D,MATCH(E310,CONFIGURACION!E:E,0)),""))
</f>
        <v/>
      </c>
      <c r="C310" s="31"/>
      <c r="D310" s="9"/>
      <c r="E310" s="6"/>
      <c r="F310" s="24"/>
      <c r="G310" s="9"/>
      <c r="H310" s="32"/>
      <c r="I310" s="33" t="str">
        <f>IFERROR(__xludf.DUMMYFUNCTION("IF(F310="""","""",LET(
  nombre, TRIM(F310),
  primer, REGEXEXTRACT(nombre, ""^\S+""),
  resto, TRIM(REGEXREPLACE(nombre, ""^\S+\s*"", """")),
  iniciales, IF(
    resto="""",
    """",
    TEXTJOIN("""",1,ARRAYFORMULA(LEFT(SPLIT(resto,"" ""),1) &amp; "".""))"&amp;"
  ),
  UPPER(primer) &amp; "" "" &amp; UPPER(iniciales)
))"),"")</f>
        <v/>
      </c>
      <c r="J310" s="33" t="str">
        <f>IFERROR(__xludf.DUMMYFUNCTION("IF(H310="""","""",IFERROR(
IF(REGEXMATCH(E310,""VELOCIDAD""),
   IF(H310&gt;=MAX(INDEX(BAREMOS!F:X,MATCH(1,(BAREMOS!A:A=A310)*(BAREMOS!B:B=B310)*(BAREMOS!C:C=C310)*(BAREMOS!D:D=D310),0),0)),1,
      IF(H310&lt;=MIN(INDEX(BAREMOS!F:X,MATCH(1,(BAREMOS!A:A=A310)*("&amp;"BAREMOS!B:B=B310)*(BAREMOS!C:C=C310)*(BAREMOS!D:D=D310),0),0)),19,
         MATCH(H310,INDEX(BAREMOS!F:X,MATCH(1,(BAREMOS!A:A=A310)*(BAREMOS!B:B=B310)*(BAREMOS!C:C=C310)*(BAREMOS!D:D=D310),0),0),-1)
      )
   ),
   IF(H310&lt;=MIN(INDEX(BAREMOS!F:X,MATCH(1,"&amp;"(BAREMOS!A:A=A310)*(BAREMOS!B:B=B310)*(BAREMOS!C:C=C310)*(BAREMOS!D:D=D310),0),0)),1,
      IF(H310&gt;=MAX(INDEX(BAREMOS!F:X,MATCH(1,(BAREMOS!A:A=A310)*(BAREMOS!B:B=B310)*(BAREMOS!C:C=C310)*(BAREMOS!D:D=D310),0),0)),19,
         MATCH(H310,INDEX(BAREMOS!F:X"&amp;",MATCH(1,(BAREMOS!A:A=A310)*(BAREMOS!B:B=B310)*(BAREMOS!C:C=C310)*(BAREMOS!D:D=D310),0),0),1)
      )
   )
)
,""""))
"),"")</f>
        <v/>
      </c>
      <c r="K310" s="34" t="str">
        <f t="shared" si="1"/>
        <v/>
      </c>
      <c r="L310" s="16"/>
      <c r="M310" s="16"/>
      <c r="N310" s="16"/>
      <c r="O310" s="16"/>
      <c r="P310" s="16"/>
      <c r="Q310" s="16"/>
      <c r="R310" s="16"/>
      <c r="S310" s="16"/>
      <c r="T310" s="16"/>
      <c r="U310" s="16"/>
      <c r="V310" s="16"/>
      <c r="W310" s="16"/>
      <c r="X310" s="16"/>
      <c r="Y310" s="16"/>
      <c r="Z310" s="16"/>
      <c r="AA310" s="16"/>
      <c r="AB310" s="16"/>
      <c r="AC310" s="16"/>
    </row>
    <row r="311">
      <c r="A311" s="22" t="str">
        <f t="array" ref="A311">IF(E311="","",IFERROR(INDEX(CONFIGURACION!C:C,MATCH(E311,CONFIGURACION!E:E,0)),""))
</f>
        <v/>
      </c>
      <c r="B311" s="22" t="str">
        <f t="array" ref="B311">IF(E311="","",IFERROR(INDEX(CONFIGURACION!D:D,MATCH(E311,CONFIGURACION!E:E,0)),""))
</f>
        <v/>
      </c>
      <c r="C311" s="31"/>
      <c r="D311" s="9"/>
      <c r="E311" s="6"/>
      <c r="F311" s="24"/>
      <c r="G311" s="9"/>
      <c r="H311" s="32"/>
      <c r="I311" s="33" t="str">
        <f>IFERROR(__xludf.DUMMYFUNCTION("IF(F311="""","""",LET(
  nombre, TRIM(F311),
  primer, REGEXEXTRACT(nombre, ""^\S+""),
  resto, TRIM(REGEXREPLACE(nombre, ""^\S+\s*"", """")),
  iniciales, IF(
    resto="""",
    """",
    TEXTJOIN("""",1,ARRAYFORMULA(LEFT(SPLIT(resto,"" ""),1) &amp; "".""))"&amp;"
  ),
  UPPER(primer) &amp; "" "" &amp; UPPER(iniciales)
))"),"")</f>
        <v/>
      </c>
      <c r="J311" s="33" t="str">
        <f>IFERROR(__xludf.DUMMYFUNCTION("IF(H311="""","""",IFERROR(
IF(REGEXMATCH(E311,""VELOCIDAD""),
   IF(H311&gt;=MAX(INDEX(BAREMOS!F:X,MATCH(1,(BAREMOS!A:A=A311)*(BAREMOS!B:B=B311)*(BAREMOS!C:C=C311)*(BAREMOS!D:D=D311),0),0)),1,
      IF(H311&lt;=MIN(INDEX(BAREMOS!F:X,MATCH(1,(BAREMOS!A:A=A311)*("&amp;"BAREMOS!B:B=B311)*(BAREMOS!C:C=C311)*(BAREMOS!D:D=D311),0),0)),19,
         MATCH(H311,INDEX(BAREMOS!F:X,MATCH(1,(BAREMOS!A:A=A311)*(BAREMOS!B:B=B311)*(BAREMOS!C:C=C311)*(BAREMOS!D:D=D311),0),0),-1)
      )
   ),
   IF(H311&lt;=MIN(INDEX(BAREMOS!F:X,MATCH(1,"&amp;"(BAREMOS!A:A=A311)*(BAREMOS!B:B=B311)*(BAREMOS!C:C=C311)*(BAREMOS!D:D=D311),0),0)),1,
      IF(H311&gt;=MAX(INDEX(BAREMOS!F:X,MATCH(1,(BAREMOS!A:A=A311)*(BAREMOS!B:B=B311)*(BAREMOS!C:C=C311)*(BAREMOS!D:D=D311),0),0)),19,
         MATCH(H311,INDEX(BAREMOS!F:X"&amp;",MATCH(1,(BAREMOS!A:A=A311)*(BAREMOS!B:B=B311)*(BAREMOS!C:C=C311)*(BAREMOS!D:D=D311),0),0),1)
      )
   )
)
,""""))
"),"")</f>
        <v/>
      </c>
      <c r="K311" s="34" t="str">
        <f t="shared" si="1"/>
        <v/>
      </c>
      <c r="L311" s="16"/>
      <c r="M311" s="16"/>
      <c r="N311" s="16"/>
      <c r="O311" s="16"/>
      <c r="P311" s="16"/>
      <c r="Q311" s="16"/>
      <c r="R311" s="16"/>
      <c r="S311" s="16"/>
      <c r="T311" s="16"/>
      <c r="U311" s="16"/>
      <c r="V311" s="16"/>
      <c r="W311" s="16"/>
      <c r="X311" s="16"/>
      <c r="Y311" s="16"/>
      <c r="Z311" s="16"/>
      <c r="AA311" s="16"/>
      <c r="AB311" s="16"/>
      <c r="AC311" s="16"/>
    </row>
    <row r="312">
      <c r="A312" s="22" t="str">
        <f t="array" ref="A312">IF(E312="","",IFERROR(INDEX(CONFIGURACION!C:C,MATCH(E312,CONFIGURACION!E:E,0)),""))
</f>
        <v/>
      </c>
      <c r="B312" s="22" t="str">
        <f t="array" ref="B312">IF(E312="","",IFERROR(INDEX(CONFIGURACION!D:D,MATCH(E312,CONFIGURACION!E:E,0)),""))
</f>
        <v/>
      </c>
      <c r="C312" s="31"/>
      <c r="D312" s="9"/>
      <c r="E312" s="6"/>
      <c r="F312" s="24"/>
      <c r="G312" s="9"/>
      <c r="H312" s="32"/>
      <c r="I312" s="33" t="str">
        <f>IFERROR(__xludf.DUMMYFUNCTION("IF(F312="""","""",LET(
  nombre, TRIM(F312),
  primer, REGEXEXTRACT(nombre, ""^\S+""),
  resto, TRIM(REGEXREPLACE(nombre, ""^\S+\s*"", """")),
  iniciales, IF(
    resto="""",
    """",
    TEXTJOIN("""",1,ARRAYFORMULA(LEFT(SPLIT(resto,"" ""),1) &amp; "".""))"&amp;"
  ),
  UPPER(primer) &amp; "" "" &amp; UPPER(iniciales)
))"),"")</f>
        <v/>
      </c>
      <c r="J312" s="33" t="str">
        <f>IFERROR(__xludf.DUMMYFUNCTION("IF(H312="""","""",IFERROR(
IF(REGEXMATCH(E312,""VELOCIDAD""),
   IF(H312&gt;=MAX(INDEX(BAREMOS!F:X,MATCH(1,(BAREMOS!A:A=A312)*(BAREMOS!B:B=B312)*(BAREMOS!C:C=C312)*(BAREMOS!D:D=D312),0),0)),1,
      IF(H312&lt;=MIN(INDEX(BAREMOS!F:X,MATCH(1,(BAREMOS!A:A=A312)*("&amp;"BAREMOS!B:B=B312)*(BAREMOS!C:C=C312)*(BAREMOS!D:D=D312),0),0)),19,
         MATCH(H312,INDEX(BAREMOS!F:X,MATCH(1,(BAREMOS!A:A=A312)*(BAREMOS!B:B=B312)*(BAREMOS!C:C=C312)*(BAREMOS!D:D=D312),0),0),-1)
      )
   ),
   IF(H312&lt;=MIN(INDEX(BAREMOS!F:X,MATCH(1,"&amp;"(BAREMOS!A:A=A312)*(BAREMOS!B:B=B312)*(BAREMOS!C:C=C312)*(BAREMOS!D:D=D312),0),0)),1,
      IF(H312&gt;=MAX(INDEX(BAREMOS!F:X,MATCH(1,(BAREMOS!A:A=A312)*(BAREMOS!B:B=B312)*(BAREMOS!C:C=C312)*(BAREMOS!D:D=D312),0),0)),19,
         MATCH(H312,INDEX(BAREMOS!F:X"&amp;",MATCH(1,(BAREMOS!A:A=A312)*(BAREMOS!B:B=B312)*(BAREMOS!C:C=C312)*(BAREMOS!D:D=D312),0),0),1)
      )
   )
)
,""""))
"),"")</f>
        <v/>
      </c>
      <c r="K312" s="34" t="str">
        <f t="shared" si="1"/>
        <v/>
      </c>
      <c r="L312" s="16"/>
      <c r="M312" s="16"/>
      <c r="N312" s="16"/>
      <c r="O312" s="16"/>
      <c r="P312" s="16"/>
      <c r="Q312" s="16"/>
      <c r="R312" s="16"/>
      <c r="S312" s="16"/>
      <c r="T312" s="16"/>
      <c r="U312" s="16"/>
      <c r="V312" s="16"/>
      <c r="W312" s="16"/>
      <c r="X312" s="16"/>
      <c r="Y312" s="16"/>
      <c r="Z312" s="16"/>
      <c r="AA312" s="16"/>
      <c r="AB312" s="16"/>
      <c r="AC312" s="16"/>
    </row>
    <row r="313">
      <c r="A313" s="22" t="str">
        <f t="array" ref="A313">IF(E313="","",IFERROR(INDEX(CONFIGURACION!C:C,MATCH(E313,CONFIGURACION!E:E,0)),""))
</f>
        <v/>
      </c>
      <c r="B313" s="22" t="str">
        <f t="array" ref="B313">IF(E313="","",IFERROR(INDEX(CONFIGURACION!D:D,MATCH(E313,CONFIGURACION!E:E,0)),""))
</f>
        <v/>
      </c>
      <c r="C313" s="31"/>
      <c r="D313" s="9"/>
      <c r="E313" s="6"/>
      <c r="F313" s="24"/>
      <c r="G313" s="9"/>
      <c r="H313" s="32"/>
      <c r="I313" s="33" t="str">
        <f>IFERROR(__xludf.DUMMYFUNCTION("IF(F313="""","""",LET(
  nombre, TRIM(F313),
  primer, REGEXEXTRACT(nombre, ""^\S+""),
  resto, TRIM(REGEXREPLACE(nombre, ""^\S+\s*"", """")),
  iniciales, IF(
    resto="""",
    """",
    TEXTJOIN("""",1,ARRAYFORMULA(LEFT(SPLIT(resto,"" ""),1) &amp; "".""))"&amp;"
  ),
  UPPER(primer) &amp; "" "" &amp; UPPER(iniciales)
))"),"")</f>
        <v/>
      </c>
      <c r="J313" s="33" t="str">
        <f>IFERROR(__xludf.DUMMYFUNCTION("IF(H313="""","""",IFERROR(
IF(REGEXMATCH(E313,""VELOCIDAD""),
   IF(H313&gt;=MAX(INDEX(BAREMOS!F:X,MATCH(1,(BAREMOS!A:A=A313)*(BAREMOS!B:B=B313)*(BAREMOS!C:C=C313)*(BAREMOS!D:D=D313),0),0)),1,
      IF(H313&lt;=MIN(INDEX(BAREMOS!F:X,MATCH(1,(BAREMOS!A:A=A313)*("&amp;"BAREMOS!B:B=B313)*(BAREMOS!C:C=C313)*(BAREMOS!D:D=D313),0),0)),19,
         MATCH(H313,INDEX(BAREMOS!F:X,MATCH(1,(BAREMOS!A:A=A313)*(BAREMOS!B:B=B313)*(BAREMOS!C:C=C313)*(BAREMOS!D:D=D313),0),0),-1)
      )
   ),
   IF(H313&lt;=MIN(INDEX(BAREMOS!F:X,MATCH(1,"&amp;"(BAREMOS!A:A=A313)*(BAREMOS!B:B=B313)*(BAREMOS!C:C=C313)*(BAREMOS!D:D=D313),0),0)),1,
      IF(H313&gt;=MAX(INDEX(BAREMOS!F:X,MATCH(1,(BAREMOS!A:A=A313)*(BAREMOS!B:B=B313)*(BAREMOS!C:C=C313)*(BAREMOS!D:D=D313),0),0)),19,
         MATCH(H313,INDEX(BAREMOS!F:X"&amp;",MATCH(1,(BAREMOS!A:A=A313)*(BAREMOS!B:B=B313)*(BAREMOS!C:C=C313)*(BAREMOS!D:D=D313),0),0),1)
      )
   )
)
,""""))
"),"")</f>
        <v/>
      </c>
      <c r="K313" s="34" t="str">
        <f t="shared" si="1"/>
        <v/>
      </c>
      <c r="L313" s="16"/>
      <c r="M313" s="16"/>
      <c r="N313" s="16"/>
      <c r="O313" s="16"/>
      <c r="P313" s="16"/>
      <c r="Q313" s="16"/>
      <c r="R313" s="16"/>
      <c r="S313" s="16"/>
      <c r="T313" s="16"/>
      <c r="U313" s="16"/>
      <c r="V313" s="16"/>
      <c r="W313" s="16"/>
      <c r="X313" s="16"/>
      <c r="Y313" s="16"/>
      <c r="Z313" s="16"/>
      <c r="AA313" s="16"/>
      <c r="AB313" s="16"/>
      <c r="AC313" s="16"/>
    </row>
    <row r="314">
      <c r="A314" s="22" t="str">
        <f t="array" ref="A314">IF(E314="","",IFERROR(INDEX(CONFIGURACION!C:C,MATCH(E314,CONFIGURACION!E:E,0)),""))
</f>
        <v/>
      </c>
      <c r="B314" s="22" t="str">
        <f t="array" ref="B314">IF(E314="","",IFERROR(INDEX(CONFIGURACION!D:D,MATCH(E314,CONFIGURACION!E:E,0)),""))
</f>
        <v/>
      </c>
      <c r="C314" s="31"/>
      <c r="D314" s="9"/>
      <c r="E314" s="6"/>
      <c r="F314" s="24"/>
      <c r="G314" s="9"/>
      <c r="H314" s="32"/>
      <c r="I314" s="33" t="str">
        <f>IFERROR(__xludf.DUMMYFUNCTION("IF(F314="""","""",LET(
  nombre, TRIM(F314),
  primer, REGEXEXTRACT(nombre, ""^\S+""),
  resto, TRIM(REGEXREPLACE(nombre, ""^\S+\s*"", """")),
  iniciales, IF(
    resto="""",
    """",
    TEXTJOIN("""",1,ARRAYFORMULA(LEFT(SPLIT(resto,"" ""),1) &amp; "".""))"&amp;"
  ),
  UPPER(primer) &amp; "" "" &amp; UPPER(iniciales)
))"),"")</f>
        <v/>
      </c>
      <c r="J314" s="33" t="str">
        <f>IFERROR(__xludf.DUMMYFUNCTION("IF(H314="""","""",IFERROR(
IF(REGEXMATCH(E314,""VELOCIDAD""),
   IF(H314&gt;=MAX(INDEX(BAREMOS!F:X,MATCH(1,(BAREMOS!A:A=A314)*(BAREMOS!B:B=B314)*(BAREMOS!C:C=C314)*(BAREMOS!D:D=D314),0),0)),1,
      IF(H314&lt;=MIN(INDEX(BAREMOS!F:X,MATCH(1,(BAREMOS!A:A=A314)*("&amp;"BAREMOS!B:B=B314)*(BAREMOS!C:C=C314)*(BAREMOS!D:D=D314),0),0)),19,
         MATCH(H314,INDEX(BAREMOS!F:X,MATCH(1,(BAREMOS!A:A=A314)*(BAREMOS!B:B=B314)*(BAREMOS!C:C=C314)*(BAREMOS!D:D=D314),0),0),-1)
      )
   ),
   IF(H314&lt;=MIN(INDEX(BAREMOS!F:X,MATCH(1,"&amp;"(BAREMOS!A:A=A314)*(BAREMOS!B:B=B314)*(BAREMOS!C:C=C314)*(BAREMOS!D:D=D314),0),0)),1,
      IF(H314&gt;=MAX(INDEX(BAREMOS!F:X,MATCH(1,(BAREMOS!A:A=A314)*(BAREMOS!B:B=B314)*(BAREMOS!C:C=C314)*(BAREMOS!D:D=D314),0),0)),19,
         MATCH(H314,INDEX(BAREMOS!F:X"&amp;",MATCH(1,(BAREMOS!A:A=A314)*(BAREMOS!B:B=B314)*(BAREMOS!C:C=C314)*(BAREMOS!D:D=D314),0),0),1)
      )
   )
)
,""""))
"),"")</f>
        <v/>
      </c>
      <c r="K314" s="34" t="str">
        <f t="shared" si="1"/>
        <v/>
      </c>
      <c r="L314" s="16"/>
      <c r="M314" s="16"/>
      <c r="N314" s="16"/>
      <c r="O314" s="16"/>
      <c r="P314" s="16"/>
      <c r="Q314" s="16"/>
      <c r="R314" s="16"/>
      <c r="S314" s="16"/>
      <c r="T314" s="16"/>
      <c r="U314" s="16"/>
      <c r="V314" s="16"/>
      <c r="W314" s="16"/>
      <c r="X314" s="16"/>
      <c r="Y314" s="16"/>
      <c r="Z314" s="16"/>
      <c r="AA314" s="16"/>
      <c r="AB314" s="16"/>
      <c r="AC314" s="16"/>
    </row>
    <row r="315">
      <c r="A315" s="22" t="str">
        <f t="array" ref="A315">IF(E315="","",IFERROR(INDEX(CONFIGURACION!C:C,MATCH(E315,CONFIGURACION!E:E,0)),""))
</f>
        <v/>
      </c>
      <c r="B315" s="22" t="str">
        <f t="array" ref="B315">IF(E315="","",IFERROR(INDEX(CONFIGURACION!D:D,MATCH(E315,CONFIGURACION!E:E,0)),""))
</f>
        <v/>
      </c>
      <c r="C315" s="31"/>
      <c r="D315" s="9"/>
      <c r="E315" s="6"/>
      <c r="F315" s="24"/>
      <c r="G315" s="9"/>
      <c r="H315" s="32"/>
      <c r="I315" s="33" t="str">
        <f>IFERROR(__xludf.DUMMYFUNCTION("IF(F315="""","""",LET(
  nombre, TRIM(F315),
  primer, REGEXEXTRACT(nombre, ""^\S+""),
  resto, TRIM(REGEXREPLACE(nombre, ""^\S+\s*"", """")),
  iniciales, IF(
    resto="""",
    """",
    TEXTJOIN("""",1,ARRAYFORMULA(LEFT(SPLIT(resto,"" ""),1) &amp; "".""))"&amp;"
  ),
  UPPER(primer) &amp; "" "" &amp; UPPER(iniciales)
))"),"")</f>
        <v/>
      </c>
      <c r="J315" s="33" t="str">
        <f>IFERROR(__xludf.DUMMYFUNCTION("IF(H315="""","""",IFERROR(
IF(REGEXMATCH(E315,""VELOCIDAD""),
   IF(H315&gt;=MAX(INDEX(BAREMOS!F:X,MATCH(1,(BAREMOS!A:A=A315)*(BAREMOS!B:B=B315)*(BAREMOS!C:C=C315)*(BAREMOS!D:D=D315),0),0)),1,
      IF(H315&lt;=MIN(INDEX(BAREMOS!F:X,MATCH(1,(BAREMOS!A:A=A315)*("&amp;"BAREMOS!B:B=B315)*(BAREMOS!C:C=C315)*(BAREMOS!D:D=D315),0),0)),19,
         MATCH(H315,INDEX(BAREMOS!F:X,MATCH(1,(BAREMOS!A:A=A315)*(BAREMOS!B:B=B315)*(BAREMOS!C:C=C315)*(BAREMOS!D:D=D315),0),0),-1)
      )
   ),
   IF(H315&lt;=MIN(INDEX(BAREMOS!F:X,MATCH(1,"&amp;"(BAREMOS!A:A=A315)*(BAREMOS!B:B=B315)*(BAREMOS!C:C=C315)*(BAREMOS!D:D=D315),0),0)),1,
      IF(H315&gt;=MAX(INDEX(BAREMOS!F:X,MATCH(1,(BAREMOS!A:A=A315)*(BAREMOS!B:B=B315)*(BAREMOS!C:C=C315)*(BAREMOS!D:D=D315),0),0)),19,
         MATCH(H315,INDEX(BAREMOS!F:X"&amp;",MATCH(1,(BAREMOS!A:A=A315)*(BAREMOS!B:B=B315)*(BAREMOS!C:C=C315)*(BAREMOS!D:D=D315),0),0),1)
      )
   )
)
,""""))
"),"")</f>
        <v/>
      </c>
      <c r="K315" s="34" t="str">
        <f t="shared" si="1"/>
        <v/>
      </c>
      <c r="L315" s="16"/>
      <c r="M315" s="16"/>
      <c r="N315" s="16"/>
      <c r="O315" s="16"/>
      <c r="P315" s="16"/>
      <c r="Q315" s="16"/>
      <c r="R315" s="16"/>
      <c r="S315" s="16"/>
      <c r="T315" s="16"/>
      <c r="U315" s="16"/>
      <c r="V315" s="16"/>
      <c r="W315" s="16"/>
      <c r="X315" s="16"/>
      <c r="Y315" s="16"/>
      <c r="Z315" s="16"/>
      <c r="AA315" s="16"/>
      <c r="AB315" s="16"/>
      <c r="AC315" s="16"/>
    </row>
    <row r="316">
      <c r="A316" s="22" t="str">
        <f t="array" ref="A316">IF(E316="","",IFERROR(INDEX(CONFIGURACION!C:C,MATCH(E316,CONFIGURACION!E:E,0)),""))
</f>
        <v/>
      </c>
      <c r="B316" s="22" t="str">
        <f t="array" ref="B316">IF(E316="","",IFERROR(INDEX(CONFIGURACION!D:D,MATCH(E316,CONFIGURACION!E:E,0)),""))
</f>
        <v/>
      </c>
      <c r="C316" s="31"/>
      <c r="D316" s="9"/>
      <c r="E316" s="6"/>
      <c r="F316" s="24"/>
      <c r="G316" s="9"/>
      <c r="H316" s="32"/>
      <c r="I316" s="33" t="str">
        <f>IFERROR(__xludf.DUMMYFUNCTION("IF(F316="""","""",LET(
  nombre, TRIM(F316),
  primer, REGEXEXTRACT(nombre, ""^\S+""),
  resto, TRIM(REGEXREPLACE(nombre, ""^\S+\s*"", """")),
  iniciales, IF(
    resto="""",
    """",
    TEXTJOIN("""",1,ARRAYFORMULA(LEFT(SPLIT(resto,"" ""),1) &amp; "".""))"&amp;"
  ),
  UPPER(primer) &amp; "" "" &amp; UPPER(iniciales)
))"),"")</f>
        <v/>
      </c>
      <c r="J316" s="33" t="str">
        <f>IFERROR(__xludf.DUMMYFUNCTION("IF(H316="""","""",IFERROR(
IF(REGEXMATCH(E316,""VELOCIDAD""),
   IF(H316&gt;=MAX(INDEX(BAREMOS!F:X,MATCH(1,(BAREMOS!A:A=A316)*(BAREMOS!B:B=B316)*(BAREMOS!C:C=C316)*(BAREMOS!D:D=D316),0),0)),1,
      IF(H316&lt;=MIN(INDEX(BAREMOS!F:X,MATCH(1,(BAREMOS!A:A=A316)*("&amp;"BAREMOS!B:B=B316)*(BAREMOS!C:C=C316)*(BAREMOS!D:D=D316),0),0)),19,
         MATCH(H316,INDEX(BAREMOS!F:X,MATCH(1,(BAREMOS!A:A=A316)*(BAREMOS!B:B=B316)*(BAREMOS!C:C=C316)*(BAREMOS!D:D=D316),0),0),-1)
      )
   ),
   IF(H316&lt;=MIN(INDEX(BAREMOS!F:X,MATCH(1,"&amp;"(BAREMOS!A:A=A316)*(BAREMOS!B:B=B316)*(BAREMOS!C:C=C316)*(BAREMOS!D:D=D316),0),0)),1,
      IF(H316&gt;=MAX(INDEX(BAREMOS!F:X,MATCH(1,(BAREMOS!A:A=A316)*(BAREMOS!B:B=B316)*(BAREMOS!C:C=C316)*(BAREMOS!D:D=D316),0),0)),19,
         MATCH(H316,INDEX(BAREMOS!F:X"&amp;",MATCH(1,(BAREMOS!A:A=A316)*(BAREMOS!B:B=B316)*(BAREMOS!C:C=C316)*(BAREMOS!D:D=D316),0),0),1)
      )
   )
)
,""""))
"),"")</f>
        <v/>
      </c>
      <c r="K316" s="34" t="str">
        <f t="shared" si="1"/>
        <v/>
      </c>
      <c r="L316" s="16"/>
      <c r="M316" s="16"/>
      <c r="N316" s="16"/>
      <c r="O316" s="16"/>
      <c r="P316" s="16"/>
      <c r="Q316" s="16"/>
      <c r="R316" s="16"/>
      <c r="S316" s="16"/>
      <c r="T316" s="16"/>
      <c r="U316" s="16"/>
      <c r="V316" s="16"/>
      <c r="W316" s="16"/>
      <c r="X316" s="16"/>
      <c r="Y316" s="16"/>
      <c r="Z316" s="16"/>
      <c r="AA316" s="16"/>
      <c r="AB316" s="16"/>
      <c r="AC316" s="16"/>
    </row>
    <row r="317">
      <c r="A317" s="22" t="str">
        <f t="array" ref="A317">IF(E317="","",IFERROR(INDEX(CONFIGURACION!C:C,MATCH(E317,CONFIGURACION!E:E,0)),""))
</f>
        <v/>
      </c>
      <c r="B317" s="22" t="str">
        <f t="array" ref="B317">IF(E317="","",IFERROR(INDEX(CONFIGURACION!D:D,MATCH(E317,CONFIGURACION!E:E,0)),""))
</f>
        <v/>
      </c>
      <c r="C317" s="31"/>
      <c r="D317" s="9"/>
      <c r="E317" s="6"/>
      <c r="F317" s="24"/>
      <c r="G317" s="9"/>
      <c r="H317" s="32"/>
      <c r="I317" s="33" t="str">
        <f>IFERROR(__xludf.DUMMYFUNCTION("IF(F317="""","""",LET(
  nombre, TRIM(F317),
  primer, REGEXEXTRACT(nombre, ""^\S+""),
  resto, TRIM(REGEXREPLACE(nombre, ""^\S+\s*"", """")),
  iniciales, IF(
    resto="""",
    """",
    TEXTJOIN("""",1,ARRAYFORMULA(LEFT(SPLIT(resto,"" ""),1) &amp; "".""))"&amp;"
  ),
  UPPER(primer) &amp; "" "" &amp; UPPER(iniciales)
))"),"")</f>
        <v/>
      </c>
      <c r="J317" s="33" t="str">
        <f>IFERROR(__xludf.DUMMYFUNCTION("IF(H317="""","""",IFERROR(
IF(REGEXMATCH(E317,""VELOCIDAD""),
   IF(H317&gt;=MAX(INDEX(BAREMOS!F:X,MATCH(1,(BAREMOS!A:A=A317)*(BAREMOS!B:B=B317)*(BAREMOS!C:C=C317)*(BAREMOS!D:D=D317),0),0)),1,
      IF(H317&lt;=MIN(INDEX(BAREMOS!F:X,MATCH(1,(BAREMOS!A:A=A317)*("&amp;"BAREMOS!B:B=B317)*(BAREMOS!C:C=C317)*(BAREMOS!D:D=D317),0),0)),19,
         MATCH(H317,INDEX(BAREMOS!F:X,MATCH(1,(BAREMOS!A:A=A317)*(BAREMOS!B:B=B317)*(BAREMOS!C:C=C317)*(BAREMOS!D:D=D317),0),0),-1)
      )
   ),
   IF(H317&lt;=MIN(INDEX(BAREMOS!F:X,MATCH(1,"&amp;"(BAREMOS!A:A=A317)*(BAREMOS!B:B=B317)*(BAREMOS!C:C=C317)*(BAREMOS!D:D=D317),0),0)),1,
      IF(H317&gt;=MAX(INDEX(BAREMOS!F:X,MATCH(1,(BAREMOS!A:A=A317)*(BAREMOS!B:B=B317)*(BAREMOS!C:C=C317)*(BAREMOS!D:D=D317),0),0)),19,
         MATCH(H317,INDEX(BAREMOS!F:X"&amp;",MATCH(1,(BAREMOS!A:A=A317)*(BAREMOS!B:B=B317)*(BAREMOS!C:C=C317)*(BAREMOS!D:D=D317),0),0),1)
      )
   )
)
,""""))
"),"")</f>
        <v/>
      </c>
      <c r="K317" s="34" t="str">
        <f t="shared" si="1"/>
        <v/>
      </c>
      <c r="L317" s="16"/>
      <c r="M317" s="16"/>
      <c r="N317" s="16"/>
      <c r="O317" s="16"/>
      <c r="P317" s="16"/>
      <c r="Q317" s="16"/>
      <c r="R317" s="16"/>
      <c r="S317" s="16"/>
      <c r="T317" s="16"/>
      <c r="U317" s="16"/>
      <c r="V317" s="16"/>
      <c r="W317" s="16"/>
      <c r="X317" s="16"/>
      <c r="Y317" s="16"/>
      <c r="Z317" s="16"/>
      <c r="AA317" s="16"/>
      <c r="AB317" s="16"/>
      <c r="AC317" s="16"/>
    </row>
    <row r="318">
      <c r="A318" s="22" t="str">
        <f t="array" ref="A318">IF(E318="","",IFERROR(INDEX(CONFIGURACION!C:C,MATCH(E318,CONFIGURACION!E:E,0)),""))
</f>
        <v/>
      </c>
      <c r="B318" s="22" t="str">
        <f t="array" ref="B318">IF(E318="","",IFERROR(INDEX(CONFIGURACION!D:D,MATCH(E318,CONFIGURACION!E:E,0)),""))
</f>
        <v/>
      </c>
      <c r="C318" s="31"/>
      <c r="D318" s="9"/>
      <c r="E318" s="6"/>
      <c r="F318" s="24"/>
      <c r="G318" s="9"/>
      <c r="H318" s="32"/>
      <c r="I318" s="33" t="str">
        <f>IFERROR(__xludf.DUMMYFUNCTION("IF(F318="""","""",LET(
  nombre, TRIM(F318),
  primer, REGEXEXTRACT(nombre, ""^\S+""),
  resto, TRIM(REGEXREPLACE(nombre, ""^\S+\s*"", """")),
  iniciales, IF(
    resto="""",
    """",
    TEXTJOIN("""",1,ARRAYFORMULA(LEFT(SPLIT(resto,"" ""),1) &amp; "".""))"&amp;"
  ),
  UPPER(primer) &amp; "" "" &amp; UPPER(iniciales)
))"),"")</f>
        <v/>
      </c>
      <c r="J318" s="33" t="str">
        <f>IFERROR(__xludf.DUMMYFUNCTION("IF(H318="""","""",IFERROR(
IF(REGEXMATCH(E318,""VELOCIDAD""),
   IF(H318&gt;=MAX(INDEX(BAREMOS!F:X,MATCH(1,(BAREMOS!A:A=A318)*(BAREMOS!B:B=B318)*(BAREMOS!C:C=C318)*(BAREMOS!D:D=D318),0),0)),1,
      IF(H318&lt;=MIN(INDEX(BAREMOS!F:X,MATCH(1,(BAREMOS!A:A=A318)*("&amp;"BAREMOS!B:B=B318)*(BAREMOS!C:C=C318)*(BAREMOS!D:D=D318),0),0)),19,
         MATCH(H318,INDEX(BAREMOS!F:X,MATCH(1,(BAREMOS!A:A=A318)*(BAREMOS!B:B=B318)*(BAREMOS!C:C=C318)*(BAREMOS!D:D=D318),0),0),-1)
      )
   ),
   IF(H318&lt;=MIN(INDEX(BAREMOS!F:X,MATCH(1,"&amp;"(BAREMOS!A:A=A318)*(BAREMOS!B:B=B318)*(BAREMOS!C:C=C318)*(BAREMOS!D:D=D318),0),0)),1,
      IF(H318&gt;=MAX(INDEX(BAREMOS!F:X,MATCH(1,(BAREMOS!A:A=A318)*(BAREMOS!B:B=B318)*(BAREMOS!C:C=C318)*(BAREMOS!D:D=D318),0),0)),19,
         MATCH(H318,INDEX(BAREMOS!F:X"&amp;",MATCH(1,(BAREMOS!A:A=A318)*(BAREMOS!B:B=B318)*(BAREMOS!C:C=C318)*(BAREMOS!D:D=D318),0),0),1)
      )
   )
)
,""""))
"),"")</f>
        <v/>
      </c>
      <c r="K318" s="34" t="str">
        <f t="shared" si="1"/>
        <v/>
      </c>
      <c r="L318" s="16"/>
      <c r="M318" s="16"/>
      <c r="N318" s="16"/>
      <c r="O318" s="16"/>
      <c r="P318" s="16"/>
      <c r="Q318" s="16"/>
      <c r="R318" s="16"/>
      <c r="S318" s="16"/>
      <c r="T318" s="16"/>
      <c r="U318" s="16"/>
      <c r="V318" s="16"/>
      <c r="W318" s="16"/>
      <c r="X318" s="16"/>
      <c r="Y318" s="16"/>
      <c r="Z318" s="16"/>
      <c r="AA318" s="16"/>
      <c r="AB318" s="16"/>
      <c r="AC318" s="16"/>
    </row>
    <row r="319">
      <c r="A319" s="22" t="str">
        <f t="array" ref="A319">IF(E319="","",IFERROR(INDEX(CONFIGURACION!C:C,MATCH(E319,CONFIGURACION!E:E,0)),""))
</f>
        <v/>
      </c>
      <c r="B319" s="22" t="str">
        <f t="array" ref="B319">IF(E319="","",IFERROR(INDEX(CONFIGURACION!D:D,MATCH(E319,CONFIGURACION!E:E,0)),""))
</f>
        <v/>
      </c>
      <c r="C319" s="31"/>
      <c r="D319" s="9"/>
      <c r="E319" s="6"/>
      <c r="F319" s="24"/>
      <c r="G319" s="9"/>
      <c r="H319" s="32"/>
      <c r="I319" s="33" t="str">
        <f>IFERROR(__xludf.DUMMYFUNCTION("IF(F319="""","""",LET(
  nombre, TRIM(F319),
  primer, REGEXEXTRACT(nombre, ""^\S+""),
  resto, TRIM(REGEXREPLACE(nombre, ""^\S+\s*"", """")),
  iniciales, IF(
    resto="""",
    """",
    TEXTJOIN("""",1,ARRAYFORMULA(LEFT(SPLIT(resto,"" ""),1) &amp; "".""))"&amp;"
  ),
  UPPER(primer) &amp; "" "" &amp; UPPER(iniciales)
))"),"")</f>
        <v/>
      </c>
      <c r="J319" s="33" t="str">
        <f>IFERROR(__xludf.DUMMYFUNCTION("IF(H319="""","""",IFERROR(
IF(REGEXMATCH(E319,""VELOCIDAD""),
   IF(H319&gt;=MAX(INDEX(BAREMOS!F:X,MATCH(1,(BAREMOS!A:A=A319)*(BAREMOS!B:B=B319)*(BAREMOS!C:C=C319)*(BAREMOS!D:D=D319),0),0)),1,
      IF(H319&lt;=MIN(INDEX(BAREMOS!F:X,MATCH(1,(BAREMOS!A:A=A319)*("&amp;"BAREMOS!B:B=B319)*(BAREMOS!C:C=C319)*(BAREMOS!D:D=D319),0),0)),19,
         MATCH(H319,INDEX(BAREMOS!F:X,MATCH(1,(BAREMOS!A:A=A319)*(BAREMOS!B:B=B319)*(BAREMOS!C:C=C319)*(BAREMOS!D:D=D319),0),0),-1)
      )
   ),
   IF(H319&lt;=MIN(INDEX(BAREMOS!F:X,MATCH(1,"&amp;"(BAREMOS!A:A=A319)*(BAREMOS!B:B=B319)*(BAREMOS!C:C=C319)*(BAREMOS!D:D=D319),0),0)),1,
      IF(H319&gt;=MAX(INDEX(BAREMOS!F:X,MATCH(1,(BAREMOS!A:A=A319)*(BAREMOS!B:B=B319)*(BAREMOS!C:C=C319)*(BAREMOS!D:D=D319),0),0)),19,
         MATCH(H319,INDEX(BAREMOS!F:X"&amp;",MATCH(1,(BAREMOS!A:A=A319)*(BAREMOS!B:B=B319)*(BAREMOS!C:C=C319)*(BAREMOS!D:D=D319),0),0),1)
      )
   )
)
,""""))
"),"")</f>
        <v/>
      </c>
      <c r="K319" s="34" t="str">
        <f t="shared" si="1"/>
        <v/>
      </c>
      <c r="L319" s="16"/>
      <c r="M319" s="16"/>
      <c r="N319" s="16"/>
      <c r="O319" s="16"/>
      <c r="P319" s="16"/>
      <c r="Q319" s="16"/>
      <c r="R319" s="16"/>
      <c r="S319" s="16"/>
      <c r="T319" s="16"/>
      <c r="U319" s="16"/>
      <c r="V319" s="16"/>
      <c r="W319" s="16"/>
      <c r="X319" s="16"/>
      <c r="Y319" s="16"/>
      <c r="Z319" s="16"/>
      <c r="AA319" s="16"/>
      <c r="AB319" s="16"/>
      <c r="AC319" s="16"/>
    </row>
    <row r="320">
      <c r="A320" s="22" t="str">
        <f t="array" ref="A320">IF(E320="","",IFERROR(INDEX(CONFIGURACION!C:C,MATCH(E320,CONFIGURACION!E:E,0)),""))
</f>
        <v/>
      </c>
      <c r="B320" s="22" t="str">
        <f t="array" ref="B320">IF(E320="","",IFERROR(INDEX(CONFIGURACION!D:D,MATCH(E320,CONFIGURACION!E:E,0)),""))
</f>
        <v/>
      </c>
      <c r="C320" s="31"/>
      <c r="D320" s="9"/>
      <c r="E320" s="6"/>
      <c r="F320" s="24"/>
      <c r="G320" s="9"/>
      <c r="H320" s="32"/>
      <c r="I320" s="33" t="str">
        <f>IFERROR(__xludf.DUMMYFUNCTION("IF(F320="""","""",LET(
  nombre, TRIM(F320),
  primer, REGEXEXTRACT(nombre, ""^\S+""),
  resto, TRIM(REGEXREPLACE(nombre, ""^\S+\s*"", """")),
  iniciales, IF(
    resto="""",
    """",
    TEXTJOIN("""",1,ARRAYFORMULA(LEFT(SPLIT(resto,"" ""),1) &amp; "".""))"&amp;"
  ),
  UPPER(primer) &amp; "" "" &amp; UPPER(iniciales)
))"),"")</f>
        <v/>
      </c>
      <c r="J320" s="33" t="str">
        <f>IFERROR(__xludf.DUMMYFUNCTION("IF(H320="""","""",IFERROR(
IF(REGEXMATCH(E320,""VELOCIDAD""),
   IF(H320&gt;=MAX(INDEX(BAREMOS!F:X,MATCH(1,(BAREMOS!A:A=A320)*(BAREMOS!B:B=B320)*(BAREMOS!C:C=C320)*(BAREMOS!D:D=D320),0),0)),1,
      IF(H320&lt;=MIN(INDEX(BAREMOS!F:X,MATCH(1,(BAREMOS!A:A=A320)*("&amp;"BAREMOS!B:B=B320)*(BAREMOS!C:C=C320)*(BAREMOS!D:D=D320),0),0)),19,
         MATCH(H320,INDEX(BAREMOS!F:X,MATCH(1,(BAREMOS!A:A=A320)*(BAREMOS!B:B=B320)*(BAREMOS!C:C=C320)*(BAREMOS!D:D=D320),0),0),-1)
      )
   ),
   IF(H320&lt;=MIN(INDEX(BAREMOS!F:X,MATCH(1,"&amp;"(BAREMOS!A:A=A320)*(BAREMOS!B:B=B320)*(BAREMOS!C:C=C320)*(BAREMOS!D:D=D320),0),0)),1,
      IF(H320&gt;=MAX(INDEX(BAREMOS!F:X,MATCH(1,(BAREMOS!A:A=A320)*(BAREMOS!B:B=B320)*(BAREMOS!C:C=C320)*(BAREMOS!D:D=D320),0),0)),19,
         MATCH(H320,INDEX(BAREMOS!F:X"&amp;",MATCH(1,(BAREMOS!A:A=A320)*(BAREMOS!B:B=B320)*(BAREMOS!C:C=C320)*(BAREMOS!D:D=D320),0),0),1)
      )
   )
)
,""""))
"),"")</f>
        <v/>
      </c>
      <c r="K320" s="34" t="str">
        <f t="shared" si="1"/>
        <v/>
      </c>
      <c r="L320" s="16"/>
      <c r="M320" s="16"/>
      <c r="N320" s="16"/>
      <c r="O320" s="16"/>
      <c r="P320" s="16"/>
      <c r="Q320" s="16"/>
      <c r="R320" s="16"/>
      <c r="S320" s="16"/>
      <c r="T320" s="16"/>
      <c r="U320" s="16"/>
      <c r="V320" s="16"/>
      <c r="W320" s="16"/>
      <c r="X320" s="16"/>
      <c r="Y320" s="16"/>
      <c r="Z320" s="16"/>
      <c r="AA320" s="16"/>
      <c r="AB320" s="16"/>
      <c r="AC320" s="16"/>
    </row>
    <row r="321">
      <c r="A321" s="22" t="str">
        <f t="array" ref="A321">IF(E321="","",IFERROR(INDEX(CONFIGURACION!C:C,MATCH(E321,CONFIGURACION!E:E,0)),""))
</f>
        <v/>
      </c>
      <c r="B321" s="22" t="str">
        <f t="array" ref="B321">IF(E321="","",IFERROR(INDEX(CONFIGURACION!D:D,MATCH(E321,CONFIGURACION!E:E,0)),""))
</f>
        <v/>
      </c>
      <c r="C321" s="31"/>
      <c r="D321" s="9"/>
      <c r="E321" s="6"/>
      <c r="F321" s="24"/>
      <c r="G321" s="9"/>
      <c r="H321" s="32"/>
      <c r="I321" s="33" t="str">
        <f>IFERROR(__xludf.DUMMYFUNCTION("IF(F321="""","""",LET(
  nombre, TRIM(F321),
  primer, REGEXEXTRACT(nombre, ""^\S+""),
  resto, TRIM(REGEXREPLACE(nombre, ""^\S+\s*"", """")),
  iniciales, IF(
    resto="""",
    """",
    TEXTJOIN("""",1,ARRAYFORMULA(LEFT(SPLIT(resto,"" ""),1) &amp; "".""))"&amp;"
  ),
  UPPER(primer) &amp; "" "" &amp; UPPER(iniciales)
))"),"")</f>
        <v/>
      </c>
      <c r="J321" s="33" t="str">
        <f>IFERROR(__xludf.DUMMYFUNCTION("IF(H321="""","""",IFERROR(
IF(REGEXMATCH(E321,""VELOCIDAD""),
   IF(H321&gt;=MAX(INDEX(BAREMOS!F:X,MATCH(1,(BAREMOS!A:A=A321)*(BAREMOS!B:B=B321)*(BAREMOS!C:C=C321)*(BAREMOS!D:D=D321),0),0)),1,
      IF(H321&lt;=MIN(INDEX(BAREMOS!F:X,MATCH(1,(BAREMOS!A:A=A321)*("&amp;"BAREMOS!B:B=B321)*(BAREMOS!C:C=C321)*(BAREMOS!D:D=D321),0),0)),19,
         MATCH(H321,INDEX(BAREMOS!F:X,MATCH(1,(BAREMOS!A:A=A321)*(BAREMOS!B:B=B321)*(BAREMOS!C:C=C321)*(BAREMOS!D:D=D321),0),0),-1)
      )
   ),
   IF(H321&lt;=MIN(INDEX(BAREMOS!F:X,MATCH(1,"&amp;"(BAREMOS!A:A=A321)*(BAREMOS!B:B=B321)*(BAREMOS!C:C=C321)*(BAREMOS!D:D=D321),0),0)),1,
      IF(H321&gt;=MAX(INDEX(BAREMOS!F:X,MATCH(1,(BAREMOS!A:A=A321)*(BAREMOS!B:B=B321)*(BAREMOS!C:C=C321)*(BAREMOS!D:D=D321),0),0)),19,
         MATCH(H321,INDEX(BAREMOS!F:X"&amp;",MATCH(1,(BAREMOS!A:A=A321)*(BAREMOS!B:B=B321)*(BAREMOS!C:C=C321)*(BAREMOS!D:D=D321),0),0),1)
      )
   )
)
,""""))
"),"")</f>
        <v/>
      </c>
      <c r="K321" s="34" t="str">
        <f t="shared" si="1"/>
        <v/>
      </c>
      <c r="L321" s="16"/>
      <c r="M321" s="16"/>
      <c r="N321" s="16"/>
      <c r="O321" s="16"/>
      <c r="P321" s="16"/>
      <c r="Q321" s="16"/>
      <c r="R321" s="16"/>
      <c r="S321" s="16"/>
      <c r="T321" s="16"/>
      <c r="U321" s="16"/>
      <c r="V321" s="16"/>
      <c r="W321" s="16"/>
      <c r="X321" s="16"/>
      <c r="Y321" s="16"/>
      <c r="Z321" s="16"/>
      <c r="AA321" s="16"/>
      <c r="AB321" s="16"/>
      <c r="AC321" s="16"/>
    </row>
    <row r="322">
      <c r="A322" s="22" t="str">
        <f t="array" ref="A322">IF(E322="","",IFERROR(INDEX(CONFIGURACION!C:C,MATCH(E322,CONFIGURACION!E:E,0)),""))
</f>
        <v/>
      </c>
      <c r="B322" s="22" t="str">
        <f t="array" ref="B322">IF(E322="","",IFERROR(INDEX(CONFIGURACION!D:D,MATCH(E322,CONFIGURACION!E:E,0)),""))
</f>
        <v/>
      </c>
      <c r="C322" s="31"/>
      <c r="D322" s="9"/>
      <c r="E322" s="6"/>
      <c r="F322" s="24"/>
      <c r="G322" s="9"/>
      <c r="H322" s="32"/>
      <c r="I322" s="33" t="str">
        <f>IFERROR(__xludf.DUMMYFUNCTION("IF(F322="""","""",LET(
  nombre, TRIM(F322),
  primer, REGEXEXTRACT(nombre, ""^\S+""),
  resto, TRIM(REGEXREPLACE(nombre, ""^\S+\s*"", """")),
  iniciales, IF(
    resto="""",
    """",
    TEXTJOIN("""",1,ARRAYFORMULA(LEFT(SPLIT(resto,"" ""),1) &amp; "".""))"&amp;"
  ),
  UPPER(primer) &amp; "" "" &amp; UPPER(iniciales)
))"),"")</f>
        <v/>
      </c>
      <c r="J322" s="33" t="str">
        <f>IFERROR(__xludf.DUMMYFUNCTION("IF(H322="""","""",IFERROR(
IF(REGEXMATCH(E322,""VELOCIDAD""),
   IF(H322&gt;=MAX(INDEX(BAREMOS!F:X,MATCH(1,(BAREMOS!A:A=A322)*(BAREMOS!B:B=B322)*(BAREMOS!C:C=C322)*(BAREMOS!D:D=D322),0),0)),1,
      IF(H322&lt;=MIN(INDEX(BAREMOS!F:X,MATCH(1,(BAREMOS!A:A=A322)*("&amp;"BAREMOS!B:B=B322)*(BAREMOS!C:C=C322)*(BAREMOS!D:D=D322),0),0)),19,
         MATCH(H322,INDEX(BAREMOS!F:X,MATCH(1,(BAREMOS!A:A=A322)*(BAREMOS!B:B=B322)*(BAREMOS!C:C=C322)*(BAREMOS!D:D=D322),0),0),-1)
      )
   ),
   IF(H322&lt;=MIN(INDEX(BAREMOS!F:X,MATCH(1,"&amp;"(BAREMOS!A:A=A322)*(BAREMOS!B:B=B322)*(BAREMOS!C:C=C322)*(BAREMOS!D:D=D322),0),0)),1,
      IF(H322&gt;=MAX(INDEX(BAREMOS!F:X,MATCH(1,(BAREMOS!A:A=A322)*(BAREMOS!B:B=B322)*(BAREMOS!C:C=C322)*(BAREMOS!D:D=D322),0),0)),19,
         MATCH(H322,INDEX(BAREMOS!F:X"&amp;",MATCH(1,(BAREMOS!A:A=A322)*(BAREMOS!B:B=B322)*(BAREMOS!C:C=C322)*(BAREMOS!D:D=D322),0),0),1)
      )
   )
)
,""""))
"),"")</f>
        <v/>
      </c>
      <c r="K322" s="34" t="str">
        <f t="shared" si="1"/>
        <v/>
      </c>
      <c r="L322" s="16"/>
      <c r="M322" s="16"/>
      <c r="N322" s="16"/>
      <c r="O322" s="16"/>
      <c r="P322" s="16"/>
      <c r="Q322" s="16"/>
      <c r="R322" s="16"/>
      <c r="S322" s="16"/>
      <c r="T322" s="16"/>
      <c r="U322" s="16"/>
      <c r="V322" s="16"/>
      <c r="W322" s="16"/>
      <c r="X322" s="16"/>
      <c r="Y322" s="16"/>
      <c r="Z322" s="16"/>
      <c r="AA322" s="16"/>
      <c r="AB322" s="16"/>
      <c r="AC322" s="16"/>
    </row>
    <row r="323">
      <c r="A323" s="22" t="str">
        <f t="array" ref="A323">IF(E323="","",IFERROR(INDEX(CONFIGURACION!C:C,MATCH(E323,CONFIGURACION!E:E,0)),""))
</f>
        <v/>
      </c>
      <c r="B323" s="22" t="str">
        <f t="array" ref="B323">IF(E323="","",IFERROR(INDEX(CONFIGURACION!D:D,MATCH(E323,CONFIGURACION!E:E,0)),""))
</f>
        <v/>
      </c>
      <c r="C323" s="31"/>
      <c r="D323" s="9"/>
      <c r="E323" s="6"/>
      <c r="F323" s="24"/>
      <c r="G323" s="9"/>
      <c r="H323" s="32"/>
      <c r="I323" s="33" t="str">
        <f>IFERROR(__xludf.DUMMYFUNCTION("IF(F323="""","""",LET(
  nombre, TRIM(F323),
  primer, REGEXEXTRACT(nombre, ""^\S+""),
  resto, TRIM(REGEXREPLACE(nombre, ""^\S+\s*"", """")),
  iniciales, IF(
    resto="""",
    """",
    TEXTJOIN("""",1,ARRAYFORMULA(LEFT(SPLIT(resto,"" ""),1) &amp; "".""))"&amp;"
  ),
  UPPER(primer) &amp; "" "" &amp; UPPER(iniciales)
))"),"")</f>
        <v/>
      </c>
      <c r="J323" s="33" t="str">
        <f>IFERROR(__xludf.DUMMYFUNCTION("IF(H323="""","""",IFERROR(
IF(REGEXMATCH(E323,""VELOCIDAD""),
   IF(H323&gt;=MAX(INDEX(BAREMOS!F:X,MATCH(1,(BAREMOS!A:A=A323)*(BAREMOS!B:B=B323)*(BAREMOS!C:C=C323)*(BAREMOS!D:D=D323),0),0)),1,
      IF(H323&lt;=MIN(INDEX(BAREMOS!F:X,MATCH(1,(BAREMOS!A:A=A323)*("&amp;"BAREMOS!B:B=B323)*(BAREMOS!C:C=C323)*(BAREMOS!D:D=D323),0),0)),19,
         MATCH(H323,INDEX(BAREMOS!F:X,MATCH(1,(BAREMOS!A:A=A323)*(BAREMOS!B:B=B323)*(BAREMOS!C:C=C323)*(BAREMOS!D:D=D323),0),0),-1)
      )
   ),
   IF(H323&lt;=MIN(INDEX(BAREMOS!F:X,MATCH(1,"&amp;"(BAREMOS!A:A=A323)*(BAREMOS!B:B=B323)*(BAREMOS!C:C=C323)*(BAREMOS!D:D=D323),0),0)),1,
      IF(H323&gt;=MAX(INDEX(BAREMOS!F:X,MATCH(1,(BAREMOS!A:A=A323)*(BAREMOS!B:B=B323)*(BAREMOS!C:C=C323)*(BAREMOS!D:D=D323),0),0)),19,
         MATCH(H323,INDEX(BAREMOS!F:X"&amp;",MATCH(1,(BAREMOS!A:A=A323)*(BAREMOS!B:B=B323)*(BAREMOS!C:C=C323)*(BAREMOS!D:D=D323),0),0),1)
      )
   )
)
,""""))
"),"")</f>
        <v/>
      </c>
      <c r="K323" s="34" t="str">
        <f t="shared" si="1"/>
        <v/>
      </c>
      <c r="L323" s="16"/>
      <c r="M323" s="16"/>
      <c r="N323" s="16"/>
      <c r="O323" s="16"/>
      <c r="P323" s="16"/>
      <c r="Q323" s="16"/>
      <c r="R323" s="16"/>
      <c r="S323" s="16"/>
      <c r="T323" s="16"/>
      <c r="U323" s="16"/>
      <c r="V323" s="16"/>
      <c r="W323" s="16"/>
      <c r="X323" s="16"/>
      <c r="Y323" s="16"/>
      <c r="Z323" s="16"/>
      <c r="AA323" s="16"/>
      <c r="AB323" s="16"/>
      <c r="AC323" s="16"/>
    </row>
    <row r="324">
      <c r="A324" s="22" t="str">
        <f t="array" ref="A324">IF(E324="","",IFERROR(INDEX(CONFIGURACION!C:C,MATCH(E324,CONFIGURACION!E:E,0)),""))
</f>
        <v/>
      </c>
      <c r="B324" s="22" t="str">
        <f t="array" ref="B324">IF(E324="","",IFERROR(INDEX(CONFIGURACION!D:D,MATCH(E324,CONFIGURACION!E:E,0)),""))
</f>
        <v/>
      </c>
      <c r="C324" s="31"/>
      <c r="D324" s="9"/>
      <c r="E324" s="6"/>
      <c r="F324" s="24"/>
      <c r="G324" s="9"/>
      <c r="H324" s="32"/>
      <c r="I324" s="33" t="str">
        <f>IFERROR(__xludf.DUMMYFUNCTION("IF(F324="""","""",LET(
  nombre, TRIM(F324),
  primer, REGEXEXTRACT(nombre, ""^\S+""),
  resto, TRIM(REGEXREPLACE(nombre, ""^\S+\s*"", """")),
  iniciales, IF(
    resto="""",
    """",
    TEXTJOIN("""",1,ARRAYFORMULA(LEFT(SPLIT(resto,"" ""),1) &amp; "".""))"&amp;"
  ),
  UPPER(primer) &amp; "" "" &amp; UPPER(iniciales)
))"),"")</f>
        <v/>
      </c>
      <c r="J324" s="33" t="str">
        <f>IFERROR(__xludf.DUMMYFUNCTION("IF(H324="""","""",IFERROR(
IF(REGEXMATCH(E324,""VELOCIDAD""),
   IF(H324&gt;=MAX(INDEX(BAREMOS!F:X,MATCH(1,(BAREMOS!A:A=A324)*(BAREMOS!B:B=B324)*(BAREMOS!C:C=C324)*(BAREMOS!D:D=D324),0),0)),1,
      IF(H324&lt;=MIN(INDEX(BAREMOS!F:X,MATCH(1,(BAREMOS!A:A=A324)*("&amp;"BAREMOS!B:B=B324)*(BAREMOS!C:C=C324)*(BAREMOS!D:D=D324),0),0)),19,
         MATCH(H324,INDEX(BAREMOS!F:X,MATCH(1,(BAREMOS!A:A=A324)*(BAREMOS!B:B=B324)*(BAREMOS!C:C=C324)*(BAREMOS!D:D=D324),0),0),-1)
      )
   ),
   IF(H324&lt;=MIN(INDEX(BAREMOS!F:X,MATCH(1,"&amp;"(BAREMOS!A:A=A324)*(BAREMOS!B:B=B324)*(BAREMOS!C:C=C324)*(BAREMOS!D:D=D324),0),0)),1,
      IF(H324&gt;=MAX(INDEX(BAREMOS!F:X,MATCH(1,(BAREMOS!A:A=A324)*(BAREMOS!B:B=B324)*(BAREMOS!C:C=C324)*(BAREMOS!D:D=D324),0),0)),19,
         MATCH(H324,INDEX(BAREMOS!F:X"&amp;",MATCH(1,(BAREMOS!A:A=A324)*(BAREMOS!B:B=B324)*(BAREMOS!C:C=C324)*(BAREMOS!D:D=D324),0),0),1)
      )
   )
)
,""""))
"),"")</f>
        <v/>
      </c>
      <c r="K324" s="34" t="str">
        <f t="shared" si="1"/>
        <v/>
      </c>
      <c r="L324" s="16"/>
      <c r="M324" s="16"/>
      <c r="N324" s="16"/>
      <c r="O324" s="16"/>
      <c r="P324" s="16"/>
      <c r="Q324" s="16"/>
      <c r="R324" s="16"/>
      <c r="S324" s="16"/>
      <c r="T324" s="16"/>
      <c r="U324" s="16"/>
      <c r="V324" s="16"/>
      <c r="W324" s="16"/>
      <c r="X324" s="16"/>
      <c r="Y324" s="16"/>
      <c r="Z324" s="16"/>
      <c r="AA324" s="16"/>
      <c r="AB324" s="16"/>
      <c r="AC324" s="16"/>
    </row>
    <row r="325">
      <c r="A325" s="22" t="str">
        <f t="array" ref="A325">IF(E325="","",IFERROR(INDEX(CONFIGURACION!C:C,MATCH(E325,CONFIGURACION!E:E,0)),""))
</f>
        <v/>
      </c>
      <c r="B325" s="22" t="str">
        <f t="array" ref="B325">IF(E325="","",IFERROR(INDEX(CONFIGURACION!D:D,MATCH(E325,CONFIGURACION!E:E,0)),""))
</f>
        <v/>
      </c>
      <c r="C325" s="31"/>
      <c r="D325" s="9"/>
      <c r="E325" s="6"/>
      <c r="F325" s="24"/>
      <c r="G325" s="9"/>
      <c r="H325" s="32"/>
      <c r="I325" s="33" t="str">
        <f>IFERROR(__xludf.DUMMYFUNCTION("IF(F325="""","""",LET(
  nombre, TRIM(F325),
  primer, REGEXEXTRACT(nombre, ""^\S+""),
  resto, TRIM(REGEXREPLACE(nombre, ""^\S+\s*"", """")),
  iniciales, IF(
    resto="""",
    """",
    TEXTJOIN("""",1,ARRAYFORMULA(LEFT(SPLIT(resto,"" ""),1) &amp; "".""))"&amp;"
  ),
  UPPER(primer) &amp; "" "" &amp; UPPER(iniciales)
))"),"")</f>
        <v/>
      </c>
      <c r="J325" s="33" t="str">
        <f>IFERROR(__xludf.DUMMYFUNCTION("IF(H325="""","""",IFERROR(
IF(REGEXMATCH(E325,""VELOCIDAD""),
   IF(H325&gt;=MAX(INDEX(BAREMOS!F:X,MATCH(1,(BAREMOS!A:A=A325)*(BAREMOS!B:B=B325)*(BAREMOS!C:C=C325)*(BAREMOS!D:D=D325),0),0)),1,
      IF(H325&lt;=MIN(INDEX(BAREMOS!F:X,MATCH(1,(BAREMOS!A:A=A325)*("&amp;"BAREMOS!B:B=B325)*(BAREMOS!C:C=C325)*(BAREMOS!D:D=D325),0),0)),19,
         MATCH(H325,INDEX(BAREMOS!F:X,MATCH(1,(BAREMOS!A:A=A325)*(BAREMOS!B:B=B325)*(BAREMOS!C:C=C325)*(BAREMOS!D:D=D325),0),0),-1)
      )
   ),
   IF(H325&lt;=MIN(INDEX(BAREMOS!F:X,MATCH(1,"&amp;"(BAREMOS!A:A=A325)*(BAREMOS!B:B=B325)*(BAREMOS!C:C=C325)*(BAREMOS!D:D=D325),0),0)),1,
      IF(H325&gt;=MAX(INDEX(BAREMOS!F:X,MATCH(1,(BAREMOS!A:A=A325)*(BAREMOS!B:B=B325)*(BAREMOS!C:C=C325)*(BAREMOS!D:D=D325),0),0)),19,
         MATCH(H325,INDEX(BAREMOS!F:X"&amp;",MATCH(1,(BAREMOS!A:A=A325)*(BAREMOS!B:B=B325)*(BAREMOS!C:C=C325)*(BAREMOS!D:D=D325),0),0),1)
      )
   )
)
,""""))
"),"")</f>
        <v/>
      </c>
      <c r="K325" s="34" t="str">
        <f t="shared" si="1"/>
        <v/>
      </c>
      <c r="L325" s="16"/>
      <c r="M325" s="16"/>
      <c r="N325" s="16"/>
      <c r="O325" s="16"/>
      <c r="P325" s="16"/>
      <c r="Q325" s="16"/>
      <c r="R325" s="16"/>
      <c r="S325" s="16"/>
      <c r="T325" s="16"/>
      <c r="U325" s="16"/>
      <c r="V325" s="16"/>
      <c r="W325" s="16"/>
      <c r="X325" s="16"/>
      <c r="Y325" s="16"/>
      <c r="Z325" s="16"/>
      <c r="AA325" s="16"/>
      <c r="AB325" s="16"/>
      <c r="AC325" s="16"/>
    </row>
    <row r="326">
      <c r="A326" s="22" t="str">
        <f t="array" ref="A326">IF(E326="","",IFERROR(INDEX(CONFIGURACION!C:C,MATCH(E326,CONFIGURACION!E:E,0)),""))
</f>
        <v/>
      </c>
      <c r="B326" s="22" t="str">
        <f t="array" ref="B326">IF(E326="","",IFERROR(INDEX(CONFIGURACION!D:D,MATCH(E326,CONFIGURACION!E:E,0)),""))
</f>
        <v/>
      </c>
      <c r="C326" s="31"/>
      <c r="D326" s="9"/>
      <c r="E326" s="6"/>
      <c r="F326" s="24"/>
      <c r="G326" s="9"/>
      <c r="H326" s="32"/>
      <c r="I326" s="33" t="str">
        <f>IFERROR(__xludf.DUMMYFUNCTION("IF(F326="""","""",LET(
  nombre, TRIM(F326),
  primer, REGEXEXTRACT(nombre, ""^\S+""),
  resto, TRIM(REGEXREPLACE(nombre, ""^\S+\s*"", """")),
  iniciales, IF(
    resto="""",
    """",
    TEXTJOIN("""",1,ARRAYFORMULA(LEFT(SPLIT(resto,"" ""),1) &amp; "".""))"&amp;"
  ),
  UPPER(primer) &amp; "" "" &amp; UPPER(iniciales)
))"),"")</f>
        <v/>
      </c>
      <c r="J326" s="33" t="str">
        <f>IFERROR(__xludf.DUMMYFUNCTION("IF(H326="""","""",IFERROR(
IF(REGEXMATCH(E326,""VELOCIDAD""),
   IF(H326&gt;=MAX(INDEX(BAREMOS!F:X,MATCH(1,(BAREMOS!A:A=A326)*(BAREMOS!B:B=B326)*(BAREMOS!C:C=C326)*(BAREMOS!D:D=D326),0),0)),1,
      IF(H326&lt;=MIN(INDEX(BAREMOS!F:X,MATCH(1,(BAREMOS!A:A=A326)*("&amp;"BAREMOS!B:B=B326)*(BAREMOS!C:C=C326)*(BAREMOS!D:D=D326),0),0)),19,
         MATCH(H326,INDEX(BAREMOS!F:X,MATCH(1,(BAREMOS!A:A=A326)*(BAREMOS!B:B=B326)*(BAREMOS!C:C=C326)*(BAREMOS!D:D=D326),0),0),-1)
      )
   ),
   IF(H326&lt;=MIN(INDEX(BAREMOS!F:X,MATCH(1,"&amp;"(BAREMOS!A:A=A326)*(BAREMOS!B:B=B326)*(BAREMOS!C:C=C326)*(BAREMOS!D:D=D326),0),0)),1,
      IF(H326&gt;=MAX(INDEX(BAREMOS!F:X,MATCH(1,(BAREMOS!A:A=A326)*(BAREMOS!B:B=B326)*(BAREMOS!C:C=C326)*(BAREMOS!D:D=D326),0),0)),19,
         MATCH(H326,INDEX(BAREMOS!F:X"&amp;",MATCH(1,(BAREMOS!A:A=A326)*(BAREMOS!B:B=B326)*(BAREMOS!C:C=C326)*(BAREMOS!D:D=D326),0),0),1)
      )
   )
)
,""""))
"),"")</f>
        <v/>
      </c>
      <c r="K326" s="34" t="str">
        <f t="shared" si="1"/>
        <v/>
      </c>
      <c r="L326" s="16"/>
      <c r="M326" s="16"/>
      <c r="N326" s="16"/>
      <c r="O326" s="16"/>
      <c r="P326" s="16"/>
      <c r="Q326" s="16"/>
      <c r="R326" s="16"/>
      <c r="S326" s="16"/>
      <c r="T326" s="16"/>
      <c r="U326" s="16"/>
      <c r="V326" s="16"/>
      <c r="W326" s="16"/>
      <c r="X326" s="16"/>
      <c r="Y326" s="16"/>
      <c r="Z326" s="16"/>
      <c r="AA326" s="16"/>
      <c r="AB326" s="16"/>
      <c r="AC326" s="16"/>
    </row>
    <row r="327">
      <c r="A327" s="22" t="str">
        <f t="array" ref="A327">IF(E327="","",IFERROR(INDEX(CONFIGURACION!C:C,MATCH(E327,CONFIGURACION!E:E,0)),""))
</f>
        <v/>
      </c>
      <c r="B327" s="22" t="str">
        <f t="array" ref="B327">IF(E327="","",IFERROR(INDEX(CONFIGURACION!D:D,MATCH(E327,CONFIGURACION!E:E,0)),""))
</f>
        <v/>
      </c>
      <c r="C327" s="31"/>
      <c r="D327" s="9"/>
      <c r="E327" s="6"/>
      <c r="F327" s="24"/>
      <c r="G327" s="9"/>
      <c r="H327" s="32"/>
      <c r="I327" s="33" t="str">
        <f>IFERROR(__xludf.DUMMYFUNCTION("IF(F327="""","""",LET(
  nombre, TRIM(F327),
  primer, REGEXEXTRACT(nombre, ""^\S+""),
  resto, TRIM(REGEXREPLACE(nombre, ""^\S+\s*"", """")),
  iniciales, IF(
    resto="""",
    """",
    TEXTJOIN("""",1,ARRAYFORMULA(LEFT(SPLIT(resto,"" ""),1) &amp; "".""))"&amp;"
  ),
  UPPER(primer) &amp; "" "" &amp; UPPER(iniciales)
))"),"")</f>
        <v/>
      </c>
      <c r="J327" s="33" t="str">
        <f>IFERROR(__xludf.DUMMYFUNCTION("IF(H327="""","""",IFERROR(
IF(REGEXMATCH(E327,""VELOCIDAD""),
   IF(H327&gt;=MAX(INDEX(BAREMOS!F:X,MATCH(1,(BAREMOS!A:A=A327)*(BAREMOS!B:B=B327)*(BAREMOS!C:C=C327)*(BAREMOS!D:D=D327),0),0)),1,
      IF(H327&lt;=MIN(INDEX(BAREMOS!F:X,MATCH(1,(BAREMOS!A:A=A327)*("&amp;"BAREMOS!B:B=B327)*(BAREMOS!C:C=C327)*(BAREMOS!D:D=D327),0),0)),19,
         MATCH(H327,INDEX(BAREMOS!F:X,MATCH(1,(BAREMOS!A:A=A327)*(BAREMOS!B:B=B327)*(BAREMOS!C:C=C327)*(BAREMOS!D:D=D327),0),0),-1)
      )
   ),
   IF(H327&lt;=MIN(INDEX(BAREMOS!F:X,MATCH(1,"&amp;"(BAREMOS!A:A=A327)*(BAREMOS!B:B=B327)*(BAREMOS!C:C=C327)*(BAREMOS!D:D=D327),0),0)),1,
      IF(H327&gt;=MAX(INDEX(BAREMOS!F:X,MATCH(1,(BAREMOS!A:A=A327)*(BAREMOS!B:B=B327)*(BAREMOS!C:C=C327)*(BAREMOS!D:D=D327),0),0)),19,
         MATCH(H327,INDEX(BAREMOS!F:X"&amp;",MATCH(1,(BAREMOS!A:A=A327)*(BAREMOS!B:B=B327)*(BAREMOS!C:C=C327)*(BAREMOS!D:D=D327),0),0),1)
      )
   )
)
,""""))
"),"")</f>
        <v/>
      </c>
      <c r="K327" s="34" t="str">
        <f t="shared" si="1"/>
        <v/>
      </c>
      <c r="L327" s="16"/>
      <c r="M327" s="16"/>
      <c r="N327" s="16"/>
      <c r="O327" s="16"/>
      <c r="P327" s="16"/>
      <c r="Q327" s="16"/>
      <c r="R327" s="16"/>
      <c r="S327" s="16"/>
      <c r="T327" s="16"/>
      <c r="U327" s="16"/>
      <c r="V327" s="16"/>
      <c r="W327" s="16"/>
      <c r="X327" s="16"/>
      <c r="Y327" s="16"/>
      <c r="Z327" s="16"/>
      <c r="AA327" s="16"/>
      <c r="AB327" s="16"/>
      <c r="AC327" s="16"/>
    </row>
    <row r="328">
      <c r="A328" s="22" t="str">
        <f t="array" ref="A328">IF(E328="","",IFERROR(INDEX(CONFIGURACION!C:C,MATCH(E328,CONFIGURACION!E:E,0)),""))
</f>
        <v/>
      </c>
      <c r="B328" s="22" t="str">
        <f t="array" ref="B328">IF(E328="","",IFERROR(INDEX(CONFIGURACION!D:D,MATCH(E328,CONFIGURACION!E:E,0)),""))
</f>
        <v/>
      </c>
      <c r="C328" s="31"/>
      <c r="D328" s="9"/>
      <c r="E328" s="6"/>
      <c r="F328" s="24"/>
      <c r="G328" s="9"/>
      <c r="H328" s="32"/>
      <c r="I328" s="33" t="str">
        <f>IFERROR(__xludf.DUMMYFUNCTION("IF(F328="""","""",LET(
  nombre, TRIM(F328),
  primer, REGEXEXTRACT(nombre, ""^\S+""),
  resto, TRIM(REGEXREPLACE(nombre, ""^\S+\s*"", """")),
  iniciales, IF(
    resto="""",
    """",
    TEXTJOIN("""",1,ARRAYFORMULA(LEFT(SPLIT(resto,"" ""),1) &amp; "".""))"&amp;"
  ),
  UPPER(primer) &amp; "" "" &amp; UPPER(iniciales)
))"),"")</f>
        <v/>
      </c>
      <c r="J328" s="33" t="str">
        <f>IFERROR(__xludf.DUMMYFUNCTION("IF(H328="""","""",IFERROR(
IF(REGEXMATCH(E328,""VELOCIDAD""),
   IF(H328&gt;=MAX(INDEX(BAREMOS!F:X,MATCH(1,(BAREMOS!A:A=A328)*(BAREMOS!B:B=B328)*(BAREMOS!C:C=C328)*(BAREMOS!D:D=D328),0),0)),1,
      IF(H328&lt;=MIN(INDEX(BAREMOS!F:X,MATCH(1,(BAREMOS!A:A=A328)*("&amp;"BAREMOS!B:B=B328)*(BAREMOS!C:C=C328)*(BAREMOS!D:D=D328),0),0)),19,
         MATCH(H328,INDEX(BAREMOS!F:X,MATCH(1,(BAREMOS!A:A=A328)*(BAREMOS!B:B=B328)*(BAREMOS!C:C=C328)*(BAREMOS!D:D=D328),0),0),-1)
      )
   ),
   IF(H328&lt;=MIN(INDEX(BAREMOS!F:X,MATCH(1,"&amp;"(BAREMOS!A:A=A328)*(BAREMOS!B:B=B328)*(BAREMOS!C:C=C328)*(BAREMOS!D:D=D328),0),0)),1,
      IF(H328&gt;=MAX(INDEX(BAREMOS!F:X,MATCH(1,(BAREMOS!A:A=A328)*(BAREMOS!B:B=B328)*(BAREMOS!C:C=C328)*(BAREMOS!D:D=D328),0),0)),19,
         MATCH(H328,INDEX(BAREMOS!F:X"&amp;",MATCH(1,(BAREMOS!A:A=A328)*(BAREMOS!B:B=B328)*(BAREMOS!C:C=C328)*(BAREMOS!D:D=D328),0),0),1)
      )
   )
)
,""""))
"),"")</f>
        <v/>
      </c>
      <c r="K328" s="34" t="str">
        <f t="shared" si="1"/>
        <v/>
      </c>
      <c r="L328" s="16"/>
      <c r="M328" s="16"/>
      <c r="N328" s="16"/>
      <c r="O328" s="16"/>
      <c r="P328" s="16"/>
      <c r="Q328" s="16"/>
      <c r="R328" s="16"/>
      <c r="S328" s="16"/>
      <c r="T328" s="16"/>
      <c r="U328" s="16"/>
      <c r="V328" s="16"/>
      <c r="W328" s="16"/>
      <c r="X328" s="16"/>
      <c r="Y328" s="16"/>
      <c r="Z328" s="16"/>
      <c r="AA328" s="16"/>
      <c r="AB328" s="16"/>
      <c r="AC328" s="16"/>
    </row>
    <row r="329">
      <c r="A329" s="22" t="str">
        <f t="array" ref="A329">IF(E329="","",IFERROR(INDEX(CONFIGURACION!C:C,MATCH(E329,CONFIGURACION!E:E,0)),""))
</f>
        <v/>
      </c>
      <c r="B329" s="22" t="str">
        <f t="array" ref="B329">IF(E329="","",IFERROR(INDEX(CONFIGURACION!D:D,MATCH(E329,CONFIGURACION!E:E,0)),""))
</f>
        <v/>
      </c>
      <c r="C329" s="31"/>
      <c r="D329" s="9"/>
      <c r="E329" s="6"/>
      <c r="F329" s="24"/>
      <c r="G329" s="9"/>
      <c r="H329" s="32"/>
      <c r="I329" s="33" t="str">
        <f>IFERROR(__xludf.DUMMYFUNCTION("IF(F329="""","""",LET(
  nombre, TRIM(F329),
  primer, REGEXEXTRACT(nombre, ""^\S+""),
  resto, TRIM(REGEXREPLACE(nombre, ""^\S+\s*"", """")),
  iniciales, IF(
    resto="""",
    """",
    TEXTJOIN("""",1,ARRAYFORMULA(LEFT(SPLIT(resto,"" ""),1) &amp; "".""))"&amp;"
  ),
  UPPER(primer) &amp; "" "" &amp; UPPER(iniciales)
))"),"")</f>
        <v/>
      </c>
      <c r="J329" s="33" t="str">
        <f>IFERROR(__xludf.DUMMYFUNCTION("IF(H329="""","""",IFERROR(
IF(REGEXMATCH(E329,""VELOCIDAD""),
   IF(H329&gt;=MAX(INDEX(BAREMOS!F:X,MATCH(1,(BAREMOS!A:A=A329)*(BAREMOS!B:B=B329)*(BAREMOS!C:C=C329)*(BAREMOS!D:D=D329),0),0)),1,
      IF(H329&lt;=MIN(INDEX(BAREMOS!F:X,MATCH(1,(BAREMOS!A:A=A329)*("&amp;"BAREMOS!B:B=B329)*(BAREMOS!C:C=C329)*(BAREMOS!D:D=D329),0),0)),19,
         MATCH(H329,INDEX(BAREMOS!F:X,MATCH(1,(BAREMOS!A:A=A329)*(BAREMOS!B:B=B329)*(BAREMOS!C:C=C329)*(BAREMOS!D:D=D329),0),0),-1)
      )
   ),
   IF(H329&lt;=MIN(INDEX(BAREMOS!F:X,MATCH(1,"&amp;"(BAREMOS!A:A=A329)*(BAREMOS!B:B=B329)*(BAREMOS!C:C=C329)*(BAREMOS!D:D=D329),0),0)),1,
      IF(H329&gt;=MAX(INDEX(BAREMOS!F:X,MATCH(1,(BAREMOS!A:A=A329)*(BAREMOS!B:B=B329)*(BAREMOS!C:C=C329)*(BAREMOS!D:D=D329),0),0)),19,
         MATCH(H329,INDEX(BAREMOS!F:X"&amp;",MATCH(1,(BAREMOS!A:A=A329)*(BAREMOS!B:B=B329)*(BAREMOS!C:C=C329)*(BAREMOS!D:D=D329),0),0),1)
      )
   )
)
,""""))
"),"")</f>
        <v/>
      </c>
      <c r="K329" s="34" t="str">
        <f t="shared" si="1"/>
        <v/>
      </c>
      <c r="L329" s="16"/>
      <c r="M329" s="16"/>
      <c r="N329" s="16"/>
      <c r="O329" s="16"/>
      <c r="P329" s="16"/>
      <c r="Q329" s="16"/>
      <c r="R329" s="16"/>
      <c r="S329" s="16"/>
      <c r="T329" s="16"/>
      <c r="U329" s="16"/>
      <c r="V329" s="16"/>
      <c r="W329" s="16"/>
      <c r="X329" s="16"/>
      <c r="Y329" s="16"/>
      <c r="Z329" s="16"/>
      <c r="AA329" s="16"/>
      <c r="AB329" s="16"/>
      <c r="AC329" s="16"/>
    </row>
    <row r="330">
      <c r="A330" s="22" t="str">
        <f t="array" ref="A330">IF(E330="","",IFERROR(INDEX(CONFIGURACION!C:C,MATCH(E330,CONFIGURACION!E:E,0)),""))
</f>
        <v/>
      </c>
      <c r="B330" s="22" t="str">
        <f t="array" ref="B330">IF(E330="","",IFERROR(INDEX(CONFIGURACION!D:D,MATCH(E330,CONFIGURACION!E:E,0)),""))
</f>
        <v/>
      </c>
      <c r="C330" s="31"/>
      <c r="D330" s="9"/>
      <c r="E330" s="6"/>
      <c r="F330" s="24"/>
      <c r="G330" s="9"/>
      <c r="H330" s="32"/>
      <c r="I330" s="33" t="str">
        <f>IFERROR(__xludf.DUMMYFUNCTION("IF(F330="""","""",LET(
  nombre, TRIM(F330),
  primer, REGEXEXTRACT(nombre, ""^\S+""),
  resto, TRIM(REGEXREPLACE(nombre, ""^\S+\s*"", """")),
  iniciales, IF(
    resto="""",
    """",
    TEXTJOIN("""",1,ARRAYFORMULA(LEFT(SPLIT(resto,"" ""),1) &amp; "".""))"&amp;"
  ),
  UPPER(primer) &amp; "" "" &amp; UPPER(iniciales)
))"),"")</f>
        <v/>
      </c>
      <c r="J330" s="33" t="str">
        <f>IFERROR(__xludf.DUMMYFUNCTION("IF(H330="""","""",IFERROR(
IF(REGEXMATCH(E330,""VELOCIDAD""),
   IF(H330&gt;=MAX(INDEX(BAREMOS!F:X,MATCH(1,(BAREMOS!A:A=A330)*(BAREMOS!B:B=B330)*(BAREMOS!C:C=C330)*(BAREMOS!D:D=D330),0),0)),1,
      IF(H330&lt;=MIN(INDEX(BAREMOS!F:X,MATCH(1,(BAREMOS!A:A=A330)*("&amp;"BAREMOS!B:B=B330)*(BAREMOS!C:C=C330)*(BAREMOS!D:D=D330),0),0)),19,
         MATCH(H330,INDEX(BAREMOS!F:X,MATCH(1,(BAREMOS!A:A=A330)*(BAREMOS!B:B=B330)*(BAREMOS!C:C=C330)*(BAREMOS!D:D=D330),0),0),-1)
      )
   ),
   IF(H330&lt;=MIN(INDEX(BAREMOS!F:X,MATCH(1,"&amp;"(BAREMOS!A:A=A330)*(BAREMOS!B:B=B330)*(BAREMOS!C:C=C330)*(BAREMOS!D:D=D330),0),0)),1,
      IF(H330&gt;=MAX(INDEX(BAREMOS!F:X,MATCH(1,(BAREMOS!A:A=A330)*(BAREMOS!B:B=B330)*(BAREMOS!C:C=C330)*(BAREMOS!D:D=D330),0),0)),19,
         MATCH(H330,INDEX(BAREMOS!F:X"&amp;",MATCH(1,(BAREMOS!A:A=A330)*(BAREMOS!B:B=B330)*(BAREMOS!C:C=C330)*(BAREMOS!D:D=D330),0),0),1)
      )
   )
)
,""""))
"),"")</f>
        <v/>
      </c>
      <c r="K330" s="34" t="str">
        <f t="shared" si="1"/>
        <v/>
      </c>
      <c r="L330" s="16"/>
      <c r="M330" s="16"/>
      <c r="N330" s="16"/>
      <c r="O330" s="16"/>
      <c r="P330" s="16"/>
      <c r="Q330" s="16"/>
      <c r="R330" s="16"/>
      <c r="S330" s="16"/>
      <c r="T330" s="16"/>
      <c r="U330" s="16"/>
      <c r="V330" s="16"/>
      <c r="W330" s="16"/>
      <c r="X330" s="16"/>
      <c r="Y330" s="16"/>
      <c r="Z330" s="16"/>
      <c r="AA330" s="16"/>
      <c r="AB330" s="16"/>
      <c r="AC330" s="16"/>
    </row>
    <row r="331">
      <c r="A331" s="22" t="str">
        <f t="array" ref="A331">IF(E331="","",IFERROR(INDEX(CONFIGURACION!C:C,MATCH(E331,CONFIGURACION!E:E,0)),""))
</f>
        <v/>
      </c>
      <c r="B331" s="22" t="str">
        <f t="array" ref="B331">IF(E331="","",IFERROR(INDEX(CONFIGURACION!D:D,MATCH(E331,CONFIGURACION!E:E,0)),""))
</f>
        <v/>
      </c>
      <c r="C331" s="31"/>
      <c r="D331" s="9"/>
      <c r="E331" s="6"/>
      <c r="F331" s="24"/>
      <c r="G331" s="9"/>
      <c r="H331" s="32"/>
      <c r="I331" s="33" t="str">
        <f>IFERROR(__xludf.DUMMYFUNCTION("IF(F331="""","""",LET(
  nombre, TRIM(F331),
  primer, REGEXEXTRACT(nombre, ""^\S+""),
  resto, TRIM(REGEXREPLACE(nombre, ""^\S+\s*"", """")),
  iniciales, IF(
    resto="""",
    """",
    TEXTJOIN("""",1,ARRAYFORMULA(LEFT(SPLIT(resto,"" ""),1) &amp; "".""))"&amp;"
  ),
  UPPER(primer) &amp; "" "" &amp; UPPER(iniciales)
))"),"")</f>
        <v/>
      </c>
      <c r="J331" s="33" t="str">
        <f>IFERROR(__xludf.DUMMYFUNCTION("IF(H331="""","""",IFERROR(
IF(REGEXMATCH(E331,""VELOCIDAD""),
   IF(H331&gt;=MAX(INDEX(BAREMOS!F:X,MATCH(1,(BAREMOS!A:A=A331)*(BAREMOS!B:B=B331)*(BAREMOS!C:C=C331)*(BAREMOS!D:D=D331),0),0)),1,
      IF(H331&lt;=MIN(INDEX(BAREMOS!F:X,MATCH(1,(BAREMOS!A:A=A331)*("&amp;"BAREMOS!B:B=B331)*(BAREMOS!C:C=C331)*(BAREMOS!D:D=D331),0),0)),19,
         MATCH(H331,INDEX(BAREMOS!F:X,MATCH(1,(BAREMOS!A:A=A331)*(BAREMOS!B:B=B331)*(BAREMOS!C:C=C331)*(BAREMOS!D:D=D331),0),0),-1)
      )
   ),
   IF(H331&lt;=MIN(INDEX(BAREMOS!F:X,MATCH(1,"&amp;"(BAREMOS!A:A=A331)*(BAREMOS!B:B=B331)*(BAREMOS!C:C=C331)*(BAREMOS!D:D=D331),0),0)),1,
      IF(H331&gt;=MAX(INDEX(BAREMOS!F:X,MATCH(1,(BAREMOS!A:A=A331)*(BAREMOS!B:B=B331)*(BAREMOS!C:C=C331)*(BAREMOS!D:D=D331),0),0)),19,
         MATCH(H331,INDEX(BAREMOS!F:X"&amp;",MATCH(1,(BAREMOS!A:A=A331)*(BAREMOS!B:B=B331)*(BAREMOS!C:C=C331)*(BAREMOS!D:D=D331),0),0),1)
      )
   )
)
,""""))
"),"")</f>
        <v/>
      </c>
      <c r="K331" s="34" t="str">
        <f t="shared" si="1"/>
        <v/>
      </c>
      <c r="L331" s="16"/>
      <c r="M331" s="16"/>
      <c r="N331" s="16"/>
      <c r="O331" s="16"/>
      <c r="P331" s="16"/>
      <c r="Q331" s="16"/>
      <c r="R331" s="16"/>
      <c r="S331" s="16"/>
      <c r="T331" s="16"/>
      <c r="U331" s="16"/>
      <c r="V331" s="16"/>
      <c r="W331" s="16"/>
      <c r="X331" s="16"/>
      <c r="Y331" s="16"/>
      <c r="Z331" s="16"/>
      <c r="AA331" s="16"/>
      <c r="AB331" s="16"/>
      <c r="AC331" s="16"/>
    </row>
    <row r="332">
      <c r="A332" s="22" t="str">
        <f t="array" ref="A332">IF(E332="","",IFERROR(INDEX(CONFIGURACION!C:C,MATCH(E332,CONFIGURACION!E:E,0)),""))
</f>
        <v/>
      </c>
      <c r="B332" s="22" t="str">
        <f t="array" ref="B332">IF(E332="","",IFERROR(INDEX(CONFIGURACION!D:D,MATCH(E332,CONFIGURACION!E:E,0)),""))
</f>
        <v/>
      </c>
      <c r="C332" s="31"/>
      <c r="D332" s="9"/>
      <c r="E332" s="6"/>
      <c r="F332" s="24"/>
      <c r="G332" s="9"/>
      <c r="H332" s="32"/>
      <c r="I332" s="33" t="str">
        <f>IFERROR(__xludf.DUMMYFUNCTION("IF(F332="""","""",LET(
  nombre, TRIM(F332),
  primer, REGEXEXTRACT(nombre, ""^\S+""),
  resto, TRIM(REGEXREPLACE(nombre, ""^\S+\s*"", """")),
  iniciales, IF(
    resto="""",
    """",
    TEXTJOIN("""",1,ARRAYFORMULA(LEFT(SPLIT(resto,"" ""),1) &amp; "".""))"&amp;"
  ),
  UPPER(primer) &amp; "" "" &amp; UPPER(iniciales)
))"),"")</f>
        <v/>
      </c>
      <c r="J332" s="33" t="str">
        <f>IFERROR(__xludf.DUMMYFUNCTION("IF(H332="""","""",IFERROR(
IF(REGEXMATCH(E332,""VELOCIDAD""),
   IF(H332&gt;=MAX(INDEX(BAREMOS!F:X,MATCH(1,(BAREMOS!A:A=A332)*(BAREMOS!B:B=B332)*(BAREMOS!C:C=C332)*(BAREMOS!D:D=D332),0),0)),1,
      IF(H332&lt;=MIN(INDEX(BAREMOS!F:X,MATCH(1,(BAREMOS!A:A=A332)*("&amp;"BAREMOS!B:B=B332)*(BAREMOS!C:C=C332)*(BAREMOS!D:D=D332),0),0)),19,
         MATCH(H332,INDEX(BAREMOS!F:X,MATCH(1,(BAREMOS!A:A=A332)*(BAREMOS!B:B=B332)*(BAREMOS!C:C=C332)*(BAREMOS!D:D=D332),0),0),-1)
      )
   ),
   IF(H332&lt;=MIN(INDEX(BAREMOS!F:X,MATCH(1,"&amp;"(BAREMOS!A:A=A332)*(BAREMOS!B:B=B332)*(BAREMOS!C:C=C332)*(BAREMOS!D:D=D332),0),0)),1,
      IF(H332&gt;=MAX(INDEX(BAREMOS!F:X,MATCH(1,(BAREMOS!A:A=A332)*(BAREMOS!B:B=B332)*(BAREMOS!C:C=C332)*(BAREMOS!D:D=D332),0),0)),19,
         MATCH(H332,INDEX(BAREMOS!F:X"&amp;",MATCH(1,(BAREMOS!A:A=A332)*(BAREMOS!B:B=B332)*(BAREMOS!C:C=C332)*(BAREMOS!D:D=D332),0),0),1)
      )
   )
)
,""""))
"),"")</f>
        <v/>
      </c>
      <c r="K332" s="34" t="str">
        <f t="shared" si="1"/>
        <v/>
      </c>
      <c r="L332" s="16"/>
      <c r="M332" s="16"/>
      <c r="N332" s="16"/>
      <c r="O332" s="16"/>
      <c r="P332" s="16"/>
      <c r="Q332" s="16"/>
      <c r="R332" s="16"/>
      <c r="S332" s="16"/>
      <c r="T332" s="16"/>
      <c r="U332" s="16"/>
      <c r="V332" s="16"/>
      <c r="W332" s="16"/>
      <c r="X332" s="16"/>
      <c r="Y332" s="16"/>
      <c r="Z332" s="16"/>
      <c r="AA332" s="16"/>
      <c r="AB332" s="16"/>
      <c r="AC332" s="16"/>
    </row>
    <row r="333">
      <c r="A333" s="22" t="str">
        <f t="array" ref="A333">IF(E333="","",IFERROR(INDEX(CONFIGURACION!C:C,MATCH(E333,CONFIGURACION!E:E,0)),""))
</f>
        <v/>
      </c>
      <c r="B333" s="22" t="str">
        <f t="array" ref="B333">IF(E333="","",IFERROR(INDEX(CONFIGURACION!D:D,MATCH(E333,CONFIGURACION!E:E,0)),""))
</f>
        <v/>
      </c>
      <c r="C333" s="31"/>
      <c r="D333" s="9"/>
      <c r="E333" s="6"/>
      <c r="F333" s="24"/>
      <c r="G333" s="9"/>
      <c r="H333" s="32"/>
      <c r="I333" s="33" t="str">
        <f>IFERROR(__xludf.DUMMYFUNCTION("IF(F333="""","""",LET(
  nombre, TRIM(F333),
  primer, REGEXEXTRACT(nombre, ""^\S+""),
  resto, TRIM(REGEXREPLACE(nombre, ""^\S+\s*"", """")),
  iniciales, IF(
    resto="""",
    """",
    TEXTJOIN("""",1,ARRAYFORMULA(LEFT(SPLIT(resto,"" ""),1) &amp; "".""))"&amp;"
  ),
  UPPER(primer) &amp; "" "" &amp; UPPER(iniciales)
))"),"")</f>
        <v/>
      </c>
      <c r="J333" s="33" t="str">
        <f>IFERROR(__xludf.DUMMYFUNCTION("IF(H333="""","""",IFERROR(
IF(REGEXMATCH(E333,""VELOCIDAD""),
   IF(H333&gt;=MAX(INDEX(BAREMOS!F:X,MATCH(1,(BAREMOS!A:A=A333)*(BAREMOS!B:B=B333)*(BAREMOS!C:C=C333)*(BAREMOS!D:D=D333),0),0)),1,
      IF(H333&lt;=MIN(INDEX(BAREMOS!F:X,MATCH(1,(BAREMOS!A:A=A333)*("&amp;"BAREMOS!B:B=B333)*(BAREMOS!C:C=C333)*(BAREMOS!D:D=D333),0),0)),19,
         MATCH(H333,INDEX(BAREMOS!F:X,MATCH(1,(BAREMOS!A:A=A333)*(BAREMOS!B:B=B333)*(BAREMOS!C:C=C333)*(BAREMOS!D:D=D333),0),0),-1)
      )
   ),
   IF(H333&lt;=MIN(INDEX(BAREMOS!F:X,MATCH(1,"&amp;"(BAREMOS!A:A=A333)*(BAREMOS!B:B=B333)*(BAREMOS!C:C=C333)*(BAREMOS!D:D=D333),0),0)),1,
      IF(H333&gt;=MAX(INDEX(BAREMOS!F:X,MATCH(1,(BAREMOS!A:A=A333)*(BAREMOS!B:B=B333)*(BAREMOS!C:C=C333)*(BAREMOS!D:D=D333),0),0)),19,
         MATCH(H333,INDEX(BAREMOS!F:X"&amp;",MATCH(1,(BAREMOS!A:A=A333)*(BAREMOS!B:B=B333)*(BAREMOS!C:C=C333)*(BAREMOS!D:D=D333),0),0),1)
      )
   )
)
,""""))
"),"")</f>
        <v/>
      </c>
      <c r="K333" s="34" t="str">
        <f t="shared" si="1"/>
        <v/>
      </c>
      <c r="L333" s="16"/>
      <c r="M333" s="16"/>
      <c r="N333" s="16"/>
      <c r="O333" s="16"/>
      <c r="P333" s="16"/>
      <c r="Q333" s="16"/>
      <c r="R333" s="16"/>
      <c r="S333" s="16"/>
      <c r="T333" s="16"/>
      <c r="U333" s="16"/>
      <c r="V333" s="16"/>
      <c r="W333" s="16"/>
      <c r="X333" s="16"/>
      <c r="Y333" s="16"/>
      <c r="Z333" s="16"/>
      <c r="AA333" s="16"/>
      <c r="AB333" s="16"/>
      <c r="AC333" s="16"/>
    </row>
    <row r="334">
      <c r="A334" s="22" t="str">
        <f t="array" ref="A334">IF(E334="","",IFERROR(INDEX(CONFIGURACION!C:C,MATCH(E334,CONFIGURACION!E:E,0)),""))
</f>
        <v/>
      </c>
      <c r="B334" s="22" t="str">
        <f t="array" ref="B334">IF(E334="","",IFERROR(INDEX(CONFIGURACION!D:D,MATCH(E334,CONFIGURACION!E:E,0)),""))
</f>
        <v/>
      </c>
      <c r="C334" s="31"/>
      <c r="D334" s="9"/>
      <c r="E334" s="6"/>
      <c r="F334" s="24"/>
      <c r="G334" s="9"/>
      <c r="H334" s="32"/>
      <c r="I334" s="33" t="str">
        <f>IFERROR(__xludf.DUMMYFUNCTION("IF(F334="""","""",LET(
  nombre, TRIM(F334),
  primer, REGEXEXTRACT(nombre, ""^\S+""),
  resto, TRIM(REGEXREPLACE(nombre, ""^\S+\s*"", """")),
  iniciales, IF(
    resto="""",
    """",
    TEXTJOIN("""",1,ARRAYFORMULA(LEFT(SPLIT(resto,"" ""),1) &amp; "".""))"&amp;"
  ),
  UPPER(primer) &amp; "" "" &amp; UPPER(iniciales)
))"),"")</f>
        <v/>
      </c>
      <c r="J334" s="33" t="str">
        <f>IFERROR(__xludf.DUMMYFUNCTION("IF(H334="""","""",IFERROR(
IF(REGEXMATCH(E334,""VELOCIDAD""),
   IF(H334&gt;=MAX(INDEX(BAREMOS!F:X,MATCH(1,(BAREMOS!A:A=A334)*(BAREMOS!B:B=B334)*(BAREMOS!C:C=C334)*(BAREMOS!D:D=D334),0),0)),1,
      IF(H334&lt;=MIN(INDEX(BAREMOS!F:X,MATCH(1,(BAREMOS!A:A=A334)*("&amp;"BAREMOS!B:B=B334)*(BAREMOS!C:C=C334)*(BAREMOS!D:D=D334),0),0)),19,
         MATCH(H334,INDEX(BAREMOS!F:X,MATCH(1,(BAREMOS!A:A=A334)*(BAREMOS!B:B=B334)*(BAREMOS!C:C=C334)*(BAREMOS!D:D=D334),0),0),-1)
      )
   ),
   IF(H334&lt;=MIN(INDEX(BAREMOS!F:X,MATCH(1,"&amp;"(BAREMOS!A:A=A334)*(BAREMOS!B:B=B334)*(BAREMOS!C:C=C334)*(BAREMOS!D:D=D334),0),0)),1,
      IF(H334&gt;=MAX(INDEX(BAREMOS!F:X,MATCH(1,(BAREMOS!A:A=A334)*(BAREMOS!B:B=B334)*(BAREMOS!C:C=C334)*(BAREMOS!D:D=D334),0),0)),19,
         MATCH(H334,INDEX(BAREMOS!F:X"&amp;",MATCH(1,(BAREMOS!A:A=A334)*(BAREMOS!B:B=B334)*(BAREMOS!C:C=C334)*(BAREMOS!D:D=D334),0),0),1)
      )
   )
)
,""""))
"),"")</f>
        <v/>
      </c>
      <c r="K334" s="34" t="str">
        <f t="shared" si="1"/>
        <v/>
      </c>
      <c r="L334" s="16"/>
      <c r="M334" s="16"/>
      <c r="N334" s="16"/>
      <c r="O334" s="16"/>
      <c r="P334" s="16"/>
      <c r="Q334" s="16"/>
      <c r="R334" s="16"/>
      <c r="S334" s="16"/>
      <c r="T334" s="16"/>
      <c r="U334" s="16"/>
      <c r="V334" s="16"/>
      <c r="W334" s="16"/>
      <c r="X334" s="16"/>
      <c r="Y334" s="16"/>
      <c r="Z334" s="16"/>
      <c r="AA334" s="16"/>
      <c r="AB334" s="16"/>
      <c r="AC334" s="16"/>
    </row>
    <row r="335">
      <c r="A335" s="22" t="str">
        <f t="array" ref="A335">IF(E335="","",IFERROR(INDEX(CONFIGURACION!C:C,MATCH(E335,CONFIGURACION!E:E,0)),""))
</f>
        <v/>
      </c>
      <c r="B335" s="22" t="str">
        <f t="array" ref="B335">IF(E335="","",IFERROR(INDEX(CONFIGURACION!D:D,MATCH(E335,CONFIGURACION!E:E,0)),""))
</f>
        <v/>
      </c>
      <c r="C335" s="31"/>
      <c r="D335" s="9"/>
      <c r="E335" s="6"/>
      <c r="F335" s="24"/>
      <c r="G335" s="9"/>
      <c r="H335" s="32"/>
      <c r="I335" s="33" t="str">
        <f>IFERROR(__xludf.DUMMYFUNCTION("IF(F335="""","""",LET(
  nombre, TRIM(F335),
  primer, REGEXEXTRACT(nombre, ""^\S+""),
  resto, TRIM(REGEXREPLACE(nombre, ""^\S+\s*"", """")),
  iniciales, IF(
    resto="""",
    """",
    TEXTJOIN("""",1,ARRAYFORMULA(LEFT(SPLIT(resto,"" ""),1) &amp; "".""))"&amp;"
  ),
  UPPER(primer) &amp; "" "" &amp; UPPER(iniciales)
))"),"")</f>
        <v/>
      </c>
      <c r="J335" s="33" t="str">
        <f>IFERROR(__xludf.DUMMYFUNCTION("IF(H335="""","""",IFERROR(
IF(REGEXMATCH(E335,""VELOCIDAD""),
   IF(H335&gt;=MAX(INDEX(BAREMOS!F:X,MATCH(1,(BAREMOS!A:A=A335)*(BAREMOS!B:B=B335)*(BAREMOS!C:C=C335)*(BAREMOS!D:D=D335),0),0)),1,
      IF(H335&lt;=MIN(INDEX(BAREMOS!F:X,MATCH(1,(BAREMOS!A:A=A335)*("&amp;"BAREMOS!B:B=B335)*(BAREMOS!C:C=C335)*(BAREMOS!D:D=D335),0),0)),19,
         MATCH(H335,INDEX(BAREMOS!F:X,MATCH(1,(BAREMOS!A:A=A335)*(BAREMOS!B:B=B335)*(BAREMOS!C:C=C335)*(BAREMOS!D:D=D335),0),0),-1)
      )
   ),
   IF(H335&lt;=MIN(INDEX(BAREMOS!F:X,MATCH(1,"&amp;"(BAREMOS!A:A=A335)*(BAREMOS!B:B=B335)*(BAREMOS!C:C=C335)*(BAREMOS!D:D=D335),0),0)),1,
      IF(H335&gt;=MAX(INDEX(BAREMOS!F:X,MATCH(1,(BAREMOS!A:A=A335)*(BAREMOS!B:B=B335)*(BAREMOS!C:C=C335)*(BAREMOS!D:D=D335),0),0)),19,
         MATCH(H335,INDEX(BAREMOS!F:X"&amp;",MATCH(1,(BAREMOS!A:A=A335)*(BAREMOS!B:B=B335)*(BAREMOS!C:C=C335)*(BAREMOS!D:D=D335),0),0),1)
      )
   )
)
,""""))
"),"")</f>
        <v/>
      </c>
      <c r="K335" s="34" t="str">
        <f t="shared" si="1"/>
        <v/>
      </c>
      <c r="L335" s="16"/>
      <c r="M335" s="16"/>
      <c r="N335" s="16"/>
      <c r="O335" s="16"/>
      <c r="P335" s="16"/>
      <c r="Q335" s="16"/>
      <c r="R335" s="16"/>
      <c r="S335" s="16"/>
      <c r="T335" s="16"/>
      <c r="U335" s="16"/>
      <c r="V335" s="16"/>
      <c r="W335" s="16"/>
      <c r="X335" s="16"/>
      <c r="Y335" s="16"/>
      <c r="Z335" s="16"/>
      <c r="AA335" s="16"/>
      <c r="AB335" s="16"/>
      <c r="AC335" s="16"/>
    </row>
    <row r="336">
      <c r="A336" s="22" t="str">
        <f t="array" ref="A336">IF(E336="","",IFERROR(INDEX(CONFIGURACION!C:C,MATCH(E336,CONFIGURACION!E:E,0)),""))
</f>
        <v/>
      </c>
      <c r="B336" s="22" t="str">
        <f t="array" ref="B336">IF(E336="","",IFERROR(INDEX(CONFIGURACION!D:D,MATCH(E336,CONFIGURACION!E:E,0)),""))
</f>
        <v/>
      </c>
      <c r="C336" s="31"/>
      <c r="D336" s="9"/>
      <c r="E336" s="6"/>
      <c r="F336" s="24"/>
      <c r="G336" s="9"/>
      <c r="H336" s="32"/>
      <c r="I336" s="33" t="str">
        <f>IFERROR(__xludf.DUMMYFUNCTION("IF(F336="""","""",LET(
  nombre, TRIM(F336),
  primer, REGEXEXTRACT(nombre, ""^\S+""),
  resto, TRIM(REGEXREPLACE(nombre, ""^\S+\s*"", """")),
  iniciales, IF(
    resto="""",
    """",
    TEXTJOIN("""",1,ARRAYFORMULA(LEFT(SPLIT(resto,"" ""),1) &amp; "".""))"&amp;"
  ),
  UPPER(primer) &amp; "" "" &amp; UPPER(iniciales)
))"),"")</f>
        <v/>
      </c>
      <c r="J336" s="33" t="str">
        <f>IFERROR(__xludf.DUMMYFUNCTION("IF(H336="""","""",IFERROR(
IF(REGEXMATCH(E336,""VELOCIDAD""),
   IF(H336&gt;=MAX(INDEX(BAREMOS!F:X,MATCH(1,(BAREMOS!A:A=A336)*(BAREMOS!B:B=B336)*(BAREMOS!C:C=C336)*(BAREMOS!D:D=D336),0),0)),1,
      IF(H336&lt;=MIN(INDEX(BAREMOS!F:X,MATCH(1,(BAREMOS!A:A=A336)*("&amp;"BAREMOS!B:B=B336)*(BAREMOS!C:C=C336)*(BAREMOS!D:D=D336),0),0)),19,
         MATCH(H336,INDEX(BAREMOS!F:X,MATCH(1,(BAREMOS!A:A=A336)*(BAREMOS!B:B=B336)*(BAREMOS!C:C=C336)*(BAREMOS!D:D=D336),0),0),-1)
      )
   ),
   IF(H336&lt;=MIN(INDEX(BAREMOS!F:X,MATCH(1,"&amp;"(BAREMOS!A:A=A336)*(BAREMOS!B:B=B336)*(BAREMOS!C:C=C336)*(BAREMOS!D:D=D336),0),0)),1,
      IF(H336&gt;=MAX(INDEX(BAREMOS!F:X,MATCH(1,(BAREMOS!A:A=A336)*(BAREMOS!B:B=B336)*(BAREMOS!C:C=C336)*(BAREMOS!D:D=D336),0),0)),19,
         MATCH(H336,INDEX(BAREMOS!F:X"&amp;",MATCH(1,(BAREMOS!A:A=A336)*(BAREMOS!B:B=B336)*(BAREMOS!C:C=C336)*(BAREMOS!D:D=D336),0),0),1)
      )
   )
)
,""""))
"),"")</f>
        <v/>
      </c>
      <c r="K336" s="34" t="str">
        <f t="shared" si="1"/>
        <v/>
      </c>
      <c r="L336" s="16"/>
      <c r="M336" s="16"/>
      <c r="N336" s="16"/>
      <c r="O336" s="16"/>
      <c r="P336" s="16"/>
      <c r="Q336" s="16"/>
      <c r="R336" s="16"/>
      <c r="S336" s="16"/>
      <c r="T336" s="16"/>
      <c r="U336" s="16"/>
      <c r="V336" s="16"/>
      <c r="W336" s="16"/>
      <c r="X336" s="16"/>
      <c r="Y336" s="16"/>
      <c r="Z336" s="16"/>
      <c r="AA336" s="16"/>
      <c r="AB336" s="16"/>
      <c r="AC336" s="16"/>
    </row>
    <row r="337">
      <c r="A337" s="22" t="str">
        <f t="array" ref="A337">IF(E337="","",IFERROR(INDEX(CONFIGURACION!C:C,MATCH(E337,CONFIGURACION!E:E,0)),""))
</f>
        <v/>
      </c>
      <c r="B337" s="22" t="str">
        <f t="array" ref="B337">IF(E337="","",IFERROR(INDEX(CONFIGURACION!D:D,MATCH(E337,CONFIGURACION!E:E,0)),""))
</f>
        <v/>
      </c>
      <c r="C337" s="31"/>
      <c r="D337" s="9"/>
      <c r="E337" s="6"/>
      <c r="F337" s="24"/>
      <c r="G337" s="9"/>
      <c r="H337" s="32"/>
      <c r="I337" s="33" t="str">
        <f>IFERROR(__xludf.DUMMYFUNCTION("IF(F337="""","""",LET(
  nombre, TRIM(F337),
  primer, REGEXEXTRACT(nombre, ""^\S+""),
  resto, TRIM(REGEXREPLACE(nombre, ""^\S+\s*"", """")),
  iniciales, IF(
    resto="""",
    """",
    TEXTJOIN("""",1,ARRAYFORMULA(LEFT(SPLIT(resto,"" ""),1) &amp; "".""))"&amp;"
  ),
  UPPER(primer) &amp; "" "" &amp; UPPER(iniciales)
))"),"")</f>
        <v/>
      </c>
      <c r="J337" s="33" t="str">
        <f>IFERROR(__xludf.DUMMYFUNCTION("IF(H337="""","""",IFERROR(
IF(REGEXMATCH(E337,""VELOCIDAD""),
   IF(H337&gt;=MAX(INDEX(BAREMOS!F:X,MATCH(1,(BAREMOS!A:A=A337)*(BAREMOS!B:B=B337)*(BAREMOS!C:C=C337)*(BAREMOS!D:D=D337),0),0)),1,
      IF(H337&lt;=MIN(INDEX(BAREMOS!F:X,MATCH(1,(BAREMOS!A:A=A337)*("&amp;"BAREMOS!B:B=B337)*(BAREMOS!C:C=C337)*(BAREMOS!D:D=D337),0),0)),19,
         MATCH(H337,INDEX(BAREMOS!F:X,MATCH(1,(BAREMOS!A:A=A337)*(BAREMOS!B:B=B337)*(BAREMOS!C:C=C337)*(BAREMOS!D:D=D337),0),0),-1)
      )
   ),
   IF(H337&lt;=MIN(INDEX(BAREMOS!F:X,MATCH(1,"&amp;"(BAREMOS!A:A=A337)*(BAREMOS!B:B=B337)*(BAREMOS!C:C=C337)*(BAREMOS!D:D=D337),0),0)),1,
      IF(H337&gt;=MAX(INDEX(BAREMOS!F:X,MATCH(1,(BAREMOS!A:A=A337)*(BAREMOS!B:B=B337)*(BAREMOS!C:C=C337)*(BAREMOS!D:D=D337),0),0)),19,
         MATCH(H337,INDEX(BAREMOS!F:X"&amp;",MATCH(1,(BAREMOS!A:A=A337)*(BAREMOS!B:B=B337)*(BAREMOS!C:C=C337)*(BAREMOS!D:D=D337),0),0),1)
      )
   )
)
,""""))
"),"")</f>
        <v/>
      </c>
      <c r="K337" s="34" t="str">
        <f t="shared" si="1"/>
        <v/>
      </c>
      <c r="L337" s="16"/>
      <c r="M337" s="16"/>
      <c r="N337" s="16"/>
      <c r="O337" s="16"/>
      <c r="P337" s="16"/>
      <c r="Q337" s="16"/>
      <c r="R337" s="16"/>
      <c r="S337" s="16"/>
      <c r="T337" s="16"/>
      <c r="U337" s="16"/>
      <c r="V337" s="16"/>
      <c r="W337" s="16"/>
      <c r="X337" s="16"/>
      <c r="Y337" s="16"/>
      <c r="Z337" s="16"/>
      <c r="AA337" s="16"/>
      <c r="AB337" s="16"/>
      <c r="AC337" s="16"/>
    </row>
    <row r="338">
      <c r="A338" s="22" t="str">
        <f t="array" ref="A338">IF(E338="","",IFERROR(INDEX(CONFIGURACION!C:C,MATCH(E338,CONFIGURACION!E:E,0)),""))
</f>
        <v/>
      </c>
      <c r="B338" s="22" t="str">
        <f t="array" ref="B338">IF(E338="","",IFERROR(INDEX(CONFIGURACION!D:D,MATCH(E338,CONFIGURACION!E:E,0)),""))
</f>
        <v/>
      </c>
      <c r="C338" s="31"/>
      <c r="D338" s="9"/>
      <c r="E338" s="6"/>
      <c r="F338" s="24"/>
      <c r="G338" s="9"/>
      <c r="H338" s="32"/>
      <c r="I338" s="33" t="str">
        <f>IFERROR(__xludf.DUMMYFUNCTION("IF(F338="""","""",LET(
  nombre, TRIM(F338),
  primer, REGEXEXTRACT(nombre, ""^\S+""),
  resto, TRIM(REGEXREPLACE(nombre, ""^\S+\s*"", """")),
  iniciales, IF(
    resto="""",
    """",
    TEXTJOIN("""",1,ARRAYFORMULA(LEFT(SPLIT(resto,"" ""),1) &amp; "".""))"&amp;"
  ),
  UPPER(primer) &amp; "" "" &amp; UPPER(iniciales)
))"),"")</f>
        <v/>
      </c>
      <c r="J338" s="33" t="str">
        <f>IFERROR(__xludf.DUMMYFUNCTION("IF(H338="""","""",IFERROR(
IF(REGEXMATCH(E338,""VELOCIDAD""),
   IF(H338&gt;=MAX(INDEX(BAREMOS!F:X,MATCH(1,(BAREMOS!A:A=A338)*(BAREMOS!B:B=B338)*(BAREMOS!C:C=C338)*(BAREMOS!D:D=D338),0),0)),1,
      IF(H338&lt;=MIN(INDEX(BAREMOS!F:X,MATCH(1,(BAREMOS!A:A=A338)*("&amp;"BAREMOS!B:B=B338)*(BAREMOS!C:C=C338)*(BAREMOS!D:D=D338),0),0)),19,
         MATCH(H338,INDEX(BAREMOS!F:X,MATCH(1,(BAREMOS!A:A=A338)*(BAREMOS!B:B=B338)*(BAREMOS!C:C=C338)*(BAREMOS!D:D=D338),0),0),-1)
      )
   ),
   IF(H338&lt;=MIN(INDEX(BAREMOS!F:X,MATCH(1,"&amp;"(BAREMOS!A:A=A338)*(BAREMOS!B:B=B338)*(BAREMOS!C:C=C338)*(BAREMOS!D:D=D338),0),0)),1,
      IF(H338&gt;=MAX(INDEX(BAREMOS!F:X,MATCH(1,(BAREMOS!A:A=A338)*(BAREMOS!B:B=B338)*(BAREMOS!C:C=C338)*(BAREMOS!D:D=D338),0),0)),19,
         MATCH(H338,INDEX(BAREMOS!F:X"&amp;",MATCH(1,(BAREMOS!A:A=A338)*(BAREMOS!B:B=B338)*(BAREMOS!C:C=C338)*(BAREMOS!D:D=D338),0),0),1)
      )
   )
)
,""""))
"),"")</f>
        <v/>
      </c>
      <c r="K338" s="34" t="str">
        <f t="shared" si="1"/>
        <v/>
      </c>
      <c r="L338" s="16"/>
      <c r="M338" s="16"/>
      <c r="N338" s="16"/>
      <c r="O338" s="16"/>
      <c r="P338" s="16"/>
      <c r="Q338" s="16"/>
      <c r="R338" s="16"/>
      <c r="S338" s="16"/>
      <c r="T338" s="16"/>
      <c r="U338" s="16"/>
      <c r="V338" s="16"/>
      <c r="W338" s="16"/>
      <c r="X338" s="16"/>
      <c r="Y338" s="16"/>
      <c r="Z338" s="16"/>
      <c r="AA338" s="16"/>
      <c r="AB338" s="16"/>
      <c r="AC338" s="16"/>
    </row>
    <row r="339">
      <c r="A339" s="22" t="str">
        <f t="array" ref="A339">IF(E339="","",IFERROR(INDEX(CONFIGURACION!C:C,MATCH(E339,CONFIGURACION!E:E,0)),""))
</f>
        <v/>
      </c>
      <c r="B339" s="22" t="str">
        <f t="array" ref="B339">IF(E339="","",IFERROR(INDEX(CONFIGURACION!D:D,MATCH(E339,CONFIGURACION!E:E,0)),""))
</f>
        <v/>
      </c>
      <c r="C339" s="31"/>
      <c r="D339" s="9"/>
      <c r="E339" s="6"/>
      <c r="F339" s="24"/>
      <c r="G339" s="9"/>
      <c r="H339" s="32"/>
      <c r="I339" s="33" t="str">
        <f>IFERROR(__xludf.DUMMYFUNCTION("IF(F339="""","""",LET(
  nombre, TRIM(F339),
  primer, REGEXEXTRACT(nombre, ""^\S+""),
  resto, TRIM(REGEXREPLACE(nombre, ""^\S+\s*"", """")),
  iniciales, IF(
    resto="""",
    """",
    TEXTJOIN("""",1,ARRAYFORMULA(LEFT(SPLIT(resto,"" ""),1) &amp; "".""))"&amp;"
  ),
  UPPER(primer) &amp; "" "" &amp; UPPER(iniciales)
))"),"")</f>
        <v/>
      </c>
      <c r="J339" s="33" t="str">
        <f>IFERROR(__xludf.DUMMYFUNCTION("IF(H339="""","""",IFERROR(
IF(REGEXMATCH(E339,""VELOCIDAD""),
   IF(H339&gt;=MAX(INDEX(BAREMOS!F:X,MATCH(1,(BAREMOS!A:A=A339)*(BAREMOS!B:B=B339)*(BAREMOS!C:C=C339)*(BAREMOS!D:D=D339),0),0)),1,
      IF(H339&lt;=MIN(INDEX(BAREMOS!F:X,MATCH(1,(BAREMOS!A:A=A339)*("&amp;"BAREMOS!B:B=B339)*(BAREMOS!C:C=C339)*(BAREMOS!D:D=D339),0),0)),19,
         MATCH(H339,INDEX(BAREMOS!F:X,MATCH(1,(BAREMOS!A:A=A339)*(BAREMOS!B:B=B339)*(BAREMOS!C:C=C339)*(BAREMOS!D:D=D339),0),0),-1)
      )
   ),
   IF(H339&lt;=MIN(INDEX(BAREMOS!F:X,MATCH(1,"&amp;"(BAREMOS!A:A=A339)*(BAREMOS!B:B=B339)*(BAREMOS!C:C=C339)*(BAREMOS!D:D=D339),0),0)),1,
      IF(H339&gt;=MAX(INDEX(BAREMOS!F:X,MATCH(1,(BAREMOS!A:A=A339)*(BAREMOS!B:B=B339)*(BAREMOS!C:C=C339)*(BAREMOS!D:D=D339),0),0)),19,
         MATCH(H339,INDEX(BAREMOS!F:X"&amp;",MATCH(1,(BAREMOS!A:A=A339)*(BAREMOS!B:B=B339)*(BAREMOS!C:C=C339)*(BAREMOS!D:D=D339),0),0),1)
      )
   )
)
,""""))
"),"")</f>
        <v/>
      </c>
      <c r="K339" s="34" t="str">
        <f t="shared" si="1"/>
        <v/>
      </c>
      <c r="L339" s="16"/>
      <c r="M339" s="16"/>
      <c r="N339" s="16"/>
      <c r="O339" s="16"/>
      <c r="P339" s="16"/>
      <c r="Q339" s="16"/>
      <c r="R339" s="16"/>
      <c r="S339" s="16"/>
      <c r="T339" s="16"/>
      <c r="U339" s="16"/>
      <c r="V339" s="16"/>
      <c r="W339" s="16"/>
      <c r="X339" s="16"/>
      <c r="Y339" s="16"/>
      <c r="Z339" s="16"/>
      <c r="AA339" s="16"/>
      <c r="AB339" s="16"/>
      <c r="AC339" s="16"/>
    </row>
    <row r="340">
      <c r="A340" s="22" t="str">
        <f t="array" ref="A340">IF(E340="","",IFERROR(INDEX(CONFIGURACION!C:C,MATCH(E340,CONFIGURACION!E:E,0)),""))
</f>
        <v/>
      </c>
      <c r="B340" s="22" t="str">
        <f t="array" ref="B340">IF(E340="","",IFERROR(INDEX(CONFIGURACION!D:D,MATCH(E340,CONFIGURACION!E:E,0)),""))
</f>
        <v/>
      </c>
      <c r="C340" s="31"/>
      <c r="D340" s="9"/>
      <c r="E340" s="6"/>
      <c r="F340" s="24"/>
      <c r="G340" s="9"/>
      <c r="H340" s="32"/>
      <c r="I340" s="33" t="str">
        <f>IFERROR(__xludf.DUMMYFUNCTION("IF(F340="""","""",LET(
  nombre, TRIM(F340),
  primer, REGEXEXTRACT(nombre, ""^\S+""),
  resto, TRIM(REGEXREPLACE(nombre, ""^\S+\s*"", """")),
  iniciales, IF(
    resto="""",
    """",
    TEXTJOIN("""",1,ARRAYFORMULA(LEFT(SPLIT(resto,"" ""),1) &amp; "".""))"&amp;"
  ),
  UPPER(primer) &amp; "" "" &amp; UPPER(iniciales)
))"),"")</f>
        <v/>
      </c>
      <c r="J340" s="33" t="str">
        <f>IFERROR(__xludf.DUMMYFUNCTION("IF(H340="""","""",IFERROR(
IF(REGEXMATCH(E340,""VELOCIDAD""),
   IF(H340&gt;=MAX(INDEX(BAREMOS!F:X,MATCH(1,(BAREMOS!A:A=A340)*(BAREMOS!B:B=B340)*(BAREMOS!C:C=C340)*(BAREMOS!D:D=D340),0),0)),1,
      IF(H340&lt;=MIN(INDEX(BAREMOS!F:X,MATCH(1,(BAREMOS!A:A=A340)*("&amp;"BAREMOS!B:B=B340)*(BAREMOS!C:C=C340)*(BAREMOS!D:D=D340),0),0)),19,
         MATCH(H340,INDEX(BAREMOS!F:X,MATCH(1,(BAREMOS!A:A=A340)*(BAREMOS!B:B=B340)*(BAREMOS!C:C=C340)*(BAREMOS!D:D=D340),0),0),-1)
      )
   ),
   IF(H340&lt;=MIN(INDEX(BAREMOS!F:X,MATCH(1,"&amp;"(BAREMOS!A:A=A340)*(BAREMOS!B:B=B340)*(BAREMOS!C:C=C340)*(BAREMOS!D:D=D340),0),0)),1,
      IF(H340&gt;=MAX(INDEX(BAREMOS!F:X,MATCH(1,(BAREMOS!A:A=A340)*(BAREMOS!B:B=B340)*(BAREMOS!C:C=C340)*(BAREMOS!D:D=D340),0),0)),19,
         MATCH(H340,INDEX(BAREMOS!F:X"&amp;",MATCH(1,(BAREMOS!A:A=A340)*(BAREMOS!B:B=B340)*(BAREMOS!C:C=C340)*(BAREMOS!D:D=D340),0),0),1)
      )
   )
)
,""""))
"),"")</f>
        <v/>
      </c>
      <c r="K340" s="34" t="str">
        <f t="shared" si="1"/>
        <v/>
      </c>
      <c r="L340" s="16"/>
      <c r="M340" s="16"/>
      <c r="N340" s="16"/>
      <c r="O340" s="16"/>
      <c r="P340" s="16"/>
      <c r="Q340" s="16"/>
      <c r="R340" s="16"/>
      <c r="S340" s="16"/>
      <c r="T340" s="16"/>
      <c r="U340" s="16"/>
      <c r="V340" s="16"/>
      <c r="W340" s="16"/>
      <c r="X340" s="16"/>
      <c r="Y340" s="16"/>
      <c r="Z340" s="16"/>
      <c r="AA340" s="16"/>
      <c r="AB340" s="16"/>
      <c r="AC340" s="16"/>
    </row>
    <row r="341">
      <c r="A341" s="22" t="str">
        <f t="array" ref="A341">IF(E341="","",IFERROR(INDEX(CONFIGURACION!C:C,MATCH(E341,CONFIGURACION!E:E,0)),""))
</f>
        <v/>
      </c>
      <c r="B341" s="22" t="str">
        <f t="array" ref="B341">IF(E341="","",IFERROR(INDEX(CONFIGURACION!D:D,MATCH(E341,CONFIGURACION!E:E,0)),""))
</f>
        <v/>
      </c>
      <c r="C341" s="31"/>
      <c r="D341" s="9"/>
      <c r="E341" s="6"/>
      <c r="F341" s="24"/>
      <c r="G341" s="9"/>
      <c r="H341" s="32"/>
      <c r="I341" s="33" t="str">
        <f>IFERROR(__xludf.DUMMYFUNCTION("IF(F341="""","""",LET(
  nombre, TRIM(F341),
  primer, REGEXEXTRACT(nombre, ""^\S+""),
  resto, TRIM(REGEXREPLACE(nombre, ""^\S+\s*"", """")),
  iniciales, IF(
    resto="""",
    """",
    TEXTJOIN("""",1,ARRAYFORMULA(LEFT(SPLIT(resto,"" ""),1) &amp; "".""))"&amp;"
  ),
  UPPER(primer) &amp; "" "" &amp; UPPER(iniciales)
))"),"")</f>
        <v/>
      </c>
      <c r="J341" s="33" t="str">
        <f>IFERROR(__xludf.DUMMYFUNCTION("IF(H341="""","""",IFERROR(
IF(REGEXMATCH(E341,""VELOCIDAD""),
   IF(H341&gt;=MAX(INDEX(BAREMOS!F:X,MATCH(1,(BAREMOS!A:A=A341)*(BAREMOS!B:B=B341)*(BAREMOS!C:C=C341)*(BAREMOS!D:D=D341),0),0)),1,
      IF(H341&lt;=MIN(INDEX(BAREMOS!F:X,MATCH(1,(BAREMOS!A:A=A341)*("&amp;"BAREMOS!B:B=B341)*(BAREMOS!C:C=C341)*(BAREMOS!D:D=D341),0),0)),19,
         MATCH(H341,INDEX(BAREMOS!F:X,MATCH(1,(BAREMOS!A:A=A341)*(BAREMOS!B:B=B341)*(BAREMOS!C:C=C341)*(BAREMOS!D:D=D341),0),0),-1)
      )
   ),
   IF(H341&lt;=MIN(INDEX(BAREMOS!F:X,MATCH(1,"&amp;"(BAREMOS!A:A=A341)*(BAREMOS!B:B=B341)*(BAREMOS!C:C=C341)*(BAREMOS!D:D=D341),0),0)),1,
      IF(H341&gt;=MAX(INDEX(BAREMOS!F:X,MATCH(1,(BAREMOS!A:A=A341)*(BAREMOS!B:B=B341)*(BAREMOS!C:C=C341)*(BAREMOS!D:D=D341),0),0)),19,
         MATCH(H341,INDEX(BAREMOS!F:X"&amp;",MATCH(1,(BAREMOS!A:A=A341)*(BAREMOS!B:B=B341)*(BAREMOS!C:C=C341)*(BAREMOS!D:D=D341),0),0),1)
      )
   )
)
,""""))
"),"")</f>
        <v/>
      </c>
      <c r="K341" s="34" t="str">
        <f t="shared" si="1"/>
        <v/>
      </c>
      <c r="L341" s="16"/>
      <c r="M341" s="16"/>
      <c r="N341" s="16"/>
      <c r="O341" s="16"/>
      <c r="P341" s="16"/>
      <c r="Q341" s="16"/>
      <c r="R341" s="16"/>
      <c r="S341" s="16"/>
      <c r="T341" s="16"/>
      <c r="U341" s="16"/>
      <c r="V341" s="16"/>
      <c r="W341" s="16"/>
      <c r="X341" s="16"/>
      <c r="Y341" s="16"/>
      <c r="Z341" s="16"/>
      <c r="AA341" s="16"/>
      <c r="AB341" s="16"/>
      <c r="AC341" s="16"/>
    </row>
    <row r="342">
      <c r="A342" s="22" t="str">
        <f t="array" ref="A342">IF(E342="","",IFERROR(INDEX(CONFIGURACION!C:C,MATCH(E342,CONFIGURACION!E:E,0)),""))
</f>
        <v/>
      </c>
      <c r="B342" s="22" t="str">
        <f t="array" ref="B342">IF(E342="","",IFERROR(INDEX(CONFIGURACION!D:D,MATCH(E342,CONFIGURACION!E:E,0)),""))
</f>
        <v/>
      </c>
      <c r="C342" s="31"/>
      <c r="D342" s="9"/>
      <c r="E342" s="6"/>
      <c r="F342" s="24"/>
      <c r="G342" s="9"/>
      <c r="H342" s="32"/>
      <c r="I342" s="33" t="str">
        <f>IFERROR(__xludf.DUMMYFUNCTION("IF(F342="""","""",LET(
  nombre, TRIM(F342),
  primer, REGEXEXTRACT(nombre, ""^\S+""),
  resto, TRIM(REGEXREPLACE(nombre, ""^\S+\s*"", """")),
  iniciales, IF(
    resto="""",
    """",
    TEXTJOIN("""",1,ARRAYFORMULA(LEFT(SPLIT(resto,"" ""),1) &amp; "".""))"&amp;"
  ),
  UPPER(primer) &amp; "" "" &amp; UPPER(iniciales)
))"),"")</f>
        <v/>
      </c>
      <c r="J342" s="33" t="str">
        <f>IFERROR(__xludf.DUMMYFUNCTION("IF(H342="""","""",IFERROR(
IF(REGEXMATCH(E342,""VELOCIDAD""),
   IF(H342&gt;=MAX(INDEX(BAREMOS!F:X,MATCH(1,(BAREMOS!A:A=A342)*(BAREMOS!B:B=B342)*(BAREMOS!C:C=C342)*(BAREMOS!D:D=D342),0),0)),1,
      IF(H342&lt;=MIN(INDEX(BAREMOS!F:X,MATCH(1,(BAREMOS!A:A=A342)*("&amp;"BAREMOS!B:B=B342)*(BAREMOS!C:C=C342)*(BAREMOS!D:D=D342),0),0)),19,
         MATCH(H342,INDEX(BAREMOS!F:X,MATCH(1,(BAREMOS!A:A=A342)*(BAREMOS!B:B=B342)*(BAREMOS!C:C=C342)*(BAREMOS!D:D=D342),0),0),-1)
      )
   ),
   IF(H342&lt;=MIN(INDEX(BAREMOS!F:X,MATCH(1,"&amp;"(BAREMOS!A:A=A342)*(BAREMOS!B:B=B342)*(BAREMOS!C:C=C342)*(BAREMOS!D:D=D342),0),0)),1,
      IF(H342&gt;=MAX(INDEX(BAREMOS!F:X,MATCH(1,(BAREMOS!A:A=A342)*(BAREMOS!B:B=B342)*(BAREMOS!C:C=C342)*(BAREMOS!D:D=D342),0),0)),19,
         MATCH(H342,INDEX(BAREMOS!F:X"&amp;",MATCH(1,(BAREMOS!A:A=A342)*(BAREMOS!B:B=B342)*(BAREMOS!C:C=C342)*(BAREMOS!D:D=D342),0),0),1)
      )
   )
)
,""""))
"),"")</f>
        <v/>
      </c>
      <c r="K342" s="34" t="str">
        <f t="shared" si="1"/>
        <v/>
      </c>
      <c r="L342" s="16"/>
      <c r="M342" s="16"/>
      <c r="N342" s="16"/>
      <c r="O342" s="16"/>
      <c r="P342" s="16"/>
      <c r="Q342" s="16"/>
      <c r="R342" s="16"/>
      <c r="S342" s="16"/>
      <c r="T342" s="16"/>
      <c r="U342" s="16"/>
      <c r="V342" s="16"/>
      <c r="W342" s="16"/>
      <c r="X342" s="16"/>
      <c r="Y342" s="16"/>
      <c r="Z342" s="16"/>
      <c r="AA342" s="16"/>
      <c r="AB342" s="16"/>
      <c r="AC342" s="16"/>
    </row>
    <row r="343">
      <c r="A343" s="22" t="str">
        <f t="array" ref="A343">IF(E343="","",IFERROR(INDEX(CONFIGURACION!C:C,MATCH(E343,CONFIGURACION!E:E,0)),""))
</f>
        <v/>
      </c>
      <c r="B343" s="22" t="str">
        <f t="array" ref="B343">IF(E343="","",IFERROR(INDEX(CONFIGURACION!D:D,MATCH(E343,CONFIGURACION!E:E,0)),""))
</f>
        <v/>
      </c>
      <c r="C343" s="31"/>
      <c r="D343" s="9"/>
      <c r="E343" s="6"/>
      <c r="F343" s="24"/>
      <c r="G343" s="9"/>
      <c r="H343" s="32"/>
      <c r="I343" s="33" t="str">
        <f>IFERROR(__xludf.DUMMYFUNCTION("IF(F343="""","""",LET(
  nombre, TRIM(F343),
  primer, REGEXEXTRACT(nombre, ""^\S+""),
  resto, TRIM(REGEXREPLACE(nombre, ""^\S+\s*"", """")),
  iniciales, IF(
    resto="""",
    """",
    TEXTJOIN("""",1,ARRAYFORMULA(LEFT(SPLIT(resto,"" ""),1) &amp; "".""))"&amp;"
  ),
  UPPER(primer) &amp; "" "" &amp; UPPER(iniciales)
))"),"")</f>
        <v/>
      </c>
      <c r="J343" s="33" t="str">
        <f>IFERROR(__xludf.DUMMYFUNCTION("IF(H343="""","""",IFERROR(
IF(REGEXMATCH(E343,""VELOCIDAD""),
   IF(H343&gt;=MAX(INDEX(BAREMOS!F:X,MATCH(1,(BAREMOS!A:A=A343)*(BAREMOS!B:B=B343)*(BAREMOS!C:C=C343)*(BAREMOS!D:D=D343),0),0)),1,
      IF(H343&lt;=MIN(INDEX(BAREMOS!F:X,MATCH(1,(BAREMOS!A:A=A343)*("&amp;"BAREMOS!B:B=B343)*(BAREMOS!C:C=C343)*(BAREMOS!D:D=D343),0),0)),19,
         MATCH(H343,INDEX(BAREMOS!F:X,MATCH(1,(BAREMOS!A:A=A343)*(BAREMOS!B:B=B343)*(BAREMOS!C:C=C343)*(BAREMOS!D:D=D343),0),0),-1)
      )
   ),
   IF(H343&lt;=MIN(INDEX(BAREMOS!F:X,MATCH(1,"&amp;"(BAREMOS!A:A=A343)*(BAREMOS!B:B=B343)*(BAREMOS!C:C=C343)*(BAREMOS!D:D=D343),0),0)),1,
      IF(H343&gt;=MAX(INDEX(BAREMOS!F:X,MATCH(1,(BAREMOS!A:A=A343)*(BAREMOS!B:B=B343)*(BAREMOS!C:C=C343)*(BAREMOS!D:D=D343),0),0)),19,
         MATCH(H343,INDEX(BAREMOS!F:X"&amp;",MATCH(1,(BAREMOS!A:A=A343)*(BAREMOS!B:B=B343)*(BAREMOS!C:C=C343)*(BAREMOS!D:D=D343),0),0),1)
      )
   )
)
,""""))
"),"")</f>
        <v/>
      </c>
      <c r="K343" s="34" t="str">
        <f t="shared" si="1"/>
        <v/>
      </c>
      <c r="L343" s="16"/>
      <c r="M343" s="16"/>
      <c r="N343" s="16"/>
      <c r="O343" s="16"/>
      <c r="P343" s="16"/>
      <c r="Q343" s="16"/>
      <c r="R343" s="16"/>
      <c r="S343" s="16"/>
      <c r="T343" s="16"/>
      <c r="U343" s="16"/>
      <c r="V343" s="16"/>
      <c r="W343" s="16"/>
      <c r="X343" s="16"/>
      <c r="Y343" s="16"/>
      <c r="Z343" s="16"/>
      <c r="AA343" s="16"/>
      <c r="AB343" s="16"/>
      <c r="AC343" s="16"/>
    </row>
    <row r="344">
      <c r="A344" s="22" t="str">
        <f t="array" ref="A344">IF(E344="","",IFERROR(INDEX(CONFIGURACION!C:C,MATCH(E344,CONFIGURACION!E:E,0)),""))
</f>
        <v/>
      </c>
      <c r="B344" s="22" t="str">
        <f t="array" ref="B344">IF(E344="","",IFERROR(INDEX(CONFIGURACION!D:D,MATCH(E344,CONFIGURACION!E:E,0)),""))
</f>
        <v/>
      </c>
      <c r="C344" s="31"/>
      <c r="D344" s="9"/>
      <c r="E344" s="6"/>
      <c r="F344" s="24"/>
      <c r="G344" s="9"/>
      <c r="H344" s="32"/>
      <c r="I344" s="33" t="str">
        <f>IFERROR(__xludf.DUMMYFUNCTION("IF(F344="""","""",LET(
  nombre, TRIM(F344),
  primer, REGEXEXTRACT(nombre, ""^\S+""),
  resto, TRIM(REGEXREPLACE(nombre, ""^\S+\s*"", """")),
  iniciales, IF(
    resto="""",
    """",
    TEXTJOIN("""",1,ARRAYFORMULA(LEFT(SPLIT(resto,"" ""),1) &amp; "".""))"&amp;"
  ),
  UPPER(primer) &amp; "" "" &amp; UPPER(iniciales)
))"),"")</f>
        <v/>
      </c>
      <c r="J344" s="33" t="str">
        <f>IFERROR(__xludf.DUMMYFUNCTION("IF(H344="""","""",IFERROR(
IF(REGEXMATCH(E344,""VELOCIDAD""),
   IF(H344&gt;=MAX(INDEX(BAREMOS!F:X,MATCH(1,(BAREMOS!A:A=A344)*(BAREMOS!B:B=B344)*(BAREMOS!C:C=C344)*(BAREMOS!D:D=D344),0),0)),1,
      IF(H344&lt;=MIN(INDEX(BAREMOS!F:X,MATCH(1,(BAREMOS!A:A=A344)*("&amp;"BAREMOS!B:B=B344)*(BAREMOS!C:C=C344)*(BAREMOS!D:D=D344),0),0)),19,
         MATCH(H344,INDEX(BAREMOS!F:X,MATCH(1,(BAREMOS!A:A=A344)*(BAREMOS!B:B=B344)*(BAREMOS!C:C=C344)*(BAREMOS!D:D=D344),0),0),-1)
      )
   ),
   IF(H344&lt;=MIN(INDEX(BAREMOS!F:X,MATCH(1,"&amp;"(BAREMOS!A:A=A344)*(BAREMOS!B:B=B344)*(BAREMOS!C:C=C344)*(BAREMOS!D:D=D344),0),0)),1,
      IF(H344&gt;=MAX(INDEX(BAREMOS!F:X,MATCH(1,(BAREMOS!A:A=A344)*(BAREMOS!B:B=B344)*(BAREMOS!C:C=C344)*(BAREMOS!D:D=D344),0),0)),19,
         MATCH(H344,INDEX(BAREMOS!F:X"&amp;",MATCH(1,(BAREMOS!A:A=A344)*(BAREMOS!B:B=B344)*(BAREMOS!C:C=C344)*(BAREMOS!D:D=D344),0),0),1)
      )
   )
)
,""""))
"),"")</f>
        <v/>
      </c>
      <c r="K344" s="34" t="str">
        <f t="shared" si="1"/>
        <v/>
      </c>
      <c r="L344" s="16"/>
      <c r="M344" s="16"/>
      <c r="N344" s="16"/>
      <c r="O344" s="16"/>
      <c r="P344" s="16"/>
      <c r="Q344" s="16"/>
      <c r="R344" s="16"/>
      <c r="S344" s="16"/>
      <c r="T344" s="16"/>
      <c r="U344" s="16"/>
      <c r="V344" s="16"/>
      <c r="W344" s="16"/>
      <c r="X344" s="16"/>
      <c r="Y344" s="16"/>
      <c r="Z344" s="16"/>
      <c r="AA344" s="16"/>
      <c r="AB344" s="16"/>
      <c r="AC344" s="16"/>
    </row>
    <row r="345">
      <c r="A345" s="22" t="str">
        <f t="array" ref="A345">IF(E345="","",IFERROR(INDEX(CONFIGURACION!C:C,MATCH(E345,CONFIGURACION!E:E,0)),""))
</f>
        <v/>
      </c>
      <c r="B345" s="22" t="str">
        <f t="array" ref="B345">IF(E345="","",IFERROR(INDEX(CONFIGURACION!D:D,MATCH(E345,CONFIGURACION!E:E,0)),""))
</f>
        <v/>
      </c>
      <c r="C345" s="31"/>
      <c r="D345" s="9"/>
      <c r="E345" s="6"/>
      <c r="F345" s="24"/>
      <c r="G345" s="9"/>
      <c r="H345" s="32"/>
      <c r="I345" s="33" t="str">
        <f>IFERROR(__xludf.DUMMYFUNCTION("IF(F345="""","""",LET(
  nombre, TRIM(F345),
  primer, REGEXEXTRACT(nombre, ""^\S+""),
  resto, TRIM(REGEXREPLACE(nombre, ""^\S+\s*"", """")),
  iniciales, IF(
    resto="""",
    """",
    TEXTJOIN("""",1,ARRAYFORMULA(LEFT(SPLIT(resto,"" ""),1) &amp; "".""))"&amp;"
  ),
  UPPER(primer) &amp; "" "" &amp; UPPER(iniciales)
))"),"")</f>
        <v/>
      </c>
      <c r="J345" s="33" t="str">
        <f>IFERROR(__xludf.DUMMYFUNCTION("IF(H345="""","""",IFERROR(
IF(REGEXMATCH(E345,""VELOCIDAD""),
   IF(H345&gt;=MAX(INDEX(BAREMOS!F:X,MATCH(1,(BAREMOS!A:A=A345)*(BAREMOS!B:B=B345)*(BAREMOS!C:C=C345)*(BAREMOS!D:D=D345),0),0)),1,
      IF(H345&lt;=MIN(INDEX(BAREMOS!F:X,MATCH(1,(BAREMOS!A:A=A345)*("&amp;"BAREMOS!B:B=B345)*(BAREMOS!C:C=C345)*(BAREMOS!D:D=D345),0),0)),19,
         MATCH(H345,INDEX(BAREMOS!F:X,MATCH(1,(BAREMOS!A:A=A345)*(BAREMOS!B:B=B345)*(BAREMOS!C:C=C345)*(BAREMOS!D:D=D345),0),0),-1)
      )
   ),
   IF(H345&lt;=MIN(INDEX(BAREMOS!F:X,MATCH(1,"&amp;"(BAREMOS!A:A=A345)*(BAREMOS!B:B=B345)*(BAREMOS!C:C=C345)*(BAREMOS!D:D=D345),0),0)),1,
      IF(H345&gt;=MAX(INDEX(BAREMOS!F:X,MATCH(1,(BAREMOS!A:A=A345)*(BAREMOS!B:B=B345)*(BAREMOS!C:C=C345)*(BAREMOS!D:D=D345),0),0)),19,
         MATCH(H345,INDEX(BAREMOS!F:X"&amp;",MATCH(1,(BAREMOS!A:A=A345)*(BAREMOS!B:B=B345)*(BAREMOS!C:C=C345)*(BAREMOS!D:D=D345),0),0),1)
      )
   )
)
,""""))
"),"")</f>
        <v/>
      </c>
      <c r="K345" s="34" t="str">
        <f t="shared" si="1"/>
        <v/>
      </c>
      <c r="L345" s="16"/>
      <c r="M345" s="16"/>
      <c r="N345" s="16"/>
      <c r="O345" s="16"/>
      <c r="P345" s="16"/>
      <c r="Q345" s="16"/>
      <c r="R345" s="16"/>
      <c r="S345" s="16"/>
      <c r="T345" s="16"/>
      <c r="U345" s="16"/>
      <c r="V345" s="16"/>
      <c r="W345" s="16"/>
      <c r="X345" s="16"/>
      <c r="Y345" s="16"/>
      <c r="Z345" s="16"/>
      <c r="AA345" s="16"/>
      <c r="AB345" s="16"/>
      <c r="AC345" s="16"/>
    </row>
    <row r="346">
      <c r="A346" s="22" t="str">
        <f t="array" ref="A346">IF(E346="","",IFERROR(INDEX(CONFIGURACION!C:C,MATCH(E346,CONFIGURACION!E:E,0)),""))
</f>
        <v/>
      </c>
      <c r="B346" s="22" t="str">
        <f t="array" ref="B346">IF(E346="","",IFERROR(INDEX(CONFIGURACION!D:D,MATCH(E346,CONFIGURACION!E:E,0)),""))
</f>
        <v/>
      </c>
      <c r="C346" s="31"/>
      <c r="D346" s="9"/>
      <c r="E346" s="6"/>
      <c r="F346" s="24"/>
      <c r="G346" s="9"/>
      <c r="H346" s="32"/>
      <c r="I346" s="33" t="str">
        <f>IFERROR(__xludf.DUMMYFUNCTION("IF(F346="""","""",LET(
  nombre, TRIM(F346),
  primer, REGEXEXTRACT(nombre, ""^\S+""),
  resto, TRIM(REGEXREPLACE(nombre, ""^\S+\s*"", """")),
  iniciales, IF(
    resto="""",
    """",
    TEXTJOIN("""",1,ARRAYFORMULA(LEFT(SPLIT(resto,"" ""),1) &amp; "".""))"&amp;"
  ),
  UPPER(primer) &amp; "" "" &amp; UPPER(iniciales)
))"),"")</f>
        <v/>
      </c>
      <c r="J346" s="33" t="str">
        <f>IFERROR(__xludf.DUMMYFUNCTION("IF(H346="""","""",IFERROR(
IF(REGEXMATCH(E346,""VELOCIDAD""),
   IF(H346&gt;=MAX(INDEX(BAREMOS!F:X,MATCH(1,(BAREMOS!A:A=A346)*(BAREMOS!B:B=B346)*(BAREMOS!C:C=C346)*(BAREMOS!D:D=D346),0),0)),1,
      IF(H346&lt;=MIN(INDEX(BAREMOS!F:X,MATCH(1,(BAREMOS!A:A=A346)*("&amp;"BAREMOS!B:B=B346)*(BAREMOS!C:C=C346)*(BAREMOS!D:D=D346),0),0)),19,
         MATCH(H346,INDEX(BAREMOS!F:X,MATCH(1,(BAREMOS!A:A=A346)*(BAREMOS!B:B=B346)*(BAREMOS!C:C=C346)*(BAREMOS!D:D=D346),0),0),-1)
      )
   ),
   IF(H346&lt;=MIN(INDEX(BAREMOS!F:X,MATCH(1,"&amp;"(BAREMOS!A:A=A346)*(BAREMOS!B:B=B346)*(BAREMOS!C:C=C346)*(BAREMOS!D:D=D346),0),0)),1,
      IF(H346&gt;=MAX(INDEX(BAREMOS!F:X,MATCH(1,(BAREMOS!A:A=A346)*(BAREMOS!B:B=B346)*(BAREMOS!C:C=C346)*(BAREMOS!D:D=D346),0),0)),19,
         MATCH(H346,INDEX(BAREMOS!F:X"&amp;",MATCH(1,(BAREMOS!A:A=A346)*(BAREMOS!B:B=B346)*(BAREMOS!C:C=C346)*(BAREMOS!D:D=D346),0),0),1)
      )
   )
)
,""""))
"),"")</f>
        <v/>
      </c>
      <c r="K346" s="34" t="str">
        <f t="shared" si="1"/>
        <v/>
      </c>
      <c r="L346" s="16"/>
      <c r="M346" s="16"/>
      <c r="N346" s="16"/>
      <c r="O346" s="16"/>
      <c r="P346" s="16"/>
      <c r="Q346" s="16"/>
      <c r="R346" s="16"/>
      <c r="S346" s="16"/>
      <c r="T346" s="16"/>
      <c r="U346" s="16"/>
      <c r="V346" s="16"/>
      <c r="W346" s="16"/>
      <c r="X346" s="16"/>
      <c r="Y346" s="16"/>
      <c r="Z346" s="16"/>
      <c r="AA346" s="16"/>
      <c r="AB346" s="16"/>
      <c r="AC346" s="16"/>
    </row>
    <row r="347">
      <c r="A347" s="22" t="str">
        <f t="array" ref="A347">IF(E347="","",IFERROR(INDEX(CONFIGURACION!C:C,MATCH(E347,CONFIGURACION!E:E,0)),""))
</f>
        <v/>
      </c>
      <c r="B347" s="22" t="str">
        <f t="array" ref="B347">IF(E347="","",IFERROR(INDEX(CONFIGURACION!D:D,MATCH(E347,CONFIGURACION!E:E,0)),""))
</f>
        <v/>
      </c>
      <c r="C347" s="31"/>
      <c r="D347" s="9"/>
      <c r="E347" s="6"/>
      <c r="F347" s="24"/>
      <c r="G347" s="9"/>
      <c r="H347" s="32"/>
      <c r="I347" s="33" t="str">
        <f>IFERROR(__xludf.DUMMYFUNCTION("IF(F347="""","""",LET(
  nombre, TRIM(F347),
  primer, REGEXEXTRACT(nombre, ""^\S+""),
  resto, TRIM(REGEXREPLACE(nombre, ""^\S+\s*"", """")),
  iniciales, IF(
    resto="""",
    """",
    TEXTJOIN("""",1,ARRAYFORMULA(LEFT(SPLIT(resto,"" ""),1) &amp; "".""))"&amp;"
  ),
  UPPER(primer) &amp; "" "" &amp; UPPER(iniciales)
))"),"")</f>
        <v/>
      </c>
      <c r="J347" s="33" t="str">
        <f>IFERROR(__xludf.DUMMYFUNCTION("IF(H347="""","""",IFERROR(
IF(REGEXMATCH(E347,""VELOCIDAD""),
   IF(H347&gt;=MAX(INDEX(BAREMOS!F:X,MATCH(1,(BAREMOS!A:A=A347)*(BAREMOS!B:B=B347)*(BAREMOS!C:C=C347)*(BAREMOS!D:D=D347),0),0)),1,
      IF(H347&lt;=MIN(INDEX(BAREMOS!F:X,MATCH(1,(BAREMOS!A:A=A347)*("&amp;"BAREMOS!B:B=B347)*(BAREMOS!C:C=C347)*(BAREMOS!D:D=D347),0),0)),19,
         MATCH(H347,INDEX(BAREMOS!F:X,MATCH(1,(BAREMOS!A:A=A347)*(BAREMOS!B:B=B347)*(BAREMOS!C:C=C347)*(BAREMOS!D:D=D347),0),0),-1)
      )
   ),
   IF(H347&lt;=MIN(INDEX(BAREMOS!F:X,MATCH(1,"&amp;"(BAREMOS!A:A=A347)*(BAREMOS!B:B=B347)*(BAREMOS!C:C=C347)*(BAREMOS!D:D=D347),0),0)),1,
      IF(H347&gt;=MAX(INDEX(BAREMOS!F:X,MATCH(1,(BAREMOS!A:A=A347)*(BAREMOS!B:B=B347)*(BAREMOS!C:C=C347)*(BAREMOS!D:D=D347),0),0)),19,
         MATCH(H347,INDEX(BAREMOS!F:X"&amp;",MATCH(1,(BAREMOS!A:A=A347)*(BAREMOS!B:B=B347)*(BAREMOS!C:C=C347)*(BAREMOS!D:D=D347),0),0),1)
      )
   )
)
,""""))
"),"")</f>
        <v/>
      </c>
      <c r="K347" s="34" t="str">
        <f t="shared" si="1"/>
        <v/>
      </c>
      <c r="L347" s="16"/>
      <c r="M347" s="16"/>
      <c r="N347" s="16"/>
      <c r="O347" s="16"/>
      <c r="P347" s="16"/>
      <c r="Q347" s="16"/>
      <c r="R347" s="16"/>
      <c r="S347" s="16"/>
      <c r="T347" s="16"/>
      <c r="U347" s="16"/>
      <c r="V347" s="16"/>
      <c r="W347" s="16"/>
      <c r="X347" s="16"/>
      <c r="Y347" s="16"/>
      <c r="Z347" s="16"/>
      <c r="AA347" s="16"/>
      <c r="AB347" s="16"/>
      <c r="AC347" s="16"/>
    </row>
    <row r="348">
      <c r="A348" s="22" t="str">
        <f t="array" ref="A348">IF(E348="","",IFERROR(INDEX(CONFIGURACION!C:C,MATCH(E348,CONFIGURACION!E:E,0)),""))
</f>
        <v/>
      </c>
      <c r="B348" s="22" t="str">
        <f t="array" ref="B348">IF(E348="","",IFERROR(INDEX(CONFIGURACION!D:D,MATCH(E348,CONFIGURACION!E:E,0)),""))
</f>
        <v/>
      </c>
      <c r="C348" s="31"/>
      <c r="D348" s="9"/>
      <c r="E348" s="6"/>
      <c r="F348" s="24"/>
      <c r="G348" s="9"/>
      <c r="H348" s="32"/>
      <c r="I348" s="33" t="str">
        <f>IFERROR(__xludf.DUMMYFUNCTION("IF(F348="""","""",LET(
  nombre, TRIM(F348),
  primer, REGEXEXTRACT(nombre, ""^\S+""),
  resto, TRIM(REGEXREPLACE(nombre, ""^\S+\s*"", """")),
  iniciales, IF(
    resto="""",
    """",
    TEXTJOIN("""",1,ARRAYFORMULA(LEFT(SPLIT(resto,"" ""),1) &amp; "".""))"&amp;"
  ),
  UPPER(primer) &amp; "" "" &amp; UPPER(iniciales)
))"),"")</f>
        <v/>
      </c>
      <c r="J348" s="33" t="str">
        <f>IFERROR(__xludf.DUMMYFUNCTION("IF(H348="""","""",IFERROR(
IF(REGEXMATCH(E348,""VELOCIDAD""),
   IF(H348&gt;=MAX(INDEX(BAREMOS!F:X,MATCH(1,(BAREMOS!A:A=A348)*(BAREMOS!B:B=B348)*(BAREMOS!C:C=C348)*(BAREMOS!D:D=D348),0),0)),1,
      IF(H348&lt;=MIN(INDEX(BAREMOS!F:X,MATCH(1,(BAREMOS!A:A=A348)*("&amp;"BAREMOS!B:B=B348)*(BAREMOS!C:C=C348)*(BAREMOS!D:D=D348),0),0)),19,
         MATCH(H348,INDEX(BAREMOS!F:X,MATCH(1,(BAREMOS!A:A=A348)*(BAREMOS!B:B=B348)*(BAREMOS!C:C=C348)*(BAREMOS!D:D=D348),0),0),-1)
      )
   ),
   IF(H348&lt;=MIN(INDEX(BAREMOS!F:X,MATCH(1,"&amp;"(BAREMOS!A:A=A348)*(BAREMOS!B:B=B348)*(BAREMOS!C:C=C348)*(BAREMOS!D:D=D348),0),0)),1,
      IF(H348&gt;=MAX(INDEX(BAREMOS!F:X,MATCH(1,(BAREMOS!A:A=A348)*(BAREMOS!B:B=B348)*(BAREMOS!C:C=C348)*(BAREMOS!D:D=D348),0),0)),19,
         MATCH(H348,INDEX(BAREMOS!F:X"&amp;",MATCH(1,(BAREMOS!A:A=A348)*(BAREMOS!B:B=B348)*(BAREMOS!C:C=C348)*(BAREMOS!D:D=D348),0),0),1)
      )
   )
)
,""""))
"),"")</f>
        <v/>
      </c>
      <c r="K348" s="34" t="str">
        <f t="shared" si="1"/>
        <v/>
      </c>
      <c r="L348" s="16"/>
      <c r="M348" s="16"/>
      <c r="N348" s="16"/>
      <c r="O348" s="16"/>
      <c r="P348" s="16"/>
      <c r="Q348" s="16"/>
      <c r="R348" s="16"/>
      <c r="S348" s="16"/>
      <c r="T348" s="16"/>
      <c r="U348" s="16"/>
      <c r="V348" s="16"/>
      <c r="W348" s="16"/>
      <c r="X348" s="16"/>
      <c r="Y348" s="16"/>
      <c r="Z348" s="16"/>
      <c r="AA348" s="16"/>
      <c r="AB348" s="16"/>
      <c r="AC348" s="16"/>
    </row>
    <row r="349">
      <c r="A349" s="22" t="str">
        <f t="array" ref="A349">IF(E349="","",IFERROR(INDEX(CONFIGURACION!C:C,MATCH(E349,CONFIGURACION!E:E,0)),""))
</f>
        <v/>
      </c>
      <c r="B349" s="22" t="str">
        <f t="array" ref="B349">IF(E349="","",IFERROR(INDEX(CONFIGURACION!D:D,MATCH(E349,CONFIGURACION!E:E,0)),""))
</f>
        <v/>
      </c>
      <c r="C349" s="31"/>
      <c r="D349" s="9"/>
      <c r="E349" s="6"/>
      <c r="F349" s="24"/>
      <c r="G349" s="9"/>
      <c r="H349" s="32"/>
      <c r="I349" s="33" t="str">
        <f>IFERROR(__xludf.DUMMYFUNCTION("IF(F349="""","""",LET(
  nombre, TRIM(F349),
  primer, REGEXEXTRACT(nombre, ""^\S+""),
  resto, TRIM(REGEXREPLACE(nombre, ""^\S+\s*"", """")),
  iniciales, IF(
    resto="""",
    """",
    TEXTJOIN("""",1,ARRAYFORMULA(LEFT(SPLIT(resto,"" ""),1) &amp; "".""))"&amp;"
  ),
  UPPER(primer) &amp; "" "" &amp; UPPER(iniciales)
))"),"")</f>
        <v/>
      </c>
      <c r="J349" s="33" t="str">
        <f>IFERROR(__xludf.DUMMYFUNCTION("IF(H349="""","""",IFERROR(
IF(REGEXMATCH(E349,""VELOCIDAD""),
   IF(H349&gt;=MAX(INDEX(BAREMOS!F:X,MATCH(1,(BAREMOS!A:A=A349)*(BAREMOS!B:B=B349)*(BAREMOS!C:C=C349)*(BAREMOS!D:D=D349),0),0)),1,
      IF(H349&lt;=MIN(INDEX(BAREMOS!F:X,MATCH(1,(BAREMOS!A:A=A349)*("&amp;"BAREMOS!B:B=B349)*(BAREMOS!C:C=C349)*(BAREMOS!D:D=D349),0),0)),19,
         MATCH(H349,INDEX(BAREMOS!F:X,MATCH(1,(BAREMOS!A:A=A349)*(BAREMOS!B:B=B349)*(BAREMOS!C:C=C349)*(BAREMOS!D:D=D349),0),0),-1)
      )
   ),
   IF(H349&lt;=MIN(INDEX(BAREMOS!F:X,MATCH(1,"&amp;"(BAREMOS!A:A=A349)*(BAREMOS!B:B=B349)*(BAREMOS!C:C=C349)*(BAREMOS!D:D=D349),0),0)),1,
      IF(H349&gt;=MAX(INDEX(BAREMOS!F:X,MATCH(1,(BAREMOS!A:A=A349)*(BAREMOS!B:B=B349)*(BAREMOS!C:C=C349)*(BAREMOS!D:D=D349),0),0)),19,
         MATCH(H349,INDEX(BAREMOS!F:X"&amp;",MATCH(1,(BAREMOS!A:A=A349)*(BAREMOS!B:B=B349)*(BAREMOS!C:C=C349)*(BAREMOS!D:D=D349),0),0),1)
      )
   )
)
,""""))
"),"")</f>
        <v/>
      </c>
      <c r="K349" s="34" t="str">
        <f t="shared" si="1"/>
        <v/>
      </c>
      <c r="L349" s="16"/>
      <c r="M349" s="16"/>
      <c r="N349" s="16"/>
      <c r="O349" s="16"/>
      <c r="P349" s="16"/>
      <c r="Q349" s="16"/>
      <c r="R349" s="16"/>
      <c r="S349" s="16"/>
      <c r="T349" s="16"/>
      <c r="U349" s="16"/>
      <c r="V349" s="16"/>
      <c r="W349" s="16"/>
      <c r="X349" s="16"/>
      <c r="Y349" s="16"/>
      <c r="Z349" s="16"/>
      <c r="AA349" s="16"/>
      <c r="AB349" s="16"/>
      <c r="AC349" s="16"/>
    </row>
    <row r="350">
      <c r="A350" s="22" t="str">
        <f t="array" ref="A350">IF(E350="","",IFERROR(INDEX(CONFIGURACION!C:C,MATCH(E350,CONFIGURACION!E:E,0)),""))
</f>
        <v/>
      </c>
      <c r="B350" s="22" t="str">
        <f t="array" ref="B350">IF(E350="","",IFERROR(INDEX(CONFIGURACION!D:D,MATCH(E350,CONFIGURACION!E:E,0)),""))
</f>
        <v/>
      </c>
      <c r="C350" s="31"/>
      <c r="D350" s="9"/>
      <c r="E350" s="6"/>
      <c r="F350" s="24"/>
      <c r="G350" s="9"/>
      <c r="H350" s="32"/>
      <c r="I350" s="33" t="str">
        <f>IFERROR(__xludf.DUMMYFUNCTION("IF(F350="""","""",LET(
  nombre, TRIM(F350),
  primer, REGEXEXTRACT(nombre, ""^\S+""),
  resto, TRIM(REGEXREPLACE(nombre, ""^\S+\s*"", """")),
  iniciales, IF(
    resto="""",
    """",
    TEXTJOIN("""",1,ARRAYFORMULA(LEFT(SPLIT(resto,"" ""),1) &amp; "".""))"&amp;"
  ),
  UPPER(primer) &amp; "" "" &amp; UPPER(iniciales)
))"),"")</f>
        <v/>
      </c>
      <c r="J350" s="33" t="str">
        <f>IFERROR(__xludf.DUMMYFUNCTION("IF(H350="""","""",IFERROR(
IF(REGEXMATCH(E350,""VELOCIDAD""),
   IF(H350&gt;=MAX(INDEX(BAREMOS!F:X,MATCH(1,(BAREMOS!A:A=A350)*(BAREMOS!B:B=B350)*(BAREMOS!C:C=C350)*(BAREMOS!D:D=D350),0),0)),1,
      IF(H350&lt;=MIN(INDEX(BAREMOS!F:X,MATCH(1,(BAREMOS!A:A=A350)*("&amp;"BAREMOS!B:B=B350)*(BAREMOS!C:C=C350)*(BAREMOS!D:D=D350),0),0)),19,
         MATCH(H350,INDEX(BAREMOS!F:X,MATCH(1,(BAREMOS!A:A=A350)*(BAREMOS!B:B=B350)*(BAREMOS!C:C=C350)*(BAREMOS!D:D=D350),0),0),-1)
      )
   ),
   IF(H350&lt;=MIN(INDEX(BAREMOS!F:X,MATCH(1,"&amp;"(BAREMOS!A:A=A350)*(BAREMOS!B:B=B350)*(BAREMOS!C:C=C350)*(BAREMOS!D:D=D350),0),0)),1,
      IF(H350&gt;=MAX(INDEX(BAREMOS!F:X,MATCH(1,(BAREMOS!A:A=A350)*(BAREMOS!B:B=B350)*(BAREMOS!C:C=C350)*(BAREMOS!D:D=D350),0),0)),19,
         MATCH(H350,INDEX(BAREMOS!F:X"&amp;",MATCH(1,(BAREMOS!A:A=A350)*(BAREMOS!B:B=B350)*(BAREMOS!C:C=C350)*(BAREMOS!D:D=D350),0),0),1)
      )
   )
)
,""""))
"),"")</f>
        <v/>
      </c>
      <c r="K350" s="34" t="str">
        <f t="shared" si="1"/>
        <v/>
      </c>
      <c r="L350" s="16"/>
      <c r="M350" s="16"/>
      <c r="N350" s="16"/>
      <c r="O350" s="16"/>
      <c r="P350" s="16"/>
      <c r="Q350" s="16"/>
      <c r="R350" s="16"/>
      <c r="S350" s="16"/>
      <c r="T350" s="16"/>
      <c r="U350" s="16"/>
      <c r="V350" s="16"/>
      <c r="W350" s="16"/>
      <c r="X350" s="16"/>
      <c r="Y350" s="16"/>
      <c r="Z350" s="16"/>
      <c r="AA350" s="16"/>
      <c r="AB350" s="16"/>
      <c r="AC350" s="16"/>
    </row>
    <row r="351">
      <c r="A351" s="22" t="str">
        <f t="array" ref="A351">IF(E351="","",IFERROR(INDEX(CONFIGURACION!C:C,MATCH(E351,CONFIGURACION!E:E,0)),""))
</f>
        <v/>
      </c>
      <c r="B351" s="22" t="str">
        <f t="array" ref="B351">IF(E351="","",IFERROR(INDEX(CONFIGURACION!D:D,MATCH(E351,CONFIGURACION!E:E,0)),""))
</f>
        <v/>
      </c>
      <c r="C351" s="31"/>
      <c r="D351" s="9"/>
      <c r="E351" s="6"/>
      <c r="F351" s="24"/>
      <c r="G351" s="9"/>
      <c r="H351" s="32"/>
      <c r="I351" s="33" t="str">
        <f>IFERROR(__xludf.DUMMYFUNCTION("IF(F351="""","""",LET(
  nombre, TRIM(F351),
  primer, REGEXEXTRACT(nombre, ""^\S+""),
  resto, TRIM(REGEXREPLACE(nombre, ""^\S+\s*"", """")),
  iniciales, IF(
    resto="""",
    """",
    TEXTJOIN("""",1,ARRAYFORMULA(LEFT(SPLIT(resto,"" ""),1) &amp; "".""))"&amp;"
  ),
  UPPER(primer) &amp; "" "" &amp; UPPER(iniciales)
))"),"")</f>
        <v/>
      </c>
      <c r="J351" s="33" t="str">
        <f>IFERROR(__xludf.DUMMYFUNCTION("IF(H351="""","""",IFERROR(
IF(REGEXMATCH(E351,""VELOCIDAD""),
   IF(H351&gt;=MAX(INDEX(BAREMOS!F:X,MATCH(1,(BAREMOS!A:A=A351)*(BAREMOS!B:B=B351)*(BAREMOS!C:C=C351)*(BAREMOS!D:D=D351),0),0)),1,
      IF(H351&lt;=MIN(INDEX(BAREMOS!F:X,MATCH(1,(BAREMOS!A:A=A351)*("&amp;"BAREMOS!B:B=B351)*(BAREMOS!C:C=C351)*(BAREMOS!D:D=D351),0),0)),19,
         MATCH(H351,INDEX(BAREMOS!F:X,MATCH(1,(BAREMOS!A:A=A351)*(BAREMOS!B:B=B351)*(BAREMOS!C:C=C351)*(BAREMOS!D:D=D351),0),0),-1)
      )
   ),
   IF(H351&lt;=MIN(INDEX(BAREMOS!F:X,MATCH(1,"&amp;"(BAREMOS!A:A=A351)*(BAREMOS!B:B=B351)*(BAREMOS!C:C=C351)*(BAREMOS!D:D=D351),0),0)),1,
      IF(H351&gt;=MAX(INDEX(BAREMOS!F:X,MATCH(1,(BAREMOS!A:A=A351)*(BAREMOS!B:B=B351)*(BAREMOS!C:C=C351)*(BAREMOS!D:D=D351),0),0)),19,
         MATCH(H351,INDEX(BAREMOS!F:X"&amp;",MATCH(1,(BAREMOS!A:A=A351)*(BAREMOS!B:B=B351)*(BAREMOS!C:C=C351)*(BAREMOS!D:D=D351),0),0),1)
      )
   )
)
,""""))
"),"")</f>
        <v/>
      </c>
      <c r="K351" s="34" t="str">
        <f t="shared" si="1"/>
        <v/>
      </c>
      <c r="L351" s="16"/>
      <c r="M351" s="16"/>
      <c r="N351" s="16"/>
      <c r="O351" s="16"/>
      <c r="P351" s="16"/>
      <c r="Q351" s="16"/>
      <c r="R351" s="16"/>
      <c r="S351" s="16"/>
      <c r="T351" s="16"/>
      <c r="U351" s="16"/>
      <c r="V351" s="16"/>
      <c r="W351" s="16"/>
      <c r="X351" s="16"/>
      <c r="Y351" s="16"/>
      <c r="Z351" s="16"/>
      <c r="AA351" s="16"/>
      <c r="AB351" s="16"/>
      <c r="AC351" s="16"/>
    </row>
    <row r="352">
      <c r="A352" s="22" t="str">
        <f t="array" ref="A352">IF(E352="","",IFERROR(INDEX(CONFIGURACION!C:C,MATCH(E352,CONFIGURACION!E:E,0)),""))
</f>
        <v/>
      </c>
      <c r="B352" s="22" t="str">
        <f t="array" ref="B352">IF(E352="","",IFERROR(INDEX(CONFIGURACION!D:D,MATCH(E352,CONFIGURACION!E:E,0)),""))
</f>
        <v/>
      </c>
      <c r="C352" s="31"/>
      <c r="D352" s="9"/>
      <c r="E352" s="6"/>
      <c r="F352" s="24"/>
      <c r="G352" s="9"/>
      <c r="H352" s="32"/>
      <c r="I352" s="33" t="str">
        <f>IFERROR(__xludf.DUMMYFUNCTION("IF(F352="""","""",LET(
  nombre, TRIM(F352),
  primer, REGEXEXTRACT(nombre, ""^\S+""),
  resto, TRIM(REGEXREPLACE(nombre, ""^\S+\s*"", """")),
  iniciales, IF(
    resto="""",
    """",
    TEXTJOIN("""",1,ARRAYFORMULA(LEFT(SPLIT(resto,"" ""),1) &amp; "".""))"&amp;"
  ),
  UPPER(primer) &amp; "" "" &amp; UPPER(iniciales)
))"),"")</f>
        <v/>
      </c>
      <c r="J352" s="33" t="str">
        <f>IFERROR(__xludf.DUMMYFUNCTION("IF(H352="""","""",IFERROR(
IF(REGEXMATCH(E352,""VELOCIDAD""),
   IF(H352&gt;=MAX(INDEX(BAREMOS!F:X,MATCH(1,(BAREMOS!A:A=A352)*(BAREMOS!B:B=B352)*(BAREMOS!C:C=C352)*(BAREMOS!D:D=D352),0),0)),1,
      IF(H352&lt;=MIN(INDEX(BAREMOS!F:X,MATCH(1,(BAREMOS!A:A=A352)*("&amp;"BAREMOS!B:B=B352)*(BAREMOS!C:C=C352)*(BAREMOS!D:D=D352),0),0)),19,
         MATCH(H352,INDEX(BAREMOS!F:X,MATCH(1,(BAREMOS!A:A=A352)*(BAREMOS!B:B=B352)*(BAREMOS!C:C=C352)*(BAREMOS!D:D=D352),0),0),-1)
      )
   ),
   IF(H352&lt;=MIN(INDEX(BAREMOS!F:X,MATCH(1,"&amp;"(BAREMOS!A:A=A352)*(BAREMOS!B:B=B352)*(BAREMOS!C:C=C352)*(BAREMOS!D:D=D352),0),0)),1,
      IF(H352&gt;=MAX(INDEX(BAREMOS!F:X,MATCH(1,(BAREMOS!A:A=A352)*(BAREMOS!B:B=B352)*(BAREMOS!C:C=C352)*(BAREMOS!D:D=D352),0),0)),19,
         MATCH(H352,INDEX(BAREMOS!F:X"&amp;",MATCH(1,(BAREMOS!A:A=A352)*(BAREMOS!B:B=B352)*(BAREMOS!C:C=C352)*(BAREMOS!D:D=D352),0),0),1)
      )
   )
)
,""""))
"),"")</f>
        <v/>
      </c>
      <c r="K352" s="34" t="str">
        <f t="shared" si="1"/>
        <v/>
      </c>
      <c r="L352" s="16"/>
      <c r="M352" s="16"/>
      <c r="N352" s="16"/>
      <c r="O352" s="16"/>
      <c r="P352" s="16"/>
      <c r="Q352" s="16"/>
      <c r="R352" s="16"/>
      <c r="S352" s="16"/>
      <c r="T352" s="16"/>
      <c r="U352" s="16"/>
      <c r="V352" s="16"/>
      <c r="W352" s="16"/>
      <c r="X352" s="16"/>
      <c r="Y352" s="16"/>
      <c r="Z352" s="16"/>
      <c r="AA352" s="16"/>
      <c r="AB352" s="16"/>
      <c r="AC352" s="16"/>
    </row>
    <row r="353">
      <c r="A353" s="22" t="str">
        <f t="array" ref="A353">IF(E353="","",IFERROR(INDEX(CONFIGURACION!C:C,MATCH(E353,CONFIGURACION!E:E,0)),""))
</f>
        <v/>
      </c>
      <c r="B353" s="22" t="str">
        <f t="array" ref="B353">IF(E353="","",IFERROR(INDEX(CONFIGURACION!D:D,MATCH(E353,CONFIGURACION!E:E,0)),""))
</f>
        <v/>
      </c>
      <c r="C353" s="31"/>
      <c r="D353" s="9"/>
      <c r="E353" s="6"/>
      <c r="F353" s="24"/>
      <c r="G353" s="9"/>
      <c r="H353" s="32"/>
      <c r="I353" s="33" t="str">
        <f>IFERROR(__xludf.DUMMYFUNCTION("IF(F353="""","""",LET(
  nombre, TRIM(F353),
  primer, REGEXEXTRACT(nombre, ""^\S+""),
  resto, TRIM(REGEXREPLACE(nombre, ""^\S+\s*"", """")),
  iniciales, IF(
    resto="""",
    """",
    TEXTJOIN("""",1,ARRAYFORMULA(LEFT(SPLIT(resto,"" ""),1) &amp; "".""))"&amp;"
  ),
  UPPER(primer) &amp; "" "" &amp; UPPER(iniciales)
))"),"")</f>
        <v/>
      </c>
      <c r="J353" s="33" t="str">
        <f>IFERROR(__xludf.DUMMYFUNCTION("IF(H353="""","""",IFERROR(
IF(REGEXMATCH(E353,""VELOCIDAD""),
   IF(H353&gt;=MAX(INDEX(BAREMOS!F:X,MATCH(1,(BAREMOS!A:A=A353)*(BAREMOS!B:B=B353)*(BAREMOS!C:C=C353)*(BAREMOS!D:D=D353),0),0)),1,
      IF(H353&lt;=MIN(INDEX(BAREMOS!F:X,MATCH(1,(BAREMOS!A:A=A353)*("&amp;"BAREMOS!B:B=B353)*(BAREMOS!C:C=C353)*(BAREMOS!D:D=D353),0),0)),19,
         MATCH(H353,INDEX(BAREMOS!F:X,MATCH(1,(BAREMOS!A:A=A353)*(BAREMOS!B:B=B353)*(BAREMOS!C:C=C353)*(BAREMOS!D:D=D353),0),0),-1)
      )
   ),
   IF(H353&lt;=MIN(INDEX(BAREMOS!F:X,MATCH(1,"&amp;"(BAREMOS!A:A=A353)*(BAREMOS!B:B=B353)*(BAREMOS!C:C=C353)*(BAREMOS!D:D=D353),0),0)),1,
      IF(H353&gt;=MAX(INDEX(BAREMOS!F:X,MATCH(1,(BAREMOS!A:A=A353)*(BAREMOS!B:B=B353)*(BAREMOS!C:C=C353)*(BAREMOS!D:D=D353),0),0)),19,
         MATCH(H353,INDEX(BAREMOS!F:X"&amp;",MATCH(1,(BAREMOS!A:A=A353)*(BAREMOS!B:B=B353)*(BAREMOS!C:C=C353)*(BAREMOS!D:D=D353),0),0),1)
      )
   )
)
,""""))
"),"")</f>
        <v/>
      </c>
      <c r="K353" s="34" t="str">
        <f t="shared" si="1"/>
        <v/>
      </c>
      <c r="L353" s="16"/>
      <c r="M353" s="16"/>
      <c r="N353" s="16"/>
      <c r="O353" s="16"/>
      <c r="P353" s="16"/>
      <c r="Q353" s="16"/>
      <c r="R353" s="16"/>
      <c r="S353" s="16"/>
      <c r="T353" s="16"/>
      <c r="U353" s="16"/>
      <c r="V353" s="16"/>
      <c r="W353" s="16"/>
      <c r="X353" s="16"/>
      <c r="Y353" s="16"/>
      <c r="Z353" s="16"/>
      <c r="AA353" s="16"/>
      <c r="AB353" s="16"/>
      <c r="AC353" s="16"/>
    </row>
    <row r="354">
      <c r="A354" s="22" t="str">
        <f t="array" ref="A354">IF(E354="","",IFERROR(INDEX(CONFIGURACION!C:C,MATCH(E354,CONFIGURACION!E:E,0)),""))
</f>
        <v/>
      </c>
      <c r="B354" s="22" t="str">
        <f t="array" ref="B354">IF(E354="","",IFERROR(INDEX(CONFIGURACION!D:D,MATCH(E354,CONFIGURACION!E:E,0)),""))
</f>
        <v/>
      </c>
      <c r="C354" s="31"/>
      <c r="D354" s="9"/>
      <c r="E354" s="6"/>
      <c r="F354" s="24"/>
      <c r="G354" s="9"/>
      <c r="H354" s="32"/>
      <c r="I354" s="33" t="str">
        <f>IFERROR(__xludf.DUMMYFUNCTION("IF(F354="""","""",LET(
  nombre, TRIM(F354),
  primer, REGEXEXTRACT(nombre, ""^\S+""),
  resto, TRIM(REGEXREPLACE(nombre, ""^\S+\s*"", """")),
  iniciales, IF(
    resto="""",
    """",
    TEXTJOIN("""",1,ARRAYFORMULA(LEFT(SPLIT(resto,"" ""),1) &amp; "".""))"&amp;"
  ),
  UPPER(primer) &amp; "" "" &amp; UPPER(iniciales)
))"),"")</f>
        <v/>
      </c>
      <c r="J354" s="33" t="str">
        <f>IFERROR(__xludf.DUMMYFUNCTION("IF(H354="""","""",IFERROR(
IF(REGEXMATCH(E354,""VELOCIDAD""),
   IF(H354&gt;=MAX(INDEX(BAREMOS!F:X,MATCH(1,(BAREMOS!A:A=A354)*(BAREMOS!B:B=B354)*(BAREMOS!C:C=C354)*(BAREMOS!D:D=D354),0),0)),1,
      IF(H354&lt;=MIN(INDEX(BAREMOS!F:X,MATCH(1,(BAREMOS!A:A=A354)*("&amp;"BAREMOS!B:B=B354)*(BAREMOS!C:C=C354)*(BAREMOS!D:D=D354),0),0)),19,
         MATCH(H354,INDEX(BAREMOS!F:X,MATCH(1,(BAREMOS!A:A=A354)*(BAREMOS!B:B=B354)*(BAREMOS!C:C=C354)*(BAREMOS!D:D=D354),0),0),-1)
      )
   ),
   IF(H354&lt;=MIN(INDEX(BAREMOS!F:X,MATCH(1,"&amp;"(BAREMOS!A:A=A354)*(BAREMOS!B:B=B354)*(BAREMOS!C:C=C354)*(BAREMOS!D:D=D354),0),0)),1,
      IF(H354&gt;=MAX(INDEX(BAREMOS!F:X,MATCH(1,(BAREMOS!A:A=A354)*(BAREMOS!B:B=B354)*(BAREMOS!C:C=C354)*(BAREMOS!D:D=D354),0),0)),19,
         MATCH(H354,INDEX(BAREMOS!F:X"&amp;",MATCH(1,(BAREMOS!A:A=A354)*(BAREMOS!B:B=B354)*(BAREMOS!C:C=C354)*(BAREMOS!D:D=D354),0),0),1)
      )
   )
)
,""""))
"),"")</f>
        <v/>
      </c>
      <c r="K354" s="34" t="str">
        <f t="shared" si="1"/>
        <v/>
      </c>
      <c r="L354" s="16"/>
      <c r="M354" s="16"/>
      <c r="N354" s="16"/>
      <c r="O354" s="16"/>
      <c r="P354" s="16"/>
      <c r="Q354" s="16"/>
      <c r="R354" s="16"/>
      <c r="S354" s="16"/>
      <c r="T354" s="16"/>
      <c r="U354" s="16"/>
      <c r="V354" s="16"/>
      <c r="W354" s="16"/>
      <c r="X354" s="16"/>
      <c r="Y354" s="16"/>
      <c r="Z354" s="16"/>
      <c r="AA354" s="16"/>
      <c r="AB354" s="16"/>
      <c r="AC354" s="16"/>
    </row>
    <row r="355">
      <c r="A355" s="22" t="str">
        <f t="array" ref="A355">IF(E355="","",IFERROR(INDEX(CONFIGURACION!C:C,MATCH(E355,CONFIGURACION!E:E,0)),""))
</f>
        <v/>
      </c>
      <c r="B355" s="22" t="str">
        <f t="array" ref="B355">IF(E355="","",IFERROR(INDEX(CONFIGURACION!D:D,MATCH(E355,CONFIGURACION!E:E,0)),""))
</f>
        <v/>
      </c>
      <c r="C355" s="31"/>
      <c r="D355" s="9"/>
      <c r="E355" s="6"/>
      <c r="F355" s="24"/>
      <c r="G355" s="9"/>
      <c r="H355" s="32"/>
      <c r="I355" s="33" t="str">
        <f>IFERROR(__xludf.DUMMYFUNCTION("IF(F355="""","""",LET(
  nombre, TRIM(F355),
  primer, REGEXEXTRACT(nombre, ""^\S+""),
  resto, TRIM(REGEXREPLACE(nombre, ""^\S+\s*"", """")),
  iniciales, IF(
    resto="""",
    """",
    TEXTJOIN("""",1,ARRAYFORMULA(LEFT(SPLIT(resto,"" ""),1) &amp; "".""))"&amp;"
  ),
  UPPER(primer) &amp; "" "" &amp; UPPER(iniciales)
))"),"")</f>
        <v/>
      </c>
      <c r="J355" s="33" t="str">
        <f>IFERROR(__xludf.DUMMYFUNCTION("IF(H355="""","""",IFERROR(
IF(REGEXMATCH(E355,""VELOCIDAD""),
   IF(H355&gt;=MAX(INDEX(BAREMOS!F:X,MATCH(1,(BAREMOS!A:A=A355)*(BAREMOS!B:B=B355)*(BAREMOS!C:C=C355)*(BAREMOS!D:D=D355),0),0)),1,
      IF(H355&lt;=MIN(INDEX(BAREMOS!F:X,MATCH(1,(BAREMOS!A:A=A355)*("&amp;"BAREMOS!B:B=B355)*(BAREMOS!C:C=C355)*(BAREMOS!D:D=D355),0),0)),19,
         MATCH(H355,INDEX(BAREMOS!F:X,MATCH(1,(BAREMOS!A:A=A355)*(BAREMOS!B:B=B355)*(BAREMOS!C:C=C355)*(BAREMOS!D:D=D355),0),0),-1)
      )
   ),
   IF(H355&lt;=MIN(INDEX(BAREMOS!F:X,MATCH(1,"&amp;"(BAREMOS!A:A=A355)*(BAREMOS!B:B=B355)*(BAREMOS!C:C=C355)*(BAREMOS!D:D=D355),0),0)),1,
      IF(H355&gt;=MAX(INDEX(BAREMOS!F:X,MATCH(1,(BAREMOS!A:A=A355)*(BAREMOS!B:B=B355)*(BAREMOS!C:C=C355)*(BAREMOS!D:D=D355),0),0)),19,
         MATCH(H355,INDEX(BAREMOS!F:X"&amp;",MATCH(1,(BAREMOS!A:A=A355)*(BAREMOS!B:B=B355)*(BAREMOS!C:C=C355)*(BAREMOS!D:D=D355),0),0),1)
      )
   )
)
,""""))
"),"")</f>
        <v/>
      </c>
      <c r="K355" s="34" t="str">
        <f t="shared" si="1"/>
        <v/>
      </c>
      <c r="L355" s="16"/>
      <c r="M355" s="16"/>
      <c r="N355" s="16"/>
      <c r="O355" s="16"/>
      <c r="P355" s="16"/>
      <c r="Q355" s="16"/>
      <c r="R355" s="16"/>
      <c r="S355" s="16"/>
      <c r="T355" s="16"/>
      <c r="U355" s="16"/>
      <c r="V355" s="16"/>
      <c r="W355" s="16"/>
      <c r="X355" s="16"/>
      <c r="Y355" s="16"/>
      <c r="Z355" s="16"/>
      <c r="AA355" s="16"/>
      <c r="AB355" s="16"/>
      <c r="AC355" s="16"/>
    </row>
    <row r="356">
      <c r="A356" s="22" t="str">
        <f t="array" ref="A356">IF(E356="","",IFERROR(INDEX(CONFIGURACION!C:C,MATCH(E356,CONFIGURACION!E:E,0)),""))
</f>
        <v/>
      </c>
      <c r="B356" s="22" t="str">
        <f t="array" ref="B356">IF(E356="","",IFERROR(INDEX(CONFIGURACION!D:D,MATCH(E356,CONFIGURACION!E:E,0)),""))
</f>
        <v/>
      </c>
      <c r="C356" s="31"/>
      <c r="D356" s="9"/>
      <c r="E356" s="6"/>
      <c r="F356" s="24"/>
      <c r="G356" s="9"/>
      <c r="H356" s="32"/>
      <c r="I356" s="33" t="str">
        <f>IFERROR(__xludf.DUMMYFUNCTION("IF(F356="""","""",LET(
  nombre, TRIM(F356),
  primer, REGEXEXTRACT(nombre, ""^\S+""),
  resto, TRIM(REGEXREPLACE(nombre, ""^\S+\s*"", """")),
  iniciales, IF(
    resto="""",
    """",
    TEXTJOIN("""",1,ARRAYFORMULA(LEFT(SPLIT(resto,"" ""),1) &amp; "".""))"&amp;"
  ),
  UPPER(primer) &amp; "" "" &amp; UPPER(iniciales)
))"),"")</f>
        <v/>
      </c>
      <c r="J356" s="33" t="str">
        <f>IFERROR(__xludf.DUMMYFUNCTION("IF(H356="""","""",IFERROR(
IF(REGEXMATCH(E356,""VELOCIDAD""),
   IF(H356&gt;=MAX(INDEX(BAREMOS!F:X,MATCH(1,(BAREMOS!A:A=A356)*(BAREMOS!B:B=B356)*(BAREMOS!C:C=C356)*(BAREMOS!D:D=D356),0),0)),1,
      IF(H356&lt;=MIN(INDEX(BAREMOS!F:X,MATCH(1,(BAREMOS!A:A=A356)*("&amp;"BAREMOS!B:B=B356)*(BAREMOS!C:C=C356)*(BAREMOS!D:D=D356),0),0)),19,
         MATCH(H356,INDEX(BAREMOS!F:X,MATCH(1,(BAREMOS!A:A=A356)*(BAREMOS!B:B=B356)*(BAREMOS!C:C=C356)*(BAREMOS!D:D=D356),0),0),-1)
      )
   ),
   IF(H356&lt;=MIN(INDEX(BAREMOS!F:X,MATCH(1,"&amp;"(BAREMOS!A:A=A356)*(BAREMOS!B:B=B356)*(BAREMOS!C:C=C356)*(BAREMOS!D:D=D356),0),0)),1,
      IF(H356&gt;=MAX(INDEX(BAREMOS!F:X,MATCH(1,(BAREMOS!A:A=A356)*(BAREMOS!B:B=B356)*(BAREMOS!C:C=C356)*(BAREMOS!D:D=D356),0),0)),19,
         MATCH(H356,INDEX(BAREMOS!F:X"&amp;",MATCH(1,(BAREMOS!A:A=A356)*(BAREMOS!B:B=B356)*(BAREMOS!C:C=C356)*(BAREMOS!D:D=D356),0),0),1)
      )
   )
)
,""""))
"),"")</f>
        <v/>
      </c>
      <c r="K356" s="34" t="str">
        <f t="shared" si="1"/>
        <v/>
      </c>
      <c r="L356" s="16"/>
      <c r="M356" s="16"/>
      <c r="N356" s="16"/>
      <c r="O356" s="16"/>
      <c r="P356" s="16"/>
      <c r="Q356" s="16"/>
      <c r="R356" s="16"/>
      <c r="S356" s="16"/>
      <c r="T356" s="16"/>
      <c r="U356" s="16"/>
      <c r="V356" s="16"/>
      <c r="W356" s="16"/>
      <c r="X356" s="16"/>
      <c r="Y356" s="16"/>
      <c r="Z356" s="16"/>
      <c r="AA356" s="16"/>
      <c r="AB356" s="16"/>
      <c r="AC356" s="16"/>
    </row>
    <row r="357">
      <c r="A357" s="22" t="str">
        <f t="array" ref="A357">IF(E357="","",IFERROR(INDEX(CONFIGURACION!C:C,MATCH(E357,CONFIGURACION!E:E,0)),""))
</f>
        <v/>
      </c>
      <c r="B357" s="22" t="str">
        <f t="array" ref="B357">IF(E357="","",IFERROR(INDEX(CONFIGURACION!D:D,MATCH(E357,CONFIGURACION!E:E,0)),""))
</f>
        <v/>
      </c>
      <c r="C357" s="31"/>
      <c r="D357" s="9"/>
      <c r="E357" s="6"/>
      <c r="F357" s="24"/>
      <c r="G357" s="9"/>
      <c r="H357" s="32"/>
      <c r="I357" s="33" t="str">
        <f>IFERROR(__xludf.DUMMYFUNCTION("IF(F357="""","""",LET(
  nombre, TRIM(F357),
  primer, REGEXEXTRACT(nombre, ""^\S+""),
  resto, TRIM(REGEXREPLACE(nombre, ""^\S+\s*"", """")),
  iniciales, IF(
    resto="""",
    """",
    TEXTJOIN("""",1,ARRAYFORMULA(LEFT(SPLIT(resto,"" ""),1) &amp; "".""))"&amp;"
  ),
  UPPER(primer) &amp; "" "" &amp; UPPER(iniciales)
))"),"")</f>
        <v/>
      </c>
      <c r="J357" s="33" t="str">
        <f>IFERROR(__xludf.DUMMYFUNCTION("IF(H357="""","""",IFERROR(
IF(REGEXMATCH(E357,""VELOCIDAD""),
   IF(H357&gt;=MAX(INDEX(BAREMOS!F:X,MATCH(1,(BAREMOS!A:A=A357)*(BAREMOS!B:B=B357)*(BAREMOS!C:C=C357)*(BAREMOS!D:D=D357),0),0)),1,
      IF(H357&lt;=MIN(INDEX(BAREMOS!F:X,MATCH(1,(BAREMOS!A:A=A357)*("&amp;"BAREMOS!B:B=B357)*(BAREMOS!C:C=C357)*(BAREMOS!D:D=D357),0),0)),19,
         MATCH(H357,INDEX(BAREMOS!F:X,MATCH(1,(BAREMOS!A:A=A357)*(BAREMOS!B:B=B357)*(BAREMOS!C:C=C357)*(BAREMOS!D:D=D357),0),0),-1)
      )
   ),
   IF(H357&lt;=MIN(INDEX(BAREMOS!F:X,MATCH(1,"&amp;"(BAREMOS!A:A=A357)*(BAREMOS!B:B=B357)*(BAREMOS!C:C=C357)*(BAREMOS!D:D=D357),0),0)),1,
      IF(H357&gt;=MAX(INDEX(BAREMOS!F:X,MATCH(1,(BAREMOS!A:A=A357)*(BAREMOS!B:B=B357)*(BAREMOS!C:C=C357)*(BAREMOS!D:D=D357),0),0)),19,
         MATCH(H357,INDEX(BAREMOS!F:X"&amp;",MATCH(1,(BAREMOS!A:A=A357)*(BAREMOS!B:B=B357)*(BAREMOS!C:C=C357)*(BAREMOS!D:D=D357),0),0),1)
      )
   )
)
,""""))
"),"")</f>
        <v/>
      </c>
      <c r="K357" s="34" t="str">
        <f t="shared" si="1"/>
        <v/>
      </c>
      <c r="L357" s="16"/>
      <c r="M357" s="16"/>
      <c r="N357" s="16"/>
      <c r="O357" s="16"/>
      <c r="P357" s="16"/>
      <c r="Q357" s="16"/>
      <c r="R357" s="16"/>
      <c r="S357" s="16"/>
      <c r="T357" s="16"/>
      <c r="U357" s="16"/>
      <c r="V357" s="16"/>
      <c r="W357" s="16"/>
      <c r="X357" s="16"/>
      <c r="Y357" s="16"/>
      <c r="Z357" s="16"/>
      <c r="AA357" s="16"/>
      <c r="AB357" s="16"/>
      <c r="AC357" s="16"/>
    </row>
    <row r="358">
      <c r="A358" s="22" t="str">
        <f t="array" ref="A358">IF(E358="","",IFERROR(INDEX(CONFIGURACION!C:C,MATCH(E358,CONFIGURACION!E:E,0)),""))
</f>
        <v/>
      </c>
      <c r="B358" s="22" t="str">
        <f t="array" ref="B358">IF(E358="","",IFERROR(INDEX(CONFIGURACION!D:D,MATCH(E358,CONFIGURACION!E:E,0)),""))
</f>
        <v/>
      </c>
      <c r="C358" s="31"/>
      <c r="D358" s="9"/>
      <c r="E358" s="6"/>
      <c r="F358" s="24"/>
      <c r="G358" s="9"/>
      <c r="H358" s="32"/>
      <c r="I358" s="33" t="str">
        <f>IFERROR(__xludf.DUMMYFUNCTION("IF(F358="""","""",LET(
  nombre, TRIM(F358),
  primer, REGEXEXTRACT(nombre, ""^\S+""),
  resto, TRIM(REGEXREPLACE(nombre, ""^\S+\s*"", """")),
  iniciales, IF(
    resto="""",
    """",
    TEXTJOIN("""",1,ARRAYFORMULA(LEFT(SPLIT(resto,"" ""),1) &amp; "".""))"&amp;"
  ),
  UPPER(primer) &amp; "" "" &amp; UPPER(iniciales)
))"),"")</f>
        <v/>
      </c>
      <c r="J358" s="33" t="str">
        <f>IFERROR(__xludf.DUMMYFUNCTION("IF(H358="""","""",IFERROR(
IF(REGEXMATCH(E358,""VELOCIDAD""),
   IF(H358&gt;=MAX(INDEX(BAREMOS!F:X,MATCH(1,(BAREMOS!A:A=A358)*(BAREMOS!B:B=B358)*(BAREMOS!C:C=C358)*(BAREMOS!D:D=D358),0),0)),1,
      IF(H358&lt;=MIN(INDEX(BAREMOS!F:X,MATCH(1,(BAREMOS!A:A=A358)*("&amp;"BAREMOS!B:B=B358)*(BAREMOS!C:C=C358)*(BAREMOS!D:D=D358),0),0)),19,
         MATCH(H358,INDEX(BAREMOS!F:X,MATCH(1,(BAREMOS!A:A=A358)*(BAREMOS!B:B=B358)*(BAREMOS!C:C=C358)*(BAREMOS!D:D=D358),0),0),-1)
      )
   ),
   IF(H358&lt;=MIN(INDEX(BAREMOS!F:X,MATCH(1,"&amp;"(BAREMOS!A:A=A358)*(BAREMOS!B:B=B358)*(BAREMOS!C:C=C358)*(BAREMOS!D:D=D358),0),0)),1,
      IF(H358&gt;=MAX(INDEX(BAREMOS!F:X,MATCH(1,(BAREMOS!A:A=A358)*(BAREMOS!B:B=B358)*(BAREMOS!C:C=C358)*(BAREMOS!D:D=D358),0),0)),19,
         MATCH(H358,INDEX(BAREMOS!F:X"&amp;",MATCH(1,(BAREMOS!A:A=A358)*(BAREMOS!B:B=B358)*(BAREMOS!C:C=C358)*(BAREMOS!D:D=D358),0),0),1)
      )
   )
)
,""""))
"),"")</f>
        <v/>
      </c>
      <c r="K358" s="34" t="str">
        <f t="shared" si="1"/>
        <v/>
      </c>
      <c r="L358" s="16"/>
      <c r="M358" s="16"/>
      <c r="N358" s="16"/>
      <c r="O358" s="16"/>
      <c r="P358" s="16"/>
      <c r="Q358" s="16"/>
      <c r="R358" s="16"/>
      <c r="S358" s="16"/>
      <c r="T358" s="16"/>
      <c r="U358" s="16"/>
      <c r="V358" s="16"/>
      <c r="W358" s="16"/>
      <c r="X358" s="16"/>
      <c r="Y358" s="16"/>
      <c r="Z358" s="16"/>
      <c r="AA358" s="16"/>
      <c r="AB358" s="16"/>
      <c r="AC358" s="16"/>
    </row>
    <row r="359">
      <c r="A359" s="22" t="str">
        <f t="array" ref="A359">IF(E359="","",IFERROR(INDEX(CONFIGURACION!C:C,MATCH(E359,CONFIGURACION!E:E,0)),""))
</f>
        <v/>
      </c>
      <c r="B359" s="22" t="str">
        <f t="array" ref="B359">IF(E359="","",IFERROR(INDEX(CONFIGURACION!D:D,MATCH(E359,CONFIGURACION!E:E,0)),""))
</f>
        <v/>
      </c>
      <c r="C359" s="31"/>
      <c r="D359" s="9"/>
      <c r="E359" s="6"/>
      <c r="F359" s="24"/>
      <c r="G359" s="9"/>
      <c r="H359" s="32"/>
      <c r="I359" s="33" t="str">
        <f>IFERROR(__xludf.DUMMYFUNCTION("IF(F359="""","""",LET(
  nombre, TRIM(F359),
  primer, REGEXEXTRACT(nombre, ""^\S+""),
  resto, TRIM(REGEXREPLACE(nombre, ""^\S+\s*"", """")),
  iniciales, IF(
    resto="""",
    """",
    TEXTJOIN("""",1,ARRAYFORMULA(LEFT(SPLIT(resto,"" ""),1) &amp; "".""))"&amp;"
  ),
  UPPER(primer) &amp; "" "" &amp; UPPER(iniciales)
))"),"")</f>
        <v/>
      </c>
      <c r="J359" s="33" t="str">
        <f>IFERROR(__xludf.DUMMYFUNCTION("IF(H359="""","""",IFERROR(
IF(REGEXMATCH(E359,""VELOCIDAD""),
   IF(H359&gt;=MAX(INDEX(BAREMOS!F:X,MATCH(1,(BAREMOS!A:A=A359)*(BAREMOS!B:B=B359)*(BAREMOS!C:C=C359)*(BAREMOS!D:D=D359),0),0)),1,
      IF(H359&lt;=MIN(INDEX(BAREMOS!F:X,MATCH(1,(BAREMOS!A:A=A359)*("&amp;"BAREMOS!B:B=B359)*(BAREMOS!C:C=C359)*(BAREMOS!D:D=D359),0),0)),19,
         MATCH(H359,INDEX(BAREMOS!F:X,MATCH(1,(BAREMOS!A:A=A359)*(BAREMOS!B:B=B359)*(BAREMOS!C:C=C359)*(BAREMOS!D:D=D359),0),0),-1)
      )
   ),
   IF(H359&lt;=MIN(INDEX(BAREMOS!F:X,MATCH(1,"&amp;"(BAREMOS!A:A=A359)*(BAREMOS!B:B=B359)*(BAREMOS!C:C=C359)*(BAREMOS!D:D=D359),0),0)),1,
      IF(H359&gt;=MAX(INDEX(BAREMOS!F:X,MATCH(1,(BAREMOS!A:A=A359)*(BAREMOS!B:B=B359)*(BAREMOS!C:C=C359)*(BAREMOS!D:D=D359),0),0)),19,
         MATCH(H359,INDEX(BAREMOS!F:X"&amp;",MATCH(1,(BAREMOS!A:A=A359)*(BAREMOS!B:B=B359)*(BAREMOS!C:C=C359)*(BAREMOS!D:D=D359),0),0),1)
      )
   )
)
,""""))
"),"")</f>
        <v/>
      </c>
      <c r="K359" s="34" t="str">
        <f t="shared" si="1"/>
        <v/>
      </c>
      <c r="L359" s="16"/>
      <c r="M359" s="16"/>
      <c r="N359" s="16"/>
      <c r="O359" s="16"/>
      <c r="P359" s="16"/>
      <c r="Q359" s="16"/>
      <c r="R359" s="16"/>
      <c r="S359" s="16"/>
      <c r="T359" s="16"/>
      <c r="U359" s="16"/>
      <c r="V359" s="16"/>
      <c r="W359" s="16"/>
      <c r="X359" s="16"/>
      <c r="Y359" s="16"/>
      <c r="Z359" s="16"/>
      <c r="AA359" s="16"/>
      <c r="AB359" s="16"/>
      <c r="AC359" s="16"/>
    </row>
    <row r="360">
      <c r="A360" s="22" t="str">
        <f t="array" ref="A360">IF(E360="","",IFERROR(INDEX(CONFIGURACION!C:C,MATCH(E360,CONFIGURACION!E:E,0)),""))
</f>
        <v/>
      </c>
      <c r="B360" s="22" t="str">
        <f t="array" ref="B360">IF(E360="","",IFERROR(INDEX(CONFIGURACION!D:D,MATCH(E360,CONFIGURACION!E:E,0)),""))
</f>
        <v/>
      </c>
      <c r="C360" s="31"/>
      <c r="D360" s="9"/>
      <c r="E360" s="6"/>
      <c r="F360" s="24"/>
      <c r="G360" s="9"/>
      <c r="H360" s="32"/>
      <c r="I360" s="33" t="str">
        <f>IFERROR(__xludf.DUMMYFUNCTION("IF(F360="""","""",LET(
  nombre, TRIM(F360),
  primer, REGEXEXTRACT(nombre, ""^\S+""),
  resto, TRIM(REGEXREPLACE(nombre, ""^\S+\s*"", """")),
  iniciales, IF(
    resto="""",
    """",
    TEXTJOIN("""",1,ARRAYFORMULA(LEFT(SPLIT(resto,"" ""),1) &amp; "".""))"&amp;"
  ),
  UPPER(primer) &amp; "" "" &amp; UPPER(iniciales)
))"),"")</f>
        <v/>
      </c>
      <c r="J360" s="33" t="str">
        <f>IFERROR(__xludf.DUMMYFUNCTION("IF(H360="""","""",IFERROR(
IF(REGEXMATCH(E360,""VELOCIDAD""),
   IF(H360&gt;=MAX(INDEX(BAREMOS!F:X,MATCH(1,(BAREMOS!A:A=A360)*(BAREMOS!B:B=B360)*(BAREMOS!C:C=C360)*(BAREMOS!D:D=D360),0),0)),1,
      IF(H360&lt;=MIN(INDEX(BAREMOS!F:X,MATCH(1,(BAREMOS!A:A=A360)*("&amp;"BAREMOS!B:B=B360)*(BAREMOS!C:C=C360)*(BAREMOS!D:D=D360),0),0)),19,
         MATCH(H360,INDEX(BAREMOS!F:X,MATCH(1,(BAREMOS!A:A=A360)*(BAREMOS!B:B=B360)*(BAREMOS!C:C=C360)*(BAREMOS!D:D=D360),0),0),-1)
      )
   ),
   IF(H360&lt;=MIN(INDEX(BAREMOS!F:X,MATCH(1,"&amp;"(BAREMOS!A:A=A360)*(BAREMOS!B:B=B360)*(BAREMOS!C:C=C360)*(BAREMOS!D:D=D360),0),0)),1,
      IF(H360&gt;=MAX(INDEX(BAREMOS!F:X,MATCH(1,(BAREMOS!A:A=A360)*(BAREMOS!B:B=B360)*(BAREMOS!C:C=C360)*(BAREMOS!D:D=D360),0),0)),19,
         MATCH(H360,INDEX(BAREMOS!F:X"&amp;",MATCH(1,(BAREMOS!A:A=A360)*(BAREMOS!B:B=B360)*(BAREMOS!C:C=C360)*(BAREMOS!D:D=D360),0),0),1)
      )
   )
)
,""""))
"),"")</f>
        <v/>
      </c>
      <c r="K360" s="34" t="str">
        <f t="shared" si="1"/>
        <v/>
      </c>
      <c r="L360" s="16"/>
      <c r="M360" s="16"/>
      <c r="N360" s="16"/>
      <c r="O360" s="16"/>
      <c r="P360" s="16"/>
      <c r="Q360" s="16"/>
      <c r="R360" s="16"/>
      <c r="S360" s="16"/>
      <c r="T360" s="16"/>
      <c r="U360" s="16"/>
      <c r="V360" s="16"/>
      <c r="W360" s="16"/>
      <c r="X360" s="16"/>
      <c r="Y360" s="16"/>
      <c r="Z360" s="16"/>
      <c r="AA360" s="16"/>
      <c r="AB360" s="16"/>
      <c r="AC360" s="16"/>
    </row>
    <row r="361">
      <c r="A361" s="22" t="str">
        <f t="array" ref="A361">IF(E361="","",IFERROR(INDEX(CONFIGURACION!C:C,MATCH(E361,CONFIGURACION!E:E,0)),""))
</f>
        <v/>
      </c>
      <c r="B361" s="22" t="str">
        <f t="array" ref="B361">IF(E361="","",IFERROR(INDEX(CONFIGURACION!D:D,MATCH(E361,CONFIGURACION!E:E,0)),""))
</f>
        <v/>
      </c>
      <c r="C361" s="31"/>
      <c r="D361" s="9"/>
      <c r="E361" s="6"/>
      <c r="F361" s="24"/>
      <c r="G361" s="9"/>
      <c r="H361" s="32"/>
      <c r="I361" s="33" t="str">
        <f>IFERROR(__xludf.DUMMYFUNCTION("IF(F361="""","""",LET(
  nombre, TRIM(F361),
  primer, REGEXEXTRACT(nombre, ""^\S+""),
  resto, TRIM(REGEXREPLACE(nombre, ""^\S+\s*"", """")),
  iniciales, IF(
    resto="""",
    """",
    TEXTJOIN("""",1,ARRAYFORMULA(LEFT(SPLIT(resto,"" ""),1) &amp; "".""))"&amp;"
  ),
  UPPER(primer) &amp; "" "" &amp; UPPER(iniciales)
))"),"")</f>
        <v/>
      </c>
      <c r="J361" s="33" t="str">
        <f>IFERROR(__xludf.DUMMYFUNCTION("IF(H361="""","""",IFERROR(
IF(REGEXMATCH(E361,""VELOCIDAD""),
   IF(H361&gt;=MAX(INDEX(BAREMOS!F:X,MATCH(1,(BAREMOS!A:A=A361)*(BAREMOS!B:B=B361)*(BAREMOS!C:C=C361)*(BAREMOS!D:D=D361),0),0)),1,
      IF(H361&lt;=MIN(INDEX(BAREMOS!F:X,MATCH(1,(BAREMOS!A:A=A361)*("&amp;"BAREMOS!B:B=B361)*(BAREMOS!C:C=C361)*(BAREMOS!D:D=D361),0),0)),19,
         MATCH(H361,INDEX(BAREMOS!F:X,MATCH(1,(BAREMOS!A:A=A361)*(BAREMOS!B:B=B361)*(BAREMOS!C:C=C361)*(BAREMOS!D:D=D361),0),0),-1)
      )
   ),
   IF(H361&lt;=MIN(INDEX(BAREMOS!F:X,MATCH(1,"&amp;"(BAREMOS!A:A=A361)*(BAREMOS!B:B=B361)*(BAREMOS!C:C=C361)*(BAREMOS!D:D=D361),0),0)),1,
      IF(H361&gt;=MAX(INDEX(BAREMOS!F:X,MATCH(1,(BAREMOS!A:A=A361)*(BAREMOS!B:B=B361)*(BAREMOS!C:C=C361)*(BAREMOS!D:D=D361),0),0)),19,
         MATCH(H361,INDEX(BAREMOS!F:X"&amp;",MATCH(1,(BAREMOS!A:A=A361)*(BAREMOS!B:B=B361)*(BAREMOS!C:C=C361)*(BAREMOS!D:D=D361),0),0),1)
      )
   )
)
,""""))
"),"")</f>
        <v/>
      </c>
      <c r="K361" s="34" t="str">
        <f t="shared" si="1"/>
        <v/>
      </c>
      <c r="L361" s="16"/>
      <c r="M361" s="16"/>
      <c r="N361" s="16"/>
      <c r="O361" s="16"/>
      <c r="P361" s="16"/>
      <c r="Q361" s="16"/>
      <c r="R361" s="16"/>
      <c r="S361" s="16"/>
      <c r="T361" s="16"/>
      <c r="U361" s="16"/>
      <c r="V361" s="16"/>
      <c r="W361" s="16"/>
      <c r="X361" s="16"/>
      <c r="Y361" s="16"/>
      <c r="Z361" s="16"/>
      <c r="AA361" s="16"/>
      <c r="AB361" s="16"/>
      <c r="AC361" s="16"/>
    </row>
    <row r="362">
      <c r="A362" s="22" t="str">
        <f t="array" ref="A362">IF(E362="","",IFERROR(INDEX(CONFIGURACION!C:C,MATCH(E362,CONFIGURACION!E:E,0)),""))
</f>
        <v/>
      </c>
      <c r="B362" s="22" t="str">
        <f t="array" ref="B362">IF(E362="","",IFERROR(INDEX(CONFIGURACION!D:D,MATCH(E362,CONFIGURACION!E:E,0)),""))
</f>
        <v/>
      </c>
      <c r="C362" s="31"/>
      <c r="D362" s="9"/>
      <c r="E362" s="6"/>
      <c r="F362" s="24"/>
      <c r="G362" s="9"/>
      <c r="H362" s="32"/>
      <c r="I362" s="33" t="str">
        <f>IFERROR(__xludf.DUMMYFUNCTION("IF(F362="""","""",LET(
  nombre, TRIM(F362),
  primer, REGEXEXTRACT(nombre, ""^\S+""),
  resto, TRIM(REGEXREPLACE(nombre, ""^\S+\s*"", """")),
  iniciales, IF(
    resto="""",
    """",
    TEXTJOIN("""",1,ARRAYFORMULA(LEFT(SPLIT(resto,"" ""),1) &amp; "".""))"&amp;"
  ),
  UPPER(primer) &amp; "" "" &amp; UPPER(iniciales)
))"),"")</f>
        <v/>
      </c>
      <c r="J362" s="33" t="str">
        <f>IFERROR(__xludf.DUMMYFUNCTION("IF(H362="""","""",IFERROR(
IF(REGEXMATCH(E362,""VELOCIDAD""),
   IF(H362&gt;=MAX(INDEX(BAREMOS!F:X,MATCH(1,(BAREMOS!A:A=A362)*(BAREMOS!B:B=B362)*(BAREMOS!C:C=C362)*(BAREMOS!D:D=D362),0),0)),1,
      IF(H362&lt;=MIN(INDEX(BAREMOS!F:X,MATCH(1,(BAREMOS!A:A=A362)*("&amp;"BAREMOS!B:B=B362)*(BAREMOS!C:C=C362)*(BAREMOS!D:D=D362),0),0)),19,
         MATCH(H362,INDEX(BAREMOS!F:X,MATCH(1,(BAREMOS!A:A=A362)*(BAREMOS!B:B=B362)*(BAREMOS!C:C=C362)*(BAREMOS!D:D=D362),0),0),-1)
      )
   ),
   IF(H362&lt;=MIN(INDEX(BAREMOS!F:X,MATCH(1,"&amp;"(BAREMOS!A:A=A362)*(BAREMOS!B:B=B362)*(BAREMOS!C:C=C362)*(BAREMOS!D:D=D362),0),0)),1,
      IF(H362&gt;=MAX(INDEX(BAREMOS!F:X,MATCH(1,(BAREMOS!A:A=A362)*(BAREMOS!B:B=B362)*(BAREMOS!C:C=C362)*(BAREMOS!D:D=D362),0),0)),19,
         MATCH(H362,INDEX(BAREMOS!F:X"&amp;",MATCH(1,(BAREMOS!A:A=A362)*(BAREMOS!B:B=B362)*(BAREMOS!C:C=C362)*(BAREMOS!D:D=D362),0),0),1)
      )
   )
)
,""""))
"),"")</f>
        <v/>
      </c>
      <c r="K362" s="34" t="str">
        <f t="shared" si="1"/>
        <v/>
      </c>
      <c r="L362" s="16"/>
      <c r="M362" s="16"/>
      <c r="N362" s="16"/>
      <c r="O362" s="16"/>
      <c r="P362" s="16"/>
      <c r="Q362" s="16"/>
      <c r="R362" s="16"/>
      <c r="S362" s="16"/>
      <c r="T362" s="16"/>
      <c r="U362" s="16"/>
      <c r="V362" s="16"/>
      <c r="W362" s="16"/>
      <c r="X362" s="16"/>
      <c r="Y362" s="16"/>
      <c r="Z362" s="16"/>
      <c r="AA362" s="16"/>
      <c r="AB362" s="16"/>
      <c r="AC362" s="16"/>
    </row>
    <row r="363">
      <c r="A363" s="22" t="str">
        <f t="array" ref="A363">IF(E363="","",IFERROR(INDEX(CONFIGURACION!C:C,MATCH(E363,CONFIGURACION!E:E,0)),""))
</f>
        <v/>
      </c>
      <c r="B363" s="22" t="str">
        <f t="array" ref="B363">IF(E363="","",IFERROR(INDEX(CONFIGURACION!D:D,MATCH(E363,CONFIGURACION!E:E,0)),""))
</f>
        <v/>
      </c>
      <c r="C363" s="31"/>
      <c r="D363" s="9"/>
      <c r="E363" s="6"/>
      <c r="F363" s="24"/>
      <c r="G363" s="9"/>
      <c r="H363" s="32"/>
      <c r="I363" s="33" t="str">
        <f>IFERROR(__xludf.DUMMYFUNCTION("IF(F363="""","""",LET(
  nombre, TRIM(F363),
  primer, REGEXEXTRACT(nombre, ""^\S+""),
  resto, TRIM(REGEXREPLACE(nombre, ""^\S+\s*"", """")),
  iniciales, IF(
    resto="""",
    """",
    TEXTJOIN("""",1,ARRAYFORMULA(LEFT(SPLIT(resto,"" ""),1) &amp; "".""))"&amp;"
  ),
  UPPER(primer) &amp; "" "" &amp; UPPER(iniciales)
))"),"")</f>
        <v/>
      </c>
      <c r="J363" s="33" t="str">
        <f>IFERROR(__xludf.DUMMYFUNCTION("IF(H363="""","""",IFERROR(
IF(REGEXMATCH(E363,""VELOCIDAD""),
   IF(H363&gt;=MAX(INDEX(BAREMOS!F:X,MATCH(1,(BAREMOS!A:A=A363)*(BAREMOS!B:B=B363)*(BAREMOS!C:C=C363)*(BAREMOS!D:D=D363),0),0)),1,
      IF(H363&lt;=MIN(INDEX(BAREMOS!F:X,MATCH(1,(BAREMOS!A:A=A363)*("&amp;"BAREMOS!B:B=B363)*(BAREMOS!C:C=C363)*(BAREMOS!D:D=D363),0),0)),19,
         MATCH(H363,INDEX(BAREMOS!F:X,MATCH(1,(BAREMOS!A:A=A363)*(BAREMOS!B:B=B363)*(BAREMOS!C:C=C363)*(BAREMOS!D:D=D363),0),0),-1)
      )
   ),
   IF(H363&lt;=MIN(INDEX(BAREMOS!F:X,MATCH(1,"&amp;"(BAREMOS!A:A=A363)*(BAREMOS!B:B=B363)*(BAREMOS!C:C=C363)*(BAREMOS!D:D=D363),0),0)),1,
      IF(H363&gt;=MAX(INDEX(BAREMOS!F:X,MATCH(1,(BAREMOS!A:A=A363)*(BAREMOS!B:B=B363)*(BAREMOS!C:C=C363)*(BAREMOS!D:D=D363),0),0)),19,
         MATCH(H363,INDEX(BAREMOS!F:X"&amp;",MATCH(1,(BAREMOS!A:A=A363)*(BAREMOS!B:B=B363)*(BAREMOS!C:C=C363)*(BAREMOS!D:D=D363),0),0),1)
      )
   )
)
,""""))
"),"")</f>
        <v/>
      </c>
      <c r="K363" s="34" t="str">
        <f t="shared" si="1"/>
        <v/>
      </c>
      <c r="L363" s="16"/>
      <c r="M363" s="16"/>
      <c r="N363" s="16"/>
      <c r="O363" s="16"/>
      <c r="P363" s="16"/>
      <c r="Q363" s="16"/>
      <c r="R363" s="16"/>
      <c r="S363" s="16"/>
      <c r="T363" s="16"/>
      <c r="U363" s="16"/>
      <c r="V363" s="16"/>
      <c r="W363" s="16"/>
      <c r="X363" s="16"/>
      <c r="Y363" s="16"/>
      <c r="Z363" s="16"/>
      <c r="AA363" s="16"/>
      <c r="AB363" s="16"/>
      <c r="AC363" s="16"/>
    </row>
    <row r="364">
      <c r="A364" s="22" t="str">
        <f t="array" ref="A364">IF(E364="","",IFERROR(INDEX(CONFIGURACION!C:C,MATCH(E364,CONFIGURACION!E:E,0)),""))
</f>
        <v/>
      </c>
      <c r="B364" s="22" t="str">
        <f t="array" ref="B364">IF(E364="","",IFERROR(INDEX(CONFIGURACION!D:D,MATCH(E364,CONFIGURACION!E:E,0)),""))
</f>
        <v/>
      </c>
      <c r="C364" s="31"/>
      <c r="D364" s="9"/>
      <c r="E364" s="6"/>
      <c r="F364" s="24"/>
      <c r="G364" s="9"/>
      <c r="H364" s="32"/>
      <c r="I364" s="33" t="str">
        <f>IFERROR(__xludf.DUMMYFUNCTION("IF(F364="""","""",LET(
  nombre, TRIM(F364),
  primer, REGEXEXTRACT(nombre, ""^\S+""),
  resto, TRIM(REGEXREPLACE(nombre, ""^\S+\s*"", """")),
  iniciales, IF(
    resto="""",
    """",
    TEXTJOIN("""",1,ARRAYFORMULA(LEFT(SPLIT(resto,"" ""),1) &amp; "".""))"&amp;"
  ),
  UPPER(primer) &amp; "" "" &amp; UPPER(iniciales)
))"),"")</f>
        <v/>
      </c>
      <c r="J364" s="33" t="str">
        <f>IFERROR(__xludf.DUMMYFUNCTION("IF(H364="""","""",IFERROR(
IF(REGEXMATCH(E364,""VELOCIDAD""),
   IF(H364&gt;=MAX(INDEX(BAREMOS!F:X,MATCH(1,(BAREMOS!A:A=A364)*(BAREMOS!B:B=B364)*(BAREMOS!C:C=C364)*(BAREMOS!D:D=D364),0),0)),1,
      IF(H364&lt;=MIN(INDEX(BAREMOS!F:X,MATCH(1,(BAREMOS!A:A=A364)*("&amp;"BAREMOS!B:B=B364)*(BAREMOS!C:C=C364)*(BAREMOS!D:D=D364),0),0)),19,
         MATCH(H364,INDEX(BAREMOS!F:X,MATCH(1,(BAREMOS!A:A=A364)*(BAREMOS!B:B=B364)*(BAREMOS!C:C=C364)*(BAREMOS!D:D=D364),0),0),-1)
      )
   ),
   IF(H364&lt;=MIN(INDEX(BAREMOS!F:X,MATCH(1,"&amp;"(BAREMOS!A:A=A364)*(BAREMOS!B:B=B364)*(BAREMOS!C:C=C364)*(BAREMOS!D:D=D364),0),0)),1,
      IF(H364&gt;=MAX(INDEX(BAREMOS!F:X,MATCH(1,(BAREMOS!A:A=A364)*(BAREMOS!B:B=B364)*(BAREMOS!C:C=C364)*(BAREMOS!D:D=D364),0),0)),19,
         MATCH(H364,INDEX(BAREMOS!F:X"&amp;",MATCH(1,(BAREMOS!A:A=A364)*(BAREMOS!B:B=B364)*(BAREMOS!C:C=C364)*(BAREMOS!D:D=D364),0),0),1)
      )
   )
)
,""""))
"),"")</f>
        <v/>
      </c>
      <c r="K364" s="34" t="str">
        <f t="shared" si="1"/>
        <v/>
      </c>
      <c r="L364" s="16"/>
      <c r="M364" s="16"/>
      <c r="N364" s="16"/>
      <c r="O364" s="16"/>
      <c r="P364" s="16"/>
      <c r="Q364" s="16"/>
      <c r="R364" s="16"/>
      <c r="S364" s="16"/>
      <c r="T364" s="16"/>
      <c r="U364" s="16"/>
      <c r="V364" s="16"/>
      <c r="W364" s="16"/>
      <c r="X364" s="16"/>
      <c r="Y364" s="16"/>
      <c r="Z364" s="16"/>
      <c r="AA364" s="16"/>
      <c r="AB364" s="16"/>
      <c r="AC364" s="16"/>
    </row>
    <row r="365">
      <c r="A365" s="22" t="str">
        <f t="array" ref="A365">IF(E365="","",IFERROR(INDEX(CONFIGURACION!C:C,MATCH(E365,CONFIGURACION!E:E,0)),""))
</f>
        <v/>
      </c>
      <c r="B365" s="22" t="str">
        <f t="array" ref="B365">IF(E365="","",IFERROR(INDEX(CONFIGURACION!D:D,MATCH(E365,CONFIGURACION!E:E,0)),""))
</f>
        <v/>
      </c>
      <c r="C365" s="31"/>
      <c r="D365" s="9"/>
      <c r="E365" s="6"/>
      <c r="F365" s="24"/>
      <c r="G365" s="9"/>
      <c r="H365" s="32"/>
      <c r="I365" s="33" t="str">
        <f>IFERROR(__xludf.DUMMYFUNCTION("IF(F365="""","""",LET(
  nombre, TRIM(F365),
  primer, REGEXEXTRACT(nombre, ""^\S+""),
  resto, TRIM(REGEXREPLACE(nombre, ""^\S+\s*"", """")),
  iniciales, IF(
    resto="""",
    """",
    TEXTJOIN("""",1,ARRAYFORMULA(LEFT(SPLIT(resto,"" ""),1) &amp; "".""))"&amp;"
  ),
  UPPER(primer) &amp; "" "" &amp; UPPER(iniciales)
))"),"")</f>
        <v/>
      </c>
      <c r="J365" s="33" t="str">
        <f>IFERROR(__xludf.DUMMYFUNCTION("IF(H365="""","""",IFERROR(
IF(REGEXMATCH(E365,""VELOCIDAD""),
   IF(H365&gt;=MAX(INDEX(BAREMOS!F:X,MATCH(1,(BAREMOS!A:A=A365)*(BAREMOS!B:B=B365)*(BAREMOS!C:C=C365)*(BAREMOS!D:D=D365),0),0)),1,
      IF(H365&lt;=MIN(INDEX(BAREMOS!F:X,MATCH(1,(BAREMOS!A:A=A365)*("&amp;"BAREMOS!B:B=B365)*(BAREMOS!C:C=C365)*(BAREMOS!D:D=D365),0),0)),19,
         MATCH(H365,INDEX(BAREMOS!F:X,MATCH(1,(BAREMOS!A:A=A365)*(BAREMOS!B:B=B365)*(BAREMOS!C:C=C365)*(BAREMOS!D:D=D365),0),0),-1)
      )
   ),
   IF(H365&lt;=MIN(INDEX(BAREMOS!F:X,MATCH(1,"&amp;"(BAREMOS!A:A=A365)*(BAREMOS!B:B=B365)*(BAREMOS!C:C=C365)*(BAREMOS!D:D=D365),0),0)),1,
      IF(H365&gt;=MAX(INDEX(BAREMOS!F:X,MATCH(1,(BAREMOS!A:A=A365)*(BAREMOS!B:B=B365)*(BAREMOS!C:C=C365)*(BAREMOS!D:D=D365),0),0)),19,
         MATCH(H365,INDEX(BAREMOS!F:X"&amp;",MATCH(1,(BAREMOS!A:A=A365)*(BAREMOS!B:B=B365)*(BAREMOS!C:C=C365)*(BAREMOS!D:D=D365),0),0),1)
      )
   )
)
,""""))
"),"")</f>
        <v/>
      </c>
      <c r="K365" s="34" t="str">
        <f t="shared" si="1"/>
        <v/>
      </c>
      <c r="L365" s="16"/>
      <c r="M365" s="16"/>
      <c r="N365" s="16"/>
      <c r="O365" s="16"/>
      <c r="P365" s="16"/>
      <c r="Q365" s="16"/>
      <c r="R365" s="16"/>
      <c r="S365" s="16"/>
      <c r="T365" s="16"/>
      <c r="U365" s="16"/>
      <c r="V365" s="16"/>
      <c r="W365" s="16"/>
      <c r="X365" s="16"/>
      <c r="Y365" s="16"/>
      <c r="Z365" s="16"/>
      <c r="AA365" s="16"/>
      <c r="AB365" s="16"/>
      <c r="AC365" s="16"/>
    </row>
    <row r="366">
      <c r="A366" s="22" t="str">
        <f t="array" ref="A366">IF(E366="","",IFERROR(INDEX(CONFIGURACION!C:C,MATCH(E366,CONFIGURACION!E:E,0)),""))
</f>
        <v/>
      </c>
      <c r="B366" s="22" t="str">
        <f t="array" ref="B366">IF(E366="","",IFERROR(INDEX(CONFIGURACION!D:D,MATCH(E366,CONFIGURACION!E:E,0)),""))
</f>
        <v/>
      </c>
      <c r="C366" s="31"/>
      <c r="D366" s="9"/>
      <c r="E366" s="6"/>
      <c r="F366" s="24"/>
      <c r="G366" s="9"/>
      <c r="H366" s="32"/>
      <c r="I366" s="33" t="str">
        <f>IFERROR(__xludf.DUMMYFUNCTION("IF(F366="""","""",LET(
  nombre, TRIM(F366),
  primer, REGEXEXTRACT(nombre, ""^\S+""),
  resto, TRIM(REGEXREPLACE(nombre, ""^\S+\s*"", """")),
  iniciales, IF(
    resto="""",
    """",
    TEXTJOIN("""",1,ARRAYFORMULA(LEFT(SPLIT(resto,"" ""),1) &amp; "".""))"&amp;"
  ),
  UPPER(primer) &amp; "" "" &amp; UPPER(iniciales)
))"),"")</f>
        <v/>
      </c>
      <c r="J366" s="33" t="str">
        <f>IFERROR(__xludf.DUMMYFUNCTION("IF(H366="""","""",IFERROR(
IF(REGEXMATCH(E366,""VELOCIDAD""),
   IF(H366&gt;=MAX(INDEX(BAREMOS!F:X,MATCH(1,(BAREMOS!A:A=A366)*(BAREMOS!B:B=B366)*(BAREMOS!C:C=C366)*(BAREMOS!D:D=D366),0),0)),1,
      IF(H366&lt;=MIN(INDEX(BAREMOS!F:X,MATCH(1,(BAREMOS!A:A=A366)*("&amp;"BAREMOS!B:B=B366)*(BAREMOS!C:C=C366)*(BAREMOS!D:D=D366),0),0)),19,
         MATCH(H366,INDEX(BAREMOS!F:X,MATCH(1,(BAREMOS!A:A=A366)*(BAREMOS!B:B=B366)*(BAREMOS!C:C=C366)*(BAREMOS!D:D=D366),0),0),-1)
      )
   ),
   IF(H366&lt;=MIN(INDEX(BAREMOS!F:X,MATCH(1,"&amp;"(BAREMOS!A:A=A366)*(BAREMOS!B:B=B366)*(BAREMOS!C:C=C366)*(BAREMOS!D:D=D366),0),0)),1,
      IF(H366&gt;=MAX(INDEX(BAREMOS!F:X,MATCH(1,(BAREMOS!A:A=A366)*(BAREMOS!B:B=B366)*(BAREMOS!C:C=C366)*(BAREMOS!D:D=D366),0),0)),19,
         MATCH(H366,INDEX(BAREMOS!F:X"&amp;",MATCH(1,(BAREMOS!A:A=A366)*(BAREMOS!B:B=B366)*(BAREMOS!C:C=C366)*(BAREMOS!D:D=D366),0),0),1)
      )
   )
)
,""""))
"),"")</f>
        <v/>
      </c>
      <c r="K366" s="34" t="str">
        <f t="shared" si="1"/>
        <v/>
      </c>
      <c r="L366" s="16"/>
      <c r="M366" s="16"/>
      <c r="N366" s="16"/>
      <c r="O366" s="16"/>
      <c r="P366" s="16"/>
      <c r="Q366" s="16"/>
      <c r="R366" s="16"/>
      <c r="S366" s="16"/>
      <c r="T366" s="16"/>
      <c r="U366" s="16"/>
      <c r="V366" s="16"/>
      <c r="W366" s="16"/>
      <c r="X366" s="16"/>
      <c r="Y366" s="16"/>
      <c r="Z366" s="16"/>
      <c r="AA366" s="16"/>
      <c r="AB366" s="16"/>
      <c r="AC366" s="16"/>
    </row>
    <row r="367">
      <c r="A367" s="22" t="str">
        <f t="array" ref="A367">IF(E367="","",IFERROR(INDEX(CONFIGURACION!C:C,MATCH(E367,CONFIGURACION!E:E,0)),""))
</f>
        <v/>
      </c>
      <c r="B367" s="22" t="str">
        <f t="array" ref="B367">IF(E367="","",IFERROR(INDEX(CONFIGURACION!D:D,MATCH(E367,CONFIGURACION!E:E,0)),""))
</f>
        <v/>
      </c>
      <c r="C367" s="31"/>
      <c r="D367" s="9"/>
      <c r="E367" s="6"/>
      <c r="F367" s="24"/>
      <c r="G367" s="9"/>
      <c r="H367" s="32"/>
      <c r="I367" s="33" t="str">
        <f>IFERROR(__xludf.DUMMYFUNCTION("IF(F367="""","""",LET(
  nombre, TRIM(F367),
  primer, REGEXEXTRACT(nombre, ""^\S+""),
  resto, TRIM(REGEXREPLACE(nombre, ""^\S+\s*"", """")),
  iniciales, IF(
    resto="""",
    """",
    TEXTJOIN("""",1,ARRAYFORMULA(LEFT(SPLIT(resto,"" ""),1) &amp; "".""))"&amp;"
  ),
  UPPER(primer) &amp; "" "" &amp; UPPER(iniciales)
))"),"")</f>
        <v/>
      </c>
      <c r="J367" s="33" t="str">
        <f>IFERROR(__xludf.DUMMYFUNCTION("IF(H367="""","""",IFERROR(
IF(REGEXMATCH(E367,""VELOCIDAD""),
   IF(H367&gt;=MAX(INDEX(BAREMOS!F:X,MATCH(1,(BAREMOS!A:A=A367)*(BAREMOS!B:B=B367)*(BAREMOS!C:C=C367)*(BAREMOS!D:D=D367),0),0)),1,
      IF(H367&lt;=MIN(INDEX(BAREMOS!F:X,MATCH(1,(BAREMOS!A:A=A367)*("&amp;"BAREMOS!B:B=B367)*(BAREMOS!C:C=C367)*(BAREMOS!D:D=D367),0),0)),19,
         MATCH(H367,INDEX(BAREMOS!F:X,MATCH(1,(BAREMOS!A:A=A367)*(BAREMOS!B:B=B367)*(BAREMOS!C:C=C367)*(BAREMOS!D:D=D367),0),0),-1)
      )
   ),
   IF(H367&lt;=MIN(INDEX(BAREMOS!F:X,MATCH(1,"&amp;"(BAREMOS!A:A=A367)*(BAREMOS!B:B=B367)*(BAREMOS!C:C=C367)*(BAREMOS!D:D=D367),0),0)),1,
      IF(H367&gt;=MAX(INDEX(BAREMOS!F:X,MATCH(1,(BAREMOS!A:A=A367)*(BAREMOS!B:B=B367)*(BAREMOS!C:C=C367)*(BAREMOS!D:D=D367),0),0)),19,
         MATCH(H367,INDEX(BAREMOS!F:X"&amp;",MATCH(1,(BAREMOS!A:A=A367)*(BAREMOS!B:B=B367)*(BAREMOS!C:C=C367)*(BAREMOS!D:D=D367),0),0),1)
      )
   )
)
,""""))
"),"")</f>
        <v/>
      </c>
      <c r="K367" s="34" t="str">
        <f t="shared" si="1"/>
        <v/>
      </c>
      <c r="L367" s="16"/>
      <c r="M367" s="16"/>
      <c r="N367" s="16"/>
      <c r="O367" s="16"/>
      <c r="P367" s="16"/>
      <c r="Q367" s="16"/>
      <c r="R367" s="16"/>
      <c r="S367" s="16"/>
      <c r="T367" s="16"/>
      <c r="U367" s="16"/>
      <c r="V367" s="16"/>
      <c r="W367" s="16"/>
      <c r="X367" s="16"/>
      <c r="Y367" s="16"/>
      <c r="Z367" s="16"/>
      <c r="AA367" s="16"/>
      <c r="AB367" s="16"/>
      <c r="AC367" s="16"/>
    </row>
    <row r="368">
      <c r="A368" s="22" t="str">
        <f t="array" ref="A368">IF(E368="","",IFERROR(INDEX(CONFIGURACION!C:C,MATCH(E368,CONFIGURACION!E:E,0)),""))
</f>
        <v/>
      </c>
      <c r="B368" s="22" t="str">
        <f t="array" ref="B368">IF(E368="","",IFERROR(INDEX(CONFIGURACION!D:D,MATCH(E368,CONFIGURACION!E:E,0)),""))
</f>
        <v/>
      </c>
      <c r="C368" s="31"/>
      <c r="D368" s="9"/>
      <c r="E368" s="6"/>
      <c r="F368" s="24"/>
      <c r="G368" s="9"/>
      <c r="H368" s="32"/>
      <c r="I368" s="33" t="str">
        <f>IFERROR(__xludf.DUMMYFUNCTION("IF(F368="""","""",LET(
  nombre, TRIM(F368),
  primer, REGEXEXTRACT(nombre, ""^\S+""),
  resto, TRIM(REGEXREPLACE(nombre, ""^\S+\s*"", """")),
  iniciales, IF(
    resto="""",
    """",
    TEXTJOIN("""",1,ARRAYFORMULA(LEFT(SPLIT(resto,"" ""),1) &amp; "".""))"&amp;"
  ),
  UPPER(primer) &amp; "" "" &amp; UPPER(iniciales)
))"),"")</f>
        <v/>
      </c>
      <c r="J368" s="33" t="str">
        <f>IFERROR(__xludf.DUMMYFUNCTION("IF(H368="""","""",IFERROR(
IF(REGEXMATCH(E368,""VELOCIDAD""),
   IF(H368&gt;=MAX(INDEX(BAREMOS!F:X,MATCH(1,(BAREMOS!A:A=A368)*(BAREMOS!B:B=B368)*(BAREMOS!C:C=C368)*(BAREMOS!D:D=D368),0),0)),1,
      IF(H368&lt;=MIN(INDEX(BAREMOS!F:X,MATCH(1,(BAREMOS!A:A=A368)*("&amp;"BAREMOS!B:B=B368)*(BAREMOS!C:C=C368)*(BAREMOS!D:D=D368),0),0)),19,
         MATCH(H368,INDEX(BAREMOS!F:X,MATCH(1,(BAREMOS!A:A=A368)*(BAREMOS!B:B=B368)*(BAREMOS!C:C=C368)*(BAREMOS!D:D=D368),0),0),-1)
      )
   ),
   IF(H368&lt;=MIN(INDEX(BAREMOS!F:X,MATCH(1,"&amp;"(BAREMOS!A:A=A368)*(BAREMOS!B:B=B368)*(BAREMOS!C:C=C368)*(BAREMOS!D:D=D368),0),0)),1,
      IF(H368&gt;=MAX(INDEX(BAREMOS!F:X,MATCH(1,(BAREMOS!A:A=A368)*(BAREMOS!B:B=B368)*(BAREMOS!C:C=C368)*(BAREMOS!D:D=D368),0),0)),19,
         MATCH(H368,INDEX(BAREMOS!F:X"&amp;",MATCH(1,(BAREMOS!A:A=A368)*(BAREMOS!B:B=B368)*(BAREMOS!C:C=C368)*(BAREMOS!D:D=D368),0),0),1)
      )
   )
)
,""""))
"),"")</f>
        <v/>
      </c>
      <c r="K368" s="34" t="str">
        <f t="shared" si="1"/>
        <v/>
      </c>
      <c r="L368" s="16"/>
      <c r="M368" s="16"/>
      <c r="N368" s="16"/>
      <c r="O368" s="16"/>
      <c r="P368" s="16"/>
      <c r="Q368" s="16"/>
      <c r="R368" s="16"/>
      <c r="S368" s="16"/>
      <c r="T368" s="16"/>
      <c r="U368" s="16"/>
      <c r="V368" s="16"/>
      <c r="W368" s="16"/>
      <c r="X368" s="16"/>
      <c r="Y368" s="16"/>
      <c r="Z368" s="16"/>
      <c r="AA368" s="16"/>
      <c r="AB368" s="16"/>
      <c r="AC368" s="16"/>
    </row>
    <row r="369">
      <c r="A369" s="22" t="str">
        <f t="array" ref="A369">IF(E369="","",IFERROR(INDEX(CONFIGURACION!C:C,MATCH(E369,CONFIGURACION!E:E,0)),""))
</f>
        <v/>
      </c>
      <c r="B369" s="22" t="str">
        <f t="array" ref="B369">IF(E369="","",IFERROR(INDEX(CONFIGURACION!D:D,MATCH(E369,CONFIGURACION!E:E,0)),""))
</f>
        <v/>
      </c>
      <c r="C369" s="31"/>
      <c r="D369" s="9"/>
      <c r="E369" s="6"/>
      <c r="F369" s="24"/>
      <c r="G369" s="9"/>
      <c r="H369" s="32"/>
      <c r="I369" s="33" t="str">
        <f>IFERROR(__xludf.DUMMYFUNCTION("IF(F369="""","""",LET(
  nombre, TRIM(F369),
  primer, REGEXEXTRACT(nombre, ""^\S+""),
  resto, TRIM(REGEXREPLACE(nombre, ""^\S+\s*"", """")),
  iniciales, IF(
    resto="""",
    """",
    TEXTJOIN("""",1,ARRAYFORMULA(LEFT(SPLIT(resto,"" ""),1) &amp; "".""))"&amp;"
  ),
  UPPER(primer) &amp; "" "" &amp; UPPER(iniciales)
))"),"")</f>
        <v/>
      </c>
      <c r="J369" s="33" t="str">
        <f>IFERROR(__xludf.DUMMYFUNCTION("IF(H369="""","""",IFERROR(
IF(REGEXMATCH(E369,""VELOCIDAD""),
   IF(H369&gt;=MAX(INDEX(BAREMOS!F:X,MATCH(1,(BAREMOS!A:A=A369)*(BAREMOS!B:B=B369)*(BAREMOS!C:C=C369)*(BAREMOS!D:D=D369),0),0)),1,
      IF(H369&lt;=MIN(INDEX(BAREMOS!F:X,MATCH(1,(BAREMOS!A:A=A369)*("&amp;"BAREMOS!B:B=B369)*(BAREMOS!C:C=C369)*(BAREMOS!D:D=D369),0),0)),19,
         MATCH(H369,INDEX(BAREMOS!F:X,MATCH(1,(BAREMOS!A:A=A369)*(BAREMOS!B:B=B369)*(BAREMOS!C:C=C369)*(BAREMOS!D:D=D369),0),0),-1)
      )
   ),
   IF(H369&lt;=MIN(INDEX(BAREMOS!F:X,MATCH(1,"&amp;"(BAREMOS!A:A=A369)*(BAREMOS!B:B=B369)*(BAREMOS!C:C=C369)*(BAREMOS!D:D=D369),0),0)),1,
      IF(H369&gt;=MAX(INDEX(BAREMOS!F:X,MATCH(1,(BAREMOS!A:A=A369)*(BAREMOS!B:B=B369)*(BAREMOS!C:C=C369)*(BAREMOS!D:D=D369),0),0)),19,
         MATCH(H369,INDEX(BAREMOS!F:X"&amp;",MATCH(1,(BAREMOS!A:A=A369)*(BAREMOS!B:B=B369)*(BAREMOS!C:C=C369)*(BAREMOS!D:D=D369),0),0),1)
      )
   )
)
,""""))
"),"")</f>
        <v/>
      </c>
      <c r="K369" s="34" t="str">
        <f t="shared" si="1"/>
        <v/>
      </c>
      <c r="L369" s="16"/>
      <c r="M369" s="16"/>
      <c r="N369" s="16"/>
      <c r="O369" s="16"/>
      <c r="P369" s="16"/>
      <c r="Q369" s="16"/>
      <c r="R369" s="16"/>
      <c r="S369" s="16"/>
      <c r="T369" s="16"/>
      <c r="U369" s="16"/>
      <c r="V369" s="16"/>
      <c r="W369" s="16"/>
      <c r="X369" s="16"/>
      <c r="Y369" s="16"/>
      <c r="Z369" s="16"/>
      <c r="AA369" s="16"/>
      <c r="AB369" s="16"/>
      <c r="AC369" s="16"/>
    </row>
    <row r="370">
      <c r="A370" s="22" t="str">
        <f t="array" ref="A370">IF(E370="","",IFERROR(INDEX(CONFIGURACION!C:C,MATCH(E370,CONFIGURACION!E:E,0)),""))
</f>
        <v/>
      </c>
      <c r="B370" s="22" t="str">
        <f t="array" ref="B370">IF(E370="","",IFERROR(INDEX(CONFIGURACION!D:D,MATCH(E370,CONFIGURACION!E:E,0)),""))
</f>
        <v/>
      </c>
      <c r="C370" s="31"/>
      <c r="D370" s="9"/>
      <c r="E370" s="6"/>
      <c r="F370" s="24"/>
      <c r="G370" s="9"/>
      <c r="H370" s="32"/>
      <c r="I370" s="33" t="str">
        <f>IFERROR(__xludf.DUMMYFUNCTION("IF(F370="""","""",LET(
  nombre, TRIM(F370),
  primer, REGEXEXTRACT(nombre, ""^\S+""),
  resto, TRIM(REGEXREPLACE(nombre, ""^\S+\s*"", """")),
  iniciales, IF(
    resto="""",
    """",
    TEXTJOIN("""",1,ARRAYFORMULA(LEFT(SPLIT(resto,"" ""),1) &amp; "".""))"&amp;"
  ),
  UPPER(primer) &amp; "" "" &amp; UPPER(iniciales)
))"),"")</f>
        <v/>
      </c>
      <c r="J370" s="33" t="str">
        <f>IFERROR(__xludf.DUMMYFUNCTION("IF(H370="""","""",IFERROR(
IF(REGEXMATCH(E370,""VELOCIDAD""),
   IF(H370&gt;=MAX(INDEX(BAREMOS!F:X,MATCH(1,(BAREMOS!A:A=A370)*(BAREMOS!B:B=B370)*(BAREMOS!C:C=C370)*(BAREMOS!D:D=D370),0),0)),1,
      IF(H370&lt;=MIN(INDEX(BAREMOS!F:X,MATCH(1,(BAREMOS!A:A=A370)*("&amp;"BAREMOS!B:B=B370)*(BAREMOS!C:C=C370)*(BAREMOS!D:D=D370),0),0)),19,
         MATCH(H370,INDEX(BAREMOS!F:X,MATCH(1,(BAREMOS!A:A=A370)*(BAREMOS!B:B=B370)*(BAREMOS!C:C=C370)*(BAREMOS!D:D=D370),0),0),-1)
      )
   ),
   IF(H370&lt;=MIN(INDEX(BAREMOS!F:X,MATCH(1,"&amp;"(BAREMOS!A:A=A370)*(BAREMOS!B:B=B370)*(BAREMOS!C:C=C370)*(BAREMOS!D:D=D370),0),0)),1,
      IF(H370&gt;=MAX(INDEX(BAREMOS!F:X,MATCH(1,(BAREMOS!A:A=A370)*(BAREMOS!B:B=B370)*(BAREMOS!C:C=C370)*(BAREMOS!D:D=D370),0),0)),19,
         MATCH(H370,INDEX(BAREMOS!F:X"&amp;",MATCH(1,(BAREMOS!A:A=A370)*(BAREMOS!B:B=B370)*(BAREMOS!C:C=C370)*(BAREMOS!D:D=D370),0),0),1)
      )
   )
)
,""""))
"),"")</f>
        <v/>
      </c>
      <c r="K370" s="34" t="str">
        <f t="shared" si="1"/>
        <v/>
      </c>
      <c r="L370" s="16"/>
      <c r="M370" s="16"/>
      <c r="N370" s="16"/>
      <c r="O370" s="16"/>
      <c r="P370" s="16"/>
      <c r="Q370" s="16"/>
      <c r="R370" s="16"/>
      <c r="S370" s="16"/>
      <c r="T370" s="16"/>
      <c r="U370" s="16"/>
      <c r="V370" s="16"/>
      <c r="W370" s="16"/>
      <c r="X370" s="16"/>
      <c r="Y370" s="16"/>
      <c r="Z370" s="16"/>
      <c r="AA370" s="16"/>
      <c r="AB370" s="16"/>
      <c r="AC370" s="16"/>
    </row>
    <row r="371">
      <c r="A371" s="22" t="str">
        <f t="array" ref="A371">IF(E371="","",IFERROR(INDEX(CONFIGURACION!C:C,MATCH(E371,CONFIGURACION!E:E,0)),""))
</f>
        <v/>
      </c>
      <c r="B371" s="22" t="str">
        <f t="array" ref="B371">IF(E371="","",IFERROR(INDEX(CONFIGURACION!D:D,MATCH(E371,CONFIGURACION!E:E,0)),""))
</f>
        <v/>
      </c>
      <c r="C371" s="31"/>
      <c r="D371" s="9"/>
      <c r="E371" s="6"/>
      <c r="F371" s="24"/>
      <c r="G371" s="9"/>
      <c r="H371" s="32"/>
      <c r="I371" s="33" t="str">
        <f>IFERROR(__xludf.DUMMYFUNCTION("IF(F371="""","""",LET(
  nombre, TRIM(F371),
  primer, REGEXEXTRACT(nombre, ""^\S+""),
  resto, TRIM(REGEXREPLACE(nombre, ""^\S+\s*"", """")),
  iniciales, IF(
    resto="""",
    """",
    TEXTJOIN("""",1,ARRAYFORMULA(LEFT(SPLIT(resto,"" ""),1) &amp; "".""))"&amp;"
  ),
  UPPER(primer) &amp; "" "" &amp; UPPER(iniciales)
))"),"")</f>
        <v/>
      </c>
      <c r="J371" s="33" t="str">
        <f>IFERROR(__xludf.DUMMYFUNCTION("IF(H371="""","""",IFERROR(
IF(REGEXMATCH(E371,""VELOCIDAD""),
   IF(H371&gt;=MAX(INDEX(BAREMOS!F:X,MATCH(1,(BAREMOS!A:A=A371)*(BAREMOS!B:B=B371)*(BAREMOS!C:C=C371)*(BAREMOS!D:D=D371),0),0)),1,
      IF(H371&lt;=MIN(INDEX(BAREMOS!F:X,MATCH(1,(BAREMOS!A:A=A371)*("&amp;"BAREMOS!B:B=B371)*(BAREMOS!C:C=C371)*(BAREMOS!D:D=D371),0),0)),19,
         MATCH(H371,INDEX(BAREMOS!F:X,MATCH(1,(BAREMOS!A:A=A371)*(BAREMOS!B:B=B371)*(BAREMOS!C:C=C371)*(BAREMOS!D:D=D371),0),0),-1)
      )
   ),
   IF(H371&lt;=MIN(INDEX(BAREMOS!F:X,MATCH(1,"&amp;"(BAREMOS!A:A=A371)*(BAREMOS!B:B=B371)*(BAREMOS!C:C=C371)*(BAREMOS!D:D=D371),0),0)),1,
      IF(H371&gt;=MAX(INDEX(BAREMOS!F:X,MATCH(1,(BAREMOS!A:A=A371)*(BAREMOS!B:B=B371)*(BAREMOS!C:C=C371)*(BAREMOS!D:D=D371),0),0)),19,
         MATCH(H371,INDEX(BAREMOS!F:X"&amp;",MATCH(1,(BAREMOS!A:A=A371)*(BAREMOS!B:B=B371)*(BAREMOS!C:C=C371)*(BAREMOS!D:D=D371),0),0),1)
      )
   )
)
,""""))
"),"")</f>
        <v/>
      </c>
      <c r="K371" s="34" t="str">
        <f t="shared" si="1"/>
        <v/>
      </c>
      <c r="L371" s="16"/>
      <c r="M371" s="16"/>
      <c r="N371" s="16"/>
      <c r="O371" s="16"/>
      <c r="P371" s="16"/>
      <c r="Q371" s="16"/>
      <c r="R371" s="16"/>
      <c r="S371" s="16"/>
      <c r="T371" s="16"/>
      <c r="U371" s="16"/>
      <c r="V371" s="16"/>
      <c r="W371" s="16"/>
      <c r="X371" s="16"/>
      <c r="Y371" s="16"/>
      <c r="Z371" s="16"/>
      <c r="AA371" s="16"/>
      <c r="AB371" s="16"/>
      <c r="AC371" s="16"/>
    </row>
    <row r="372">
      <c r="A372" s="22" t="str">
        <f t="array" ref="A372">IF(E372="","",IFERROR(INDEX(CONFIGURACION!C:C,MATCH(E372,CONFIGURACION!E:E,0)),""))
</f>
        <v/>
      </c>
      <c r="B372" s="22" t="str">
        <f t="array" ref="B372">IF(E372="","",IFERROR(INDEX(CONFIGURACION!D:D,MATCH(E372,CONFIGURACION!E:E,0)),""))
</f>
        <v/>
      </c>
      <c r="C372" s="31"/>
      <c r="D372" s="9"/>
      <c r="E372" s="6"/>
      <c r="F372" s="24"/>
      <c r="G372" s="9"/>
      <c r="H372" s="32"/>
      <c r="I372" s="33" t="str">
        <f>IFERROR(__xludf.DUMMYFUNCTION("IF(F372="""","""",LET(
  nombre, TRIM(F372),
  primer, REGEXEXTRACT(nombre, ""^\S+""),
  resto, TRIM(REGEXREPLACE(nombre, ""^\S+\s*"", """")),
  iniciales, IF(
    resto="""",
    """",
    TEXTJOIN("""",1,ARRAYFORMULA(LEFT(SPLIT(resto,"" ""),1) &amp; "".""))"&amp;"
  ),
  UPPER(primer) &amp; "" "" &amp; UPPER(iniciales)
))"),"")</f>
        <v/>
      </c>
      <c r="J372" s="33" t="str">
        <f>IFERROR(__xludf.DUMMYFUNCTION("IF(H372="""","""",IFERROR(
IF(REGEXMATCH(E372,""VELOCIDAD""),
   IF(H372&gt;=MAX(INDEX(BAREMOS!F:X,MATCH(1,(BAREMOS!A:A=A372)*(BAREMOS!B:B=B372)*(BAREMOS!C:C=C372)*(BAREMOS!D:D=D372),0),0)),1,
      IF(H372&lt;=MIN(INDEX(BAREMOS!F:X,MATCH(1,(BAREMOS!A:A=A372)*("&amp;"BAREMOS!B:B=B372)*(BAREMOS!C:C=C372)*(BAREMOS!D:D=D372),0),0)),19,
         MATCH(H372,INDEX(BAREMOS!F:X,MATCH(1,(BAREMOS!A:A=A372)*(BAREMOS!B:B=B372)*(BAREMOS!C:C=C372)*(BAREMOS!D:D=D372),0),0),-1)
      )
   ),
   IF(H372&lt;=MIN(INDEX(BAREMOS!F:X,MATCH(1,"&amp;"(BAREMOS!A:A=A372)*(BAREMOS!B:B=B372)*(BAREMOS!C:C=C372)*(BAREMOS!D:D=D372),0),0)),1,
      IF(H372&gt;=MAX(INDEX(BAREMOS!F:X,MATCH(1,(BAREMOS!A:A=A372)*(BAREMOS!B:B=B372)*(BAREMOS!C:C=C372)*(BAREMOS!D:D=D372),0),0)),19,
         MATCH(H372,INDEX(BAREMOS!F:X"&amp;",MATCH(1,(BAREMOS!A:A=A372)*(BAREMOS!B:B=B372)*(BAREMOS!C:C=C372)*(BAREMOS!D:D=D372),0),0),1)
      )
   )
)
,""""))
"),"")</f>
        <v/>
      </c>
      <c r="K372" s="34" t="str">
        <f t="shared" si="1"/>
        <v/>
      </c>
      <c r="L372" s="16"/>
      <c r="M372" s="16"/>
      <c r="N372" s="16"/>
      <c r="O372" s="16"/>
      <c r="P372" s="16"/>
      <c r="Q372" s="16"/>
      <c r="R372" s="16"/>
      <c r="S372" s="16"/>
      <c r="T372" s="16"/>
      <c r="U372" s="16"/>
      <c r="V372" s="16"/>
      <c r="W372" s="16"/>
      <c r="X372" s="16"/>
      <c r="Y372" s="16"/>
      <c r="Z372" s="16"/>
      <c r="AA372" s="16"/>
      <c r="AB372" s="16"/>
      <c r="AC372" s="16"/>
    </row>
    <row r="373">
      <c r="A373" s="22" t="str">
        <f t="array" ref="A373">IF(E373="","",IFERROR(INDEX(CONFIGURACION!C:C,MATCH(E373,CONFIGURACION!E:E,0)),""))
</f>
        <v/>
      </c>
      <c r="B373" s="22" t="str">
        <f t="array" ref="B373">IF(E373="","",IFERROR(INDEX(CONFIGURACION!D:D,MATCH(E373,CONFIGURACION!E:E,0)),""))
</f>
        <v/>
      </c>
      <c r="C373" s="31"/>
      <c r="D373" s="9"/>
      <c r="E373" s="6"/>
      <c r="F373" s="24"/>
      <c r="G373" s="9"/>
      <c r="H373" s="32"/>
      <c r="I373" s="33" t="str">
        <f>IFERROR(__xludf.DUMMYFUNCTION("IF(F373="""","""",LET(
  nombre, TRIM(F373),
  primer, REGEXEXTRACT(nombre, ""^\S+""),
  resto, TRIM(REGEXREPLACE(nombre, ""^\S+\s*"", """")),
  iniciales, IF(
    resto="""",
    """",
    TEXTJOIN("""",1,ARRAYFORMULA(LEFT(SPLIT(resto,"" ""),1) &amp; "".""))"&amp;"
  ),
  UPPER(primer) &amp; "" "" &amp; UPPER(iniciales)
))"),"")</f>
        <v/>
      </c>
      <c r="J373" s="33" t="str">
        <f>IFERROR(__xludf.DUMMYFUNCTION("IF(H373="""","""",IFERROR(
IF(REGEXMATCH(E373,""VELOCIDAD""),
   IF(H373&gt;=MAX(INDEX(BAREMOS!F:X,MATCH(1,(BAREMOS!A:A=A373)*(BAREMOS!B:B=B373)*(BAREMOS!C:C=C373)*(BAREMOS!D:D=D373),0),0)),1,
      IF(H373&lt;=MIN(INDEX(BAREMOS!F:X,MATCH(1,(BAREMOS!A:A=A373)*("&amp;"BAREMOS!B:B=B373)*(BAREMOS!C:C=C373)*(BAREMOS!D:D=D373),0),0)),19,
         MATCH(H373,INDEX(BAREMOS!F:X,MATCH(1,(BAREMOS!A:A=A373)*(BAREMOS!B:B=B373)*(BAREMOS!C:C=C373)*(BAREMOS!D:D=D373),0),0),-1)
      )
   ),
   IF(H373&lt;=MIN(INDEX(BAREMOS!F:X,MATCH(1,"&amp;"(BAREMOS!A:A=A373)*(BAREMOS!B:B=B373)*(BAREMOS!C:C=C373)*(BAREMOS!D:D=D373),0),0)),1,
      IF(H373&gt;=MAX(INDEX(BAREMOS!F:X,MATCH(1,(BAREMOS!A:A=A373)*(BAREMOS!B:B=B373)*(BAREMOS!C:C=C373)*(BAREMOS!D:D=D373),0),0)),19,
         MATCH(H373,INDEX(BAREMOS!F:X"&amp;",MATCH(1,(BAREMOS!A:A=A373)*(BAREMOS!B:B=B373)*(BAREMOS!C:C=C373)*(BAREMOS!D:D=D373),0),0),1)
      )
   )
)
,""""))
"),"")</f>
        <v/>
      </c>
      <c r="K373" s="34" t="str">
        <f t="shared" si="1"/>
        <v/>
      </c>
      <c r="L373" s="16"/>
      <c r="M373" s="16"/>
      <c r="N373" s="16"/>
      <c r="O373" s="16"/>
      <c r="P373" s="16"/>
      <c r="Q373" s="16"/>
      <c r="R373" s="16"/>
      <c r="S373" s="16"/>
      <c r="T373" s="16"/>
      <c r="U373" s="16"/>
      <c r="V373" s="16"/>
      <c r="W373" s="16"/>
      <c r="X373" s="16"/>
      <c r="Y373" s="16"/>
      <c r="Z373" s="16"/>
      <c r="AA373" s="16"/>
      <c r="AB373" s="16"/>
      <c r="AC373" s="16"/>
    </row>
    <row r="374">
      <c r="A374" s="22" t="str">
        <f t="array" ref="A374">IF(E374="","",IFERROR(INDEX(CONFIGURACION!C:C,MATCH(E374,CONFIGURACION!E:E,0)),""))
</f>
        <v/>
      </c>
      <c r="B374" s="22" t="str">
        <f t="array" ref="B374">IF(E374="","",IFERROR(INDEX(CONFIGURACION!D:D,MATCH(E374,CONFIGURACION!E:E,0)),""))
</f>
        <v/>
      </c>
      <c r="C374" s="31"/>
      <c r="D374" s="9"/>
      <c r="E374" s="6"/>
      <c r="F374" s="24"/>
      <c r="G374" s="9"/>
      <c r="H374" s="32"/>
      <c r="I374" s="33" t="str">
        <f>IFERROR(__xludf.DUMMYFUNCTION("IF(F374="""","""",LET(
  nombre, TRIM(F374),
  primer, REGEXEXTRACT(nombre, ""^\S+""),
  resto, TRIM(REGEXREPLACE(nombre, ""^\S+\s*"", """")),
  iniciales, IF(
    resto="""",
    """",
    TEXTJOIN("""",1,ARRAYFORMULA(LEFT(SPLIT(resto,"" ""),1) &amp; "".""))"&amp;"
  ),
  UPPER(primer) &amp; "" "" &amp; UPPER(iniciales)
))"),"")</f>
        <v/>
      </c>
      <c r="J374" s="33" t="str">
        <f>IFERROR(__xludf.DUMMYFUNCTION("IF(H374="""","""",IFERROR(
IF(REGEXMATCH(E374,""VELOCIDAD""),
   IF(H374&gt;=MAX(INDEX(BAREMOS!F:X,MATCH(1,(BAREMOS!A:A=A374)*(BAREMOS!B:B=B374)*(BAREMOS!C:C=C374)*(BAREMOS!D:D=D374),0),0)),1,
      IF(H374&lt;=MIN(INDEX(BAREMOS!F:X,MATCH(1,(BAREMOS!A:A=A374)*("&amp;"BAREMOS!B:B=B374)*(BAREMOS!C:C=C374)*(BAREMOS!D:D=D374),0),0)),19,
         MATCH(H374,INDEX(BAREMOS!F:X,MATCH(1,(BAREMOS!A:A=A374)*(BAREMOS!B:B=B374)*(BAREMOS!C:C=C374)*(BAREMOS!D:D=D374),0),0),-1)
      )
   ),
   IF(H374&lt;=MIN(INDEX(BAREMOS!F:X,MATCH(1,"&amp;"(BAREMOS!A:A=A374)*(BAREMOS!B:B=B374)*(BAREMOS!C:C=C374)*(BAREMOS!D:D=D374),0),0)),1,
      IF(H374&gt;=MAX(INDEX(BAREMOS!F:X,MATCH(1,(BAREMOS!A:A=A374)*(BAREMOS!B:B=B374)*(BAREMOS!C:C=C374)*(BAREMOS!D:D=D374),0),0)),19,
         MATCH(H374,INDEX(BAREMOS!F:X"&amp;",MATCH(1,(BAREMOS!A:A=A374)*(BAREMOS!B:B=B374)*(BAREMOS!C:C=C374)*(BAREMOS!D:D=D374),0),0),1)
      )
   )
)
,""""))
"),"")</f>
        <v/>
      </c>
      <c r="K374" s="34" t="str">
        <f t="shared" si="1"/>
        <v/>
      </c>
      <c r="L374" s="16"/>
      <c r="M374" s="16"/>
      <c r="N374" s="16"/>
      <c r="O374" s="16"/>
      <c r="P374" s="16"/>
      <c r="Q374" s="16"/>
      <c r="R374" s="16"/>
      <c r="S374" s="16"/>
      <c r="T374" s="16"/>
      <c r="U374" s="16"/>
      <c r="V374" s="16"/>
      <c r="W374" s="16"/>
      <c r="X374" s="16"/>
      <c r="Y374" s="16"/>
      <c r="Z374" s="16"/>
      <c r="AA374" s="16"/>
      <c r="AB374" s="16"/>
      <c r="AC374" s="16"/>
    </row>
    <row r="375">
      <c r="A375" s="22" t="str">
        <f t="array" ref="A375">IF(E375="","",IFERROR(INDEX(CONFIGURACION!C:C,MATCH(E375,CONFIGURACION!E:E,0)),""))
</f>
        <v/>
      </c>
      <c r="B375" s="22" t="str">
        <f t="array" ref="B375">IF(E375="","",IFERROR(INDEX(CONFIGURACION!D:D,MATCH(E375,CONFIGURACION!E:E,0)),""))
</f>
        <v/>
      </c>
      <c r="C375" s="31"/>
      <c r="D375" s="9"/>
      <c r="E375" s="6"/>
      <c r="F375" s="24"/>
      <c r="G375" s="9"/>
      <c r="H375" s="32"/>
      <c r="I375" s="33" t="str">
        <f>IFERROR(__xludf.DUMMYFUNCTION("IF(F375="""","""",LET(
  nombre, TRIM(F375),
  primer, REGEXEXTRACT(nombre, ""^\S+""),
  resto, TRIM(REGEXREPLACE(nombre, ""^\S+\s*"", """")),
  iniciales, IF(
    resto="""",
    """",
    TEXTJOIN("""",1,ARRAYFORMULA(LEFT(SPLIT(resto,"" ""),1) &amp; "".""))"&amp;"
  ),
  UPPER(primer) &amp; "" "" &amp; UPPER(iniciales)
))"),"")</f>
        <v/>
      </c>
      <c r="J375" s="33" t="str">
        <f>IFERROR(__xludf.DUMMYFUNCTION("IF(H375="""","""",IFERROR(
IF(REGEXMATCH(E375,""VELOCIDAD""),
   IF(H375&gt;=MAX(INDEX(BAREMOS!F:X,MATCH(1,(BAREMOS!A:A=A375)*(BAREMOS!B:B=B375)*(BAREMOS!C:C=C375)*(BAREMOS!D:D=D375),0),0)),1,
      IF(H375&lt;=MIN(INDEX(BAREMOS!F:X,MATCH(1,(BAREMOS!A:A=A375)*("&amp;"BAREMOS!B:B=B375)*(BAREMOS!C:C=C375)*(BAREMOS!D:D=D375),0),0)),19,
         MATCH(H375,INDEX(BAREMOS!F:X,MATCH(1,(BAREMOS!A:A=A375)*(BAREMOS!B:B=B375)*(BAREMOS!C:C=C375)*(BAREMOS!D:D=D375),0),0),-1)
      )
   ),
   IF(H375&lt;=MIN(INDEX(BAREMOS!F:X,MATCH(1,"&amp;"(BAREMOS!A:A=A375)*(BAREMOS!B:B=B375)*(BAREMOS!C:C=C375)*(BAREMOS!D:D=D375),0),0)),1,
      IF(H375&gt;=MAX(INDEX(BAREMOS!F:X,MATCH(1,(BAREMOS!A:A=A375)*(BAREMOS!B:B=B375)*(BAREMOS!C:C=C375)*(BAREMOS!D:D=D375),0),0)),19,
         MATCH(H375,INDEX(BAREMOS!F:X"&amp;",MATCH(1,(BAREMOS!A:A=A375)*(BAREMOS!B:B=B375)*(BAREMOS!C:C=C375)*(BAREMOS!D:D=D375),0),0),1)
      )
   )
)
,""""))
"),"")</f>
        <v/>
      </c>
      <c r="K375" s="34" t="str">
        <f t="shared" si="1"/>
        <v/>
      </c>
      <c r="L375" s="16"/>
      <c r="M375" s="16"/>
      <c r="N375" s="16"/>
      <c r="O375" s="16"/>
      <c r="P375" s="16"/>
      <c r="Q375" s="16"/>
      <c r="R375" s="16"/>
      <c r="S375" s="16"/>
      <c r="T375" s="16"/>
      <c r="U375" s="16"/>
      <c r="V375" s="16"/>
      <c r="W375" s="16"/>
      <c r="X375" s="16"/>
      <c r="Y375" s="16"/>
      <c r="Z375" s="16"/>
      <c r="AA375" s="16"/>
      <c r="AB375" s="16"/>
      <c r="AC375" s="16"/>
    </row>
    <row r="376">
      <c r="A376" s="22" t="str">
        <f t="array" ref="A376">IF(E376="","",IFERROR(INDEX(CONFIGURACION!C:C,MATCH(E376,CONFIGURACION!E:E,0)),""))
</f>
        <v/>
      </c>
      <c r="B376" s="22" t="str">
        <f t="array" ref="B376">IF(E376="","",IFERROR(INDEX(CONFIGURACION!D:D,MATCH(E376,CONFIGURACION!E:E,0)),""))
</f>
        <v/>
      </c>
      <c r="C376" s="31"/>
      <c r="D376" s="9"/>
      <c r="E376" s="6"/>
      <c r="F376" s="24"/>
      <c r="G376" s="9"/>
      <c r="H376" s="32"/>
      <c r="I376" s="33" t="str">
        <f>IFERROR(__xludf.DUMMYFUNCTION("IF(F376="""","""",LET(
  nombre, TRIM(F376),
  primer, REGEXEXTRACT(nombre, ""^\S+""),
  resto, TRIM(REGEXREPLACE(nombre, ""^\S+\s*"", """")),
  iniciales, IF(
    resto="""",
    """",
    TEXTJOIN("""",1,ARRAYFORMULA(LEFT(SPLIT(resto,"" ""),1) &amp; "".""))"&amp;"
  ),
  UPPER(primer) &amp; "" "" &amp; UPPER(iniciales)
))"),"")</f>
        <v/>
      </c>
      <c r="J376" s="33" t="str">
        <f>IFERROR(__xludf.DUMMYFUNCTION("IF(H376="""","""",IFERROR(
IF(REGEXMATCH(E376,""VELOCIDAD""),
   IF(H376&gt;=MAX(INDEX(BAREMOS!F:X,MATCH(1,(BAREMOS!A:A=A376)*(BAREMOS!B:B=B376)*(BAREMOS!C:C=C376)*(BAREMOS!D:D=D376),0),0)),1,
      IF(H376&lt;=MIN(INDEX(BAREMOS!F:X,MATCH(1,(BAREMOS!A:A=A376)*("&amp;"BAREMOS!B:B=B376)*(BAREMOS!C:C=C376)*(BAREMOS!D:D=D376),0),0)),19,
         MATCH(H376,INDEX(BAREMOS!F:X,MATCH(1,(BAREMOS!A:A=A376)*(BAREMOS!B:B=B376)*(BAREMOS!C:C=C376)*(BAREMOS!D:D=D376),0),0),-1)
      )
   ),
   IF(H376&lt;=MIN(INDEX(BAREMOS!F:X,MATCH(1,"&amp;"(BAREMOS!A:A=A376)*(BAREMOS!B:B=B376)*(BAREMOS!C:C=C376)*(BAREMOS!D:D=D376),0),0)),1,
      IF(H376&gt;=MAX(INDEX(BAREMOS!F:X,MATCH(1,(BAREMOS!A:A=A376)*(BAREMOS!B:B=B376)*(BAREMOS!C:C=C376)*(BAREMOS!D:D=D376),0),0)),19,
         MATCH(H376,INDEX(BAREMOS!F:X"&amp;",MATCH(1,(BAREMOS!A:A=A376)*(BAREMOS!B:B=B376)*(BAREMOS!C:C=C376)*(BAREMOS!D:D=D376),0),0),1)
      )
   )
)
,""""))
"),"")</f>
        <v/>
      </c>
      <c r="K376" s="34" t="str">
        <f t="shared" si="1"/>
        <v/>
      </c>
      <c r="L376" s="16"/>
      <c r="M376" s="16"/>
      <c r="N376" s="16"/>
      <c r="O376" s="16"/>
      <c r="P376" s="16"/>
      <c r="Q376" s="16"/>
      <c r="R376" s="16"/>
      <c r="S376" s="16"/>
      <c r="T376" s="16"/>
      <c r="U376" s="16"/>
      <c r="V376" s="16"/>
      <c r="W376" s="16"/>
      <c r="X376" s="16"/>
      <c r="Y376" s="16"/>
      <c r="Z376" s="16"/>
      <c r="AA376" s="16"/>
      <c r="AB376" s="16"/>
      <c r="AC376" s="16"/>
    </row>
    <row r="377">
      <c r="A377" s="22" t="str">
        <f t="array" ref="A377">IF(E377="","",IFERROR(INDEX(CONFIGURACION!C:C,MATCH(E377,CONFIGURACION!E:E,0)),""))
</f>
        <v/>
      </c>
      <c r="B377" s="22" t="str">
        <f t="array" ref="B377">IF(E377="","",IFERROR(INDEX(CONFIGURACION!D:D,MATCH(E377,CONFIGURACION!E:E,0)),""))
</f>
        <v/>
      </c>
      <c r="C377" s="31"/>
      <c r="D377" s="9"/>
      <c r="E377" s="6"/>
      <c r="F377" s="24"/>
      <c r="G377" s="9"/>
      <c r="H377" s="32"/>
      <c r="I377" s="33" t="str">
        <f>IFERROR(__xludf.DUMMYFUNCTION("IF(F377="""","""",LET(
  nombre, TRIM(F377),
  primer, REGEXEXTRACT(nombre, ""^\S+""),
  resto, TRIM(REGEXREPLACE(nombre, ""^\S+\s*"", """")),
  iniciales, IF(
    resto="""",
    """",
    TEXTJOIN("""",1,ARRAYFORMULA(LEFT(SPLIT(resto,"" ""),1) &amp; "".""))"&amp;"
  ),
  UPPER(primer) &amp; "" "" &amp; UPPER(iniciales)
))"),"")</f>
        <v/>
      </c>
      <c r="J377" s="33" t="str">
        <f>IFERROR(__xludf.DUMMYFUNCTION("IF(H377="""","""",IFERROR(
IF(REGEXMATCH(E377,""VELOCIDAD""),
   IF(H377&gt;=MAX(INDEX(BAREMOS!F:X,MATCH(1,(BAREMOS!A:A=A377)*(BAREMOS!B:B=B377)*(BAREMOS!C:C=C377)*(BAREMOS!D:D=D377),0),0)),1,
      IF(H377&lt;=MIN(INDEX(BAREMOS!F:X,MATCH(1,(BAREMOS!A:A=A377)*("&amp;"BAREMOS!B:B=B377)*(BAREMOS!C:C=C377)*(BAREMOS!D:D=D377),0),0)),19,
         MATCH(H377,INDEX(BAREMOS!F:X,MATCH(1,(BAREMOS!A:A=A377)*(BAREMOS!B:B=B377)*(BAREMOS!C:C=C377)*(BAREMOS!D:D=D377),0),0),-1)
      )
   ),
   IF(H377&lt;=MIN(INDEX(BAREMOS!F:X,MATCH(1,"&amp;"(BAREMOS!A:A=A377)*(BAREMOS!B:B=B377)*(BAREMOS!C:C=C377)*(BAREMOS!D:D=D377),0),0)),1,
      IF(H377&gt;=MAX(INDEX(BAREMOS!F:X,MATCH(1,(BAREMOS!A:A=A377)*(BAREMOS!B:B=B377)*(BAREMOS!C:C=C377)*(BAREMOS!D:D=D377),0),0)),19,
         MATCH(H377,INDEX(BAREMOS!F:X"&amp;",MATCH(1,(BAREMOS!A:A=A377)*(BAREMOS!B:B=B377)*(BAREMOS!C:C=C377)*(BAREMOS!D:D=D377),0),0),1)
      )
   )
)
,""""))
"),"")</f>
        <v/>
      </c>
      <c r="K377" s="34" t="str">
        <f t="shared" si="1"/>
        <v/>
      </c>
      <c r="L377" s="16"/>
      <c r="M377" s="16"/>
      <c r="N377" s="16"/>
      <c r="O377" s="16"/>
      <c r="P377" s="16"/>
      <c r="Q377" s="16"/>
      <c r="R377" s="16"/>
      <c r="S377" s="16"/>
      <c r="T377" s="16"/>
      <c r="U377" s="16"/>
      <c r="V377" s="16"/>
      <c r="W377" s="16"/>
      <c r="X377" s="16"/>
      <c r="Y377" s="16"/>
      <c r="Z377" s="16"/>
      <c r="AA377" s="16"/>
      <c r="AB377" s="16"/>
      <c r="AC377" s="16"/>
    </row>
    <row r="378">
      <c r="A378" s="22" t="str">
        <f t="array" ref="A378">IF(E378="","",IFERROR(INDEX(CONFIGURACION!C:C,MATCH(E378,CONFIGURACION!E:E,0)),""))
</f>
        <v/>
      </c>
      <c r="B378" s="22" t="str">
        <f t="array" ref="B378">IF(E378="","",IFERROR(INDEX(CONFIGURACION!D:D,MATCH(E378,CONFIGURACION!E:E,0)),""))
</f>
        <v/>
      </c>
      <c r="C378" s="31"/>
      <c r="D378" s="9"/>
      <c r="E378" s="6"/>
      <c r="F378" s="24"/>
      <c r="G378" s="9"/>
      <c r="H378" s="32"/>
      <c r="I378" s="33" t="str">
        <f>IFERROR(__xludf.DUMMYFUNCTION("IF(F378="""","""",LET(
  nombre, TRIM(F378),
  primer, REGEXEXTRACT(nombre, ""^\S+""),
  resto, TRIM(REGEXREPLACE(nombre, ""^\S+\s*"", """")),
  iniciales, IF(
    resto="""",
    """",
    TEXTJOIN("""",1,ARRAYFORMULA(LEFT(SPLIT(resto,"" ""),1) &amp; "".""))"&amp;"
  ),
  UPPER(primer) &amp; "" "" &amp; UPPER(iniciales)
))"),"")</f>
        <v/>
      </c>
      <c r="J378" s="33" t="str">
        <f>IFERROR(__xludf.DUMMYFUNCTION("IF(H378="""","""",IFERROR(
IF(REGEXMATCH(E378,""VELOCIDAD""),
   IF(H378&gt;=MAX(INDEX(BAREMOS!F:X,MATCH(1,(BAREMOS!A:A=A378)*(BAREMOS!B:B=B378)*(BAREMOS!C:C=C378)*(BAREMOS!D:D=D378),0),0)),1,
      IF(H378&lt;=MIN(INDEX(BAREMOS!F:X,MATCH(1,(BAREMOS!A:A=A378)*("&amp;"BAREMOS!B:B=B378)*(BAREMOS!C:C=C378)*(BAREMOS!D:D=D378),0),0)),19,
         MATCH(H378,INDEX(BAREMOS!F:X,MATCH(1,(BAREMOS!A:A=A378)*(BAREMOS!B:B=B378)*(BAREMOS!C:C=C378)*(BAREMOS!D:D=D378),0),0),-1)
      )
   ),
   IF(H378&lt;=MIN(INDEX(BAREMOS!F:X,MATCH(1,"&amp;"(BAREMOS!A:A=A378)*(BAREMOS!B:B=B378)*(BAREMOS!C:C=C378)*(BAREMOS!D:D=D378),0),0)),1,
      IF(H378&gt;=MAX(INDEX(BAREMOS!F:X,MATCH(1,(BAREMOS!A:A=A378)*(BAREMOS!B:B=B378)*(BAREMOS!C:C=C378)*(BAREMOS!D:D=D378),0),0)),19,
         MATCH(H378,INDEX(BAREMOS!F:X"&amp;",MATCH(1,(BAREMOS!A:A=A378)*(BAREMOS!B:B=B378)*(BAREMOS!C:C=C378)*(BAREMOS!D:D=D378),0),0),1)
      )
   )
)
,""""))
"),"")</f>
        <v/>
      </c>
      <c r="K378" s="34" t="str">
        <f t="shared" si="1"/>
        <v/>
      </c>
      <c r="L378" s="16"/>
      <c r="M378" s="16"/>
      <c r="N378" s="16"/>
      <c r="O378" s="16"/>
      <c r="P378" s="16"/>
      <c r="Q378" s="16"/>
      <c r="R378" s="16"/>
      <c r="S378" s="16"/>
      <c r="T378" s="16"/>
      <c r="U378" s="16"/>
      <c r="V378" s="16"/>
      <c r="W378" s="16"/>
      <c r="X378" s="16"/>
      <c r="Y378" s="16"/>
      <c r="Z378" s="16"/>
      <c r="AA378" s="16"/>
      <c r="AB378" s="16"/>
      <c r="AC378" s="16"/>
    </row>
    <row r="379">
      <c r="A379" s="22" t="str">
        <f t="array" ref="A379">IF(E379="","",IFERROR(INDEX(CONFIGURACION!C:C,MATCH(E379,CONFIGURACION!E:E,0)),""))
</f>
        <v/>
      </c>
      <c r="B379" s="22" t="str">
        <f t="array" ref="B379">IF(E379="","",IFERROR(INDEX(CONFIGURACION!D:D,MATCH(E379,CONFIGURACION!E:E,0)),""))
</f>
        <v/>
      </c>
      <c r="C379" s="31"/>
      <c r="D379" s="9"/>
      <c r="E379" s="6"/>
      <c r="F379" s="24"/>
      <c r="G379" s="9"/>
      <c r="H379" s="32"/>
      <c r="I379" s="33" t="str">
        <f>IFERROR(__xludf.DUMMYFUNCTION("IF(F379="""","""",LET(
  nombre, TRIM(F379),
  primer, REGEXEXTRACT(nombre, ""^\S+""),
  resto, TRIM(REGEXREPLACE(nombre, ""^\S+\s*"", """")),
  iniciales, IF(
    resto="""",
    """",
    TEXTJOIN("""",1,ARRAYFORMULA(LEFT(SPLIT(resto,"" ""),1) &amp; "".""))"&amp;"
  ),
  UPPER(primer) &amp; "" "" &amp; UPPER(iniciales)
))"),"")</f>
        <v/>
      </c>
      <c r="J379" s="33" t="str">
        <f>IFERROR(__xludf.DUMMYFUNCTION("IF(H379="""","""",IFERROR(
IF(REGEXMATCH(E379,""VELOCIDAD""),
   IF(H379&gt;=MAX(INDEX(BAREMOS!F:X,MATCH(1,(BAREMOS!A:A=A379)*(BAREMOS!B:B=B379)*(BAREMOS!C:C=C379)*(BAREMOS!D:D=D379),0),0)),1,
      IF(H379&lt;=MIN(INDEX(BAREMOS!F:X,MATCH(1,(BAREMOS!A:A=A379)*("&amp;"BAREMOS!B:B=B379)*(BAREMOS!C:C=C379)*(BAREMOS!D:D=D379),0),0)),19,
         MATCH(H379,INDEX(BAREMOS!F:X,MATCH(1,(BAREMOS!A:A=A379)*(BAREMOS!B:B=B379)*(BAREMOS!C:C=C379)*(BAREMOS!D:D=D379),0),0),-1)
      )
   ),
   IF(H379&lt;=MIN(INDEX(BAREMOS!F:X,MATCH(1,"&amp;"(BAREMOS!A:A=A379)*(BAREMOS!B:B=B379)*(BAREMOS!C:C=C379)*(BAREMOS!D:D=D379),0),0)),1,
      IF(H379&gt;=MAX(INDEX(BAREMOS!F:X,MATCH(1,(BAREMOS!A:A=A379)*(BAREMOS!B:B=B379)*(BAREMOS!C:C=C379)*(BAREMOS!D:D=D379),0),0)),19,
         MATCH(H379,INDEX(BAREMOS!F:X"&amp;",MATCH(1,(BAREMOS!A:A=A379)*(BAREMOS!B:B=B379)*(BAREMOS!C:C=C379)*(BAREMOS!D:D=D379),0),0),1)
      )
   )
)
,""""))
"),"")</f>
        <v/>
      </c>
      <c r="K379" s="34" t="str">
        <f t="shared" si="1"/>
        <v/>
      </c>
      <c r="L379" s="16"/>
      <c r="M379" s="16"/>
      <c r="N379" s="16"/>
      <c r="O379" s="16"/>
      <c r="P379" s="16"/>
      <c r="Q379" s="16"/>
      <c r="R379" s="16"/>
      <c r="S379" s="16"/>
      <c r="T379" s="16"/>
      <c r="U379" s="16"/>
      <c r="V379" s="16"/>
      <c r="W379" s="16"/>
      <c r="X379" s="16"/>
      <c r="Y379" s="16"/>
      <c r="Z379" s="16"/>
      <c r="AA379" s="16"/>
      <c r="AB379" s="16"/>
      <c r="AC379" s="16"/>
    </row>
    <row r="380">
      <c r="A380" s="22" t="str">
        <f t="array" ref="A380">IF(E380="","",IFERROR(INDEX(CONFIGURACION!C:C,MATCH(E380,CONFIGURACION!E:E,0)),""))
</f>
        <v/>
      </c>
      <c r="B380" s="22" t="str">
        <f t="array" ref="B380">IF(E380="","",IFERROR(INDEX(CONFIGURACION!D:D,MATCH(E380,CONFIGURACION!E:E,0)),""))
</f>
        <v/>
      </c>
      <c r="C380" s="31"/>
      <c r="D380" s="9"/>
      <c r="E380" s="6"/>
      <c r="F380" s="24"/>
      <c r="G380" s="9"/>
      <c r="H380" s="32"/>
      <c r="I380" s="33" t="str">
        <f>IFERROR(__xludf.DUMMYFUNCTION("IF(F380="""","""",LET(
  nombre, TRIM(F380),
  primer, REGEXEXTRACT(nombre, ""^\S+""),
  resto, TRIM(REGEXREPLACE(nombre, ""^\S+\s*"", """")),
  iniciales, IF(
    resto="""",
    """",
    TEXTJOIN("""",1,ARRAYFORMULA(LEFT(SPLIT(resto,"" ""),1) &amp; "".""))"&amp;"
  ),
  UPPER(primer) &amp; "" "" &amp; UPPER(iniciales)
))"),"")</f>
        <v/>
      </c>
      <c r="J380" s="33" t="str">
        <f>IFERROR(__xludf.DUMMYFUNCTION("IF(H380="""","""",IFERROR(
IF(REGEXMATCH(E380,""VELOCIDAD""),
   IF(H380&gt;=MAX(INDEX(BAREMOS!F:X,MATCH(1,(BAREMOS!A:A=A380)*(BAREMOS!B:B=B380)*(BAREMOS!C:C=C380)*(BAREMOS!D:D=D380),0),0)),1,
      IF(H380&lt;=MIN(INDEX(BAREMOS!F:X,MATCH(1,(BAREMOS!A:A=A380)*("&amp;"BAREMOS!B:B=B380)*(BAREMOS!C:C=C380)*(BAREMOS!D:D=D380),0),0)),19,
         MATCH(H380,INDEX(BAREMOS!F:X,MATCH(1,(BAREMOS!A:A=A380)*(BAREMOS!B:B=B380)*(BAREMOS!C:C=C380)*(BAREMOS!D:D=D380),0),0),-1)
      )
   ),
   IF(H380&lt;=MIN(INDEX(BAREMOS!F:X,MATCH(1,"&amp;"(BAREMOS!A:A=A380)*(BAREMOS!B:B=B380)*(BAREMOS!C:C=C380)*(BAREMOS!D:D=D380),0),0)),1,
      IF(H380&gt;=MAX(INDEX(BAREMOS!F:X,MATCH(1,(BAREMOS!A:A=A380)*(BAREMOS!B:B=B380)*(BAREMOS!C:C=C380)*(BAREMOS!D:D=D380),0),0)),19,
         MATCH(H380,INDEX(BAREMOS!F:X"&amp;",MATCH(1,(BAREMOS!A:A=A380)*(BAREMOS!B:B=B380)*(BAREMOS!C:C=C380)*(BAREMOS!D:D=D380),0),0),1)
      )
   )
)
,""""))
"),"")</f>
        <v/>
      </c>
      <c r="K380" s="34" t="str">
        <f t="shared" si="1"/>
        <v/>
      </c>
      <c r="L380" s="16"/>
      <c r="M380" s="16"/>
      <c r="N380" s="16"/>
      <c r="O380" s="16"/>
      <c r="P380" s="16"/>
      <c r="Q380" s="16"/>
      <c r="R380" s="16"/>
      <c r="S380" s="16"/>
      <c r="T380" s="16"/>
      <c r="U380" s="16"/>
      <c r="V380" s="16"/>
      <c r="W380" s="16"/>
      <c r="X380" s="16"/>
      <c r="Y380" s="16"/>
      <c r="Z380" s="16"/>
      <c r="AA380" s="16"/>
      <c r="AB380" s="16"/>
      <c r="AC380" s="16"/>
    </row>
    <row r="381">
      <c r="A381" s="22" t="str">
        <f t="array" ref="A381">IF(E381="","",IFERROR(INDEX(CONFIGURACION!C:C,MATCH(E381,CONFIGURACION!E:E,0)),""))
</f>
        <v/>
      </c>
      <c r="B381" s="22" t="str">
        <f t="array" ref="B381">IF(E381="","",IFERROR(INDEX(CONFIGURACION!D:D,MATCH(E381,CONFIGURACION!E:E,0)),""))
</f>
        <v/>
      </c>
      <c r="C381" s="31"/>
      <c r="D381" s="9"/>
      <c r="E381" s="6"/>
      <c r="F381" s="24"/>
      <c r="G381" s="9"/>
      <c r="H381" s="32"/>
      <c r="I381" s="33" t="str">
        <f>IFERROR(__xludf.DUMMYFUNCTION("IF(F381="""","""",LET(
  nombre, TRIM(F381),
  primer, REGEXEXTRACT(nombre, ""^\S+""),
  resto, TRIM(REGEXREPLACE(nombre, ""^\S+\s*"", """")),
  iniciales, IF(
    resto="""",
    """",
    TEXTJOIN("""",1,ARRAYFORMULA(LEFT(SPLIT(resto,"" ""),1) &amp; "".""))"&amp;"
  ),
  UPPER(primer) &amp; "" "" &amp; UPPER(iniciales)
))"),"")</f>
        <v/>
      </c>
      <c r="J381" s="33" t="str">
        <f>IFERROR(__xludf.DUMMYFUNCTION("IF(H381="""","""",IFERROR(
IF(REGEXMATCH(E381,""VELOCIDAD""),
   IF(H381&gt;=MAX(INDEX(BAREMOS!F:X,MATCH(1,(BAREMOS!A:A=A381)*(BAREMOS!B:B=B381)*(BAREMOS!C:C=C381)*(BAREMOS!D:D=D381),0),0)),1,
      IF(H381&lt;=MIN(INDEX(BAREMOS!F:X,MATCH(1,(BAREMOS!A:A=A381)*("&amp;"BAREMOS!B:B=B381)*(BAREMOS!C:C=C381)*(BAREMOS!D:D=D381),0),0)),19,
         MATCH(H381,INDEX(BAREMOS!F:X,MATCH(1,(BAREMOS!A:A=A381)*(BAREMOS!B:B=B381)*(BAREMOS!C:C=C381)*(BAREMOS!D:D=D381),0),0),-1)
      )
   ),
   IF(H381&lt;=MIN(INDEX(BAREMOS!F:X,MATCH(1,"&amp;"(BAREMOS!A:A=A381)*(BAREMOS!B:B=B381)*(BAREMOS!C:C=C381)*(BAREMOS!D:D=D381),0),0)),1,
      IF(H381&gt;=MAX(INDEX(BAREMOS!F:X,MATCH(1,(BAREMOS!A:A=A381)*(BAREMOS!B:B=B381)*(BAREMOS!C:C=C381)*(BAREMOS!D:D=D381),0),0)),19,
         MATCH(H381,INDEX(BAREMOS!F:X"&amp;",MATCH(1,(BAREMOS!A:A=A381)*(BAREMOS!B:B=B381)*(BAREMOS!C:C=C381)*(BAREMOS!D:D=D381),0),0),1)
      )
   )
)
,""""))
"),"")</f>
        <v/>
      </c>
      <c r="K381" s="34" t="str">
        <f t="shared" si="1"/>
        <v/>
      </c>
      <c r="L381" s="16"/>
      <c r="M381" s="16"/>
      <c r="N381" s="16"/>
      <c r="O381" s="16"/>
      <c r="P381" s="16"/>
      <c r="Q381" s="16"/>
      <c r="R381" s="16"/>
      <c r="S381" s="16"/>
      <c r="T381" s="16"/>
      <c r="U381" s="16"/>
      <c r="V381" s="16"/>
      <c r="W381" s="16"/>
      <c r="X381" s="16"/>
      <c r="Y381" s="16"/>
      <c r="Z381" s="16"/>
      <c r="AA381" s="16"/>
      <c r="AB381" s="16"/>
      <c r="AC381" s="16"/>
    </row>
    <row r="382">
      <c r="A382" s="22" t="str">
        <f t="array" ref="A382">IF(E382="","",IFERROR(INDEX(CONFIGURACION!C:C,MATCH(E382,CONFIGURACION!E:E,0)),""))
</f>
        <v/>
      </c>
      <c r="B382" s="22" t="str">
        <f t="array" ref="B382">IF(E382="","",IFERROR(INDEX(CONFIGURACION!D:D,MATCH(E382,CONFIGURACION!E:E,0)),""))
</f>
        <v/>
      </c>
      <c r="C382" s="31"/>
      <c r="D382" s="9"/>
      <c r="E382" s="6"/>
      <c r="F382" s="24"/>
      <c r="G382" s="9"/>
      <c r="H382" s="32"/>
      <c r="I382" s="33" t="str">
        <f>IFERROR(__xludf.DUMMYFUNCTION("IF(F382="""","""",LET(
  nombre, TRIM(F382),
  primer, REGEXEXTRACT(nombre, ""^\S+""),
  resto, TRIM(REGEXREPLACE(nombre, ""^\S+\s*"", """")),
  iniciales, IF(
    resto="""",
    """",
    TEXTJOIN("""",1,ARRAYFORMULA(LEFT(SPLIT(resto,"" ""),1) &amp; "".""))"&amp;"
  ),
  UPPER(primer) &amp; "" "" &amp; UPPER(iniciales)
))"),"")</f>
        <v/>
      </c>
      <c r="J382" s="33" t="str">
        <f>IFERROR(__xludf.DUMMYFUNCTION("IF(H382="""","""",IFERROR(
IF(REGEXMATCH(E382,""VELOCIDAD""),
   IF(H382&gt;=MAX(INDEX(BAREMOS!F:X,MATCH(1,(BAREMOS!A:A=A382)*(BAREMOS!B:B=B382)*(BAREMOS!C:C=C382)*(BAREMOS!D:D=D382),0),0)),1,
      IF(H382&lt;=MIN(INDEX(BAREMOS!F:X,MATCH(1,(BAREMOS!A:A=A382)*("&amp;"BAREMOS!B:B=B382)*(BAREMOS!C:C=C382)*(BAREMOS!D:D=D382),0),0)),19,
         MATCH(H382,INDEX(BAREMOS!F:X,MATCH(1,(BAREMOS!A:A=A382)*(BAREMOS!B:B=B382)*(BAREMOS!C:C=C382)*(BAREMOS!D:D=D382),0),0),-1)
      )
   ),
   IF(H382&lt;=MIN(INDEX(BAREMOS!F:X,MATCH(1,"&amp;"(BAREMOS!A:A=A382)*(BAREMOS!B:B=B382)*(BAREMOS!C:C=C382)*(BAREMOS!D:D=D382),0),0)),1,
      IF(H382&gt;=MAX(INDEX(BAREMOS!F:X,MATCH(1,(BAREMOS!A:A=A382)*(BAREMOS!B:B=B382)*(BAREMOS!C:C=C382)*(BAREMOS!D:D=D382),0),0)),19,
         MATCH(H382,INDEX(BAREMOS!F:X"&amp;",MATCH(1,(BAREMOS!A:A=A382)*(BAREMOS!B:B=B382)*(BAREMOS!C:C=C382)*(BAREMOS!D:D=D382),0),0),1)
      )
   )
)
,""""))
"),"")</f>
        <v/>
      </c>
      <c r="K382" s="34" t="str">
        <f t="shared" si="1"/>
        <v/>
      </c>
      <c r="L382" s="16"/>
      <c r="M382" s="16"/>
      <c r="N382" s="16"/>
      <c r="O382" s="16"/>
      <c r="P382" s="16"/>
      <c r="Q382" s="16"/>
      <c r="R382" s="16"/>
      <c r="S382" s="16"/>
      <c r="T382" s="16"/>
      <c r="U382" s="16"/>
      <c r="V382" s="16"/>
      <c r="W382" s="16"/>
      <c r="X382" s="16"/>
      <c r="Y382" s="16"/>
      <c r="Z382" s="16"/>
      <c r="AA382" s="16"/>
      <c r="AB382" s="16"/>
      <c r="AC382" s="16"/>
    </row>
    <row r="383">
      <c r="A383" s="22" t="str">
        <f t="array" ref="A383">IF(E383="","",IFERROR(INDEX(CONFIGURACION!C:C,MATCH(E383,CONFIGURACION!E:E,0)),""))
</f>
        <v/>
      </c>
      <c r="B383" s="22" t="str">
        <f t="array" ref="B383">IF(E383="","",IFERROR(INDEX(CONFIGURACION!D:D,MATCH(E383,CONFIGURACION!E:E,0)),""))
</f>
        <v/>
      </c>
      <c r="C383" s="31"/>
      <c r="D383" s="9"/>
      <c r="E383" s="6"/>
      <c r="F383" s="24"/>
      <c r="G383" s="9"/>
      <c r="H383" s="32"/>
      <c r="I383" s="33" t="str">
        <f>IFERROR(__xludf.DUMMYFUNCTION("IF(F383="""","""",LET(
  nombre, TRIM(F383),
  primer, REGEXEXTRACT(nombre, ""^\S+""),
  resto, TRIM(REGEXREPLACE(nombre, ""^\S+\s*"", """")),
  iniciales, IF(
    resto="""",
    """",
    TEXTJOIN("""",1,ARRAYFORMULA(LEFT(SPLIT(resto,"" ""),1) &amp; "".""))"&amp;"
  ),
  UPPER(primer) &amp; "" "" &amp; UPPER(iniciales)
))"),"")</f>
        <v/>
      </c>
      <c r="J383" s="33" t="str">
        <f>IFERROR(__xludf.DUMMYFUNCTION("IF(H383="""","""",IFERROR(
IF(REGEXMATCH(E383,""VELOCIDAD""),
   IF(H383&gt;=MAX(INDEX(BAREMOS!F:X,MATCH(1,(BAREMOS!A:A=A383)*(BAREMOS!B:B=B383)*(BAREMOS!C:C=C383)*(BAREMOS!D:D=D383),0),0)),1,
      IF(H383&lt;=MIN(INDEX(BAREMOS!F:X,MATCH(1,(BAREMOS!A:A=A383)*("&amp;"BAREMOS!B:B=B383)*(BAREMOS!C:C=C383)*(BAREMOS!D:D=D383),0),0)),19,
         MATCH(H383,INDEX(BAREMOS!F:X,MATCH(1,(BAREMOS!A:A=A383)*(BAREMOS!B:B=B383)*(BAREMOS!C:C=C383)*(BAREMOS!D:D=D383),0),0),-1)
      )
   ),
   IF(H383&lt;=MIN(INDEX(BAREMOS!F:X,MATCH(1,"&amp;"(BAREMOS!A:A=A383)*(BAREMOS!B:B=B383)*(BAREMOS!C:C=C383)*(BAREMOS!D:D=D383),0),0)),1,
      IF(H383&gt;=MAX(INDEX(BAREMOS!F:X,MATCH(1,(BAREMOS!A:A=A383)*(BAREMOS!B:B=B383)*(BAREMOS!C:C=C383)*(BAREMOS!D:D=D383),0),0)),19,
         MATCH(H383,INDEX(BAREMOS!F:X"&amp;",MATCH(1,(BAREMOS!A:A=A383)*(BAREMOS!B:B=B383)*(BAREMOS!C:C=C383)*(BAREMOS!D:D=D383),0),0),1)
      )
   )
)
,""""))
"),"")</f>
        <v/>
      </c>
      <c r="K383" s="34" t="str">
        <f t="shared" si="1"/>
        <v/>
      </c>
      <c r="L383" s="16"/>
      <c r="M383" s="16"/>
      <c r="N383" s="16"/>
      <c r="O383" s="16"/>
      <c r="P383" s="16"/>
      <c r="Q383" s="16"/>
      <c r="R383" s="16"/>
      <c r="S383" s="16"/>
      <c r="T383" s="16"/>
      <c r="U383" s="16"/>
      <c r="V383" s="16"/>
      <c r="W383" s="16"/>
      <c r="X383" s="16"/>
      <c r="Y383" s="16"/>
      <c r="Z383" s="16"/>
      <c r="AA383" s="16"/>
      <c r="AB383" s="16"/>
      <c r="AC383" s="16"/>
    </row>
    <row r="384">
      <c r="A384" s="22" t="str">
        <f t="array" ref="A384">IF(E384="","",IFERROR(INDEX(CONFIGURACION!C:C,MATCH(E384,CONFIGURACION!E:E,0)),""))
</f>
        <v/>
      </c>
      <c r="B384" s="22" t="str">
        <f t="array" ref="B384">IF(E384="","",IFERROR(INDEX(CONFIGURACION!D:D,MATCH(E384,CONFIGURACION!E:E,0)),""))
</f>
        <v/>
      </c>
      <c r="C384" s="31"/>
      <c r="D384" s="9"/>
      <c r="E384" s="6"/>
      <c r="F384" s="24"/>
      <c r="G384" s="9"/>
      <c r="H384" s="32"/>
      <c r="I384" s="33" t="str">
        <f>IFERROR(__xludf.DUMMYFUNCTION("IF(F384="""","""",LET(
  nombre, TRIM(F384),
  primer, REGEXEXTRACT(nombre, ""^\S+""),
  resto, TRIM(REGEXREPLACE(nombre, ""^\S+\s*"", """")),
  iniciales, IF(
    resto="""",
    """",
    TEXTJOIN("""",1,ARRAYFORMULA(LEFT(SPLIT(resto,"" ""),1) &amp; "".""))"&amp;"
  ),
  UPPER(primer) &amp; "" "" &amp; UPPER(iniciales)
))"),"")</f>
        <v/>
      </c>
      <c r="J384" s="33" t="str">
        <f>IFERROR(__xludf.DUMMYFUNCTION("IF(H384="""","""",IFERROR(
IF(REGEXMATCH(E384,""VELOCIDAD""),
   IF(H384&gt;=MAX(INDEX(BAREMOS!F:X,MATCH(1,(BAREMOS!A:A=A384)*(BAREMOS!B:B=B384)*(BAREMOS!C:C=C384)*(BAREMOS!D:D=D384),0),0)),1,
      IF(H384&lt;=MIN(INDEX(BAREMOS!F:X,MATCH(1,(BAREMOS!A:A=A384)*("&amp;"BAREMOS!B:B=B384)*(BAREMOS!C:C=C384)*(BAREMOS!D:D=D384),0),0)),19,
         MATCH(H384,INDEX(BAREMOS!F:X,MATCH(1,(BAREMOS!A:A=A384)*(BAREMOS!B:B=B384)*(BAREMOS!C:C=C384)*(BAREMOS!D:D=D384),0),0),-1)
      )
   ),
   IF(H384&lt;=MIN(INDEX(BAREMOS!F:X,MATCH(1,"&amp;"(BAREMOS!A:A=A384)*(BAREMOS!B:B=B384)*(BAREMOS!C:C=C384)*(BAREMOS!D:D=D384),0),0)),1,
      IF(H384&gt;=MAX(INDEX(BAREMOS!F:X,MATCH(1,(BAREMOS!A:A=A384)*(BAREMOS!B:B=B384)*(BAREMOS!C:C=C384)*(BAREMOS!D:D=D384),0),0)),19,
         MATCH(H384,INDEX(BAREMOS!F:X"&amp;",MATCH(1,(BAREMOS!A:A=A384)*(BAREMOS!B:B=B384)*(BAREMOS!C:C=C384)*(BAREMOS!D:D=D384),0),0),1)
      )
   )
)
,""""))
"),"")</f>
        <v/>
      </c>
      <c r="K384" s="34" t="str">
        <f t="shared" si="1"/>
        <v/>
      </c>
      <c r="L384" s="16"/>
      <c r="M384" s="16"/>
      <c r="N384" s="16"/>
      <c r="O384" s="16"/>
      <c r="P384" s="16"/>
      <c r="Q384" s="16"/>
      <c r="R384" s="16"/>
      <c r="S384" s="16"/>
      <c r="T384" s="16"/>
      <c r="U384" s="16"/>
      <c r="V384" s="16"/>
      <c r="W384" s="16"/>
      <c r="X384" s="16"/>
      <c r="Y384" s="16"/>
      <c r="Z384" s="16"/>
      <c r="AA384" s="16"/>
      <c r="AB384" s="16"/>
      <c r="AC384" s="16"/>
    </row>
    <row r="385">
      <c r="A385" s="22" t="str">
        <f t="array" ref="A385">IF(E385="","",IFERROR(INDEX(CONFIGURACION!C:C,MATCH(E385,CONFIGURACION!E:E,0)),""))
</f>
        <v/>
      </c>
      <c r="B385" s="22" t="str">
        <f t="array" ref="B385">IF(E385="","",IFERROR(INDEX(CONFIGURACION!D:D,MATCH(E385,CONFIGURACION!E:E,0)),""))
</f>
        <v/>
      </c>
      <c r="C385" s="31"/>
      <c r="D385" s="9"/>
      <c r="E385" s="6"/>
      <c r="F385" s="24"/>
      <c r="G385" s="9"/>
      <c r="H385" s="32"/>
      <c r="I385" s="33" t="str">
        <f>IFERROR(__xludf.DUMMYFUNCTION("IF(F385="""","""",LET(
  nombre, TRIM(F385),
  primer, REGEXEXTRACT(nombre, ""^\S+""),
  resto, TRIM(REGEXREPLACE(nombre, ""^\S+\s*"", """")),
  iniciales, IF(
    resto="""",
    """",
    TEXTJOIN("""",1,ARRAYFORMULA(LEFT(SPLIT(resto,"" ""),1) &amp; "".""))"&amp;"
  ),
  UPPER(primer) &amp; "" "" &amp; UPPER(iniciales)
))"),"")</f>
        <v/>
      </c>
      <c r="J385" s="33" t="str">
        <f>IFERROR(__xludf.DUMMYFUNCTION("IF(H385="""","""",IFERROR(
IF(REGEXMATCH(E385,""VELOCIDAD""),
   IF(H385&gt;=MAX(INDEX(BAREMOS!F:X,MATCH(1,(BAREMOS!A:A=A385)*(BAREMOS!B:B=B385)*(BAREMOS!C:C=C385)*(BAREMOS!D:D=D385),0),0)),1,
      IF(H385&lt;=MIN(INDEX(BAREMOS!F:X,MATCH(1,(BAREMOS!A:A=A385)*("&amp;"BAREMOS!B:B=B385)*(BAREMOS!C:C=C385)*(BAREMOS!D:D=D385),0),0)),19,
         MATCH(H385,INDEX(BAREMOS!F:X,MATCH(1,(BAREMOS!A:A=A385)*(BAREMOS!B:B=B385)*(BAREMOS!C:C=C385)*(BAREMOS!D:D=D385),0),0),-1)
      )
   ),
   IF(H385&lt;=MIN(INDEX(BAREMOS!F:X,MATCH(1,"&amp;"(BAREMOS!A:A=A385)*(BAREMOS!B:B=B385)*(BAREMOS!C:C=C385)*(BAREMOS!D:D=D385),0),0)),1,
      IF(H385&gt;=MAX(INDEX(BAREMOS!F:X,MATCH(1,(BAREMOS!A:A=A385)*(BAREMOS!B:B=B385)*(BAREMOS!C:C=C385)*(BAREMOS!D:D=D385),0),0)),19,
         MATCH(H385,INDEX(BAREMOS!F:X"&amp;",MATCH(1,(BAREMOS!A:A=A385)*(BAREMOS!B:B=B385)*(BAREMOS!C:C=C385)*(BAREMOS!D:D=D385),0),0),1)
      )
   )
)
,""""))
"),"")</f>
        <v/>
      </c>
      <c r="K385" s="34" t="str">
        <f t="shared" si="1"/>
        <v/>
      </c>
      <c r="L385" s="16"/>
      <c r="M385" s="16"/>
      <c r="N385" s="16"/>
      <c r="O385" s="16"/>
      <c r="P385" s="16"/>
      <c r="Q385" s="16"/>
      <c r="R385" s="16"/>
      <c r="S385" s="16"/>
      <c r="T385" s="16"/>
      <c r="U385" s="16"/>
      <c r="V385" s="16"/>
      <c r="W385" s="16"/>
      <c r="X385" s="16"/>
      <c r="Y385" s="16"/>
      <c r="Z385" s="16"/>
      <c r="AA385" s="16"/>
      <c r="AB385" s="16"/>
      <c r="AC385" s="16"/>
    </row>
    <row r="386">
      <c r="A386" s="22" t="str">
        <f t="array" ref="A386">IF(E386="","",IFERROR(INDEX(CONFIGURACION!C:C,MATCH(E386,CONFIGURACION!E:E,0)),""))
</f>
        <v/>
      </c>
      <c r="B386" s="22" t="str">
        <f t="array" ref="B386">IF(E386="","",IFERROR(INDEX(CONFIGURACION!D:D,MATCH(E386,CONFIGURACION!E:E,0)),""))
</f>
        <v/>
      </c>
      <c r="C386" s="31"/>
      <c r="D386" s="9"/>
      <c r="E386" s="6"/>
      <c r="F386" s="24"/>
      <c r="G386" s="9"/>
      <c r="H386" s="32"/>
      <c r="I386" s="33" t="str">
        <f>IFERROR(__xludf.DUMMYFUNCTION("IF(F386="""","""",LET(
  nombre, TRIM(F386),
  primer, REGEXEXTRACT(nombre, ""^\S+""),
  resto, TRIM(REGEXREPLACE(nombre, ""^\S+\s*"", """")),
  iniciales, IF(
    resto="""",
    """",
    TEXTJOIN("""",1,ARRAYFORMULA(LEFT(SPLIT(resto,"" ""),1) &amp; "".""))"&amp;"
  ),
  UPPER(primer) &amp; "" "" &amp; UPPER(iniciales)
))"),"")</f>
        <v/>
      </c>
      <c r="J386" s="33" t="str">
        <f>IFERROR(__xludf.DUMMYFUNCTION("IF(H386="""","""",IFERROR(
IF(REGEXMATCH(E386,""VELOCIDAD""),
   IF(H386&gt;=MAX(INDEX(BAREMOS!F:X,MATCH(1,(BAREMOS!A:A=A386)*(BAREMOS!B:B=B386)*(BAREMOS!C:C=C386)*(BAREMOS!D:D=D386),0),0)),1,
      IF(H386&lt;=MIN(INDEX(BAREMOS!F:X,MATCH(1,(BAREMOS!A:A=A386)*("&amp;"BAREMOS!B:B=B386)*(BAREMOS!C:C=C386)*(BAREMOS!D:D=D386),0),0)),19,
         MATCH(H386,INDEX(BAREMOS!F:X,MATCH(1,(BAREMOS!A:A=A386)*(BAREMOS!B:B=B386)*(BAREMOS!C:C=C386)*(BAREMOS!D:D=D386),0),0),-1)
      )
   ),
   IF(H386&lt;=MIN(INDEX(BAREMOS!F:X,MATCH(1,"&amp;"(BAREMOS!A:A=A386)*(BAREMOS!B:B=B386)*(BAREMOS!C:C=C386)*(BAREMOS!D:D=D386),0),0)),1,
      IF(H386&gt;=MAX(INDEX(BAREMOS!F:X,MATCH(1,(BAREMOS!A:A=A386)*(BAREMOS!B:B=B386)*(BAREMOS!C:C=C386)*(BAREMOS!D:D=D386),0),0)),19,
         MATCH(H386,INDEX(BAREMOS!F:X"&amp;",MATCH(1,(BAREMOS!A:A=A386)*(BAREMOS!B:B=B386)*(BAREMOS!C:C=C386)*(BAREMOS!D:D=D386),0),0),1)
      )
   )
)
,""""))
"),"")</f>
        <v/>
      </c>
      <c r="K386" s="34" t="str">
        <f t="shared" si="1"/>
        <v/>
      </c>
      <c r="L386" s="16"/>
      <c r="M386" s="16"/>
      <c r="N386" s="16"/>
      <c r="O386" s="16"/>
      <c r="P386" s="16"/>
      <c r="Q386" s="16"/>
      <c r="R386" s="16"/>
      <c r="S386" s="16"/>
      <c r="T386" s="16"/>
      <c r="U386" s="16"/>
      <c r="V386" s="16"/>
      <c r="W386" s="16"/>
      <c r="X386" s="16"/>
      <c r="Y386" s="16"/>
      <c r="Z386" s="16"/>
      <c r="AA386" s="16"/>
      <c r="AB386" s="16"/>
      <c r="AC386" s="16"/>
    </row>
    <row r="387">
      <c r="A387" s="22" t="str">
        <f t="array" ref="A387">IF(E387="","",IFERROR(INDEX(CONFIGURACION!C:C,MATCH(E387,CONFIGURACION!E:E,0)),""))
</f>
        <v/>
      </c>
      <c r="B387" s="22" t="str">
        <f t="array" ref="B387">IF(E387="","",IFERROR(INDEX(CONFIGURACION!D:D,MATCH(E387,CONFIGURACION!E:E,0)),""))
</f>
        <v/>
      </c>
      <c r="C387" s="31"/>
      <c r="D387" s="9"/>
      <c r="E387" s="6"/>
      <c r="F387" s="24"/>
      <c r="G387" s="9"/>
      <c r="H387" s="32"/>
      <c r="I387" s="33" t="str">
        <f>IFERROR(__xludf.DUMMYFUNCTION("IF(F387="""","""",LET(
  nombre, TRIM(F387),
  primer, REGEXEXTRACT(nombre, ""^\S+""),
  resto, TRIM(REGEXREPLACE(nombre, ""^\S+\s*"", """")),
  iniciales, IF(
    resto="""",
    """",
    TEXTJOIN("""",1,ARRAYFORMULA(LEFT(SPLIT(resto,"" ""),1) &amp; "".""))"&amp;"
  ),
  UPPER(primer) &amp; "" "" &amp; UPPER(iniciales)
))"),"")</f>
        <v/>
      </c>
      <c r="J387" s="33" t="str">
        <f>IFERROR(__xludf.DUMMYFUNCTION("IF(H387="""","""",IFERROR(
IF(REGEXMATCH(E387,""VELOCIDAD""),
   IF(H387&gt;=MAX(INDEX(BAREMOS!F:X,MATCH(1,(BAREMOS!A:A=A387)*(BAREMOS!B:B=B387)*(BAREMOS!C:C=C387)*(BAREMOS!D:D=D387),0),0)),1,
      IF(H387&lt;=MIN(INDEX(BAREMOS!F:X,MATCH(1,(BAREMOS!A:A=A387)*("&amp;"BAREMOS!B:B=B387)*(BAREMOS!C:C=C387)*(BAREMOS!D:D=D387),0),0)),19,
         MATCH(H387,INDEX(BAREMOS!F:X,MATCH(1,(BAREMOS!A:A=A387)*(BAREMOS!B:B=B387)*(BAREMOS!C:C=C387)*(BAREMOS!D:D=D387),0),0),-1)
      )
   ),
   IF(H387&lt;=MIN(INDEX(BAREMOS!F:X,MATCH(1,"&amp;"(BAREMOS!A:A=A387)*(BAREMOS!B:B=B387)*(BAREMOS!C:C=C387)*(BAREMOS!D:D=D387),0),0)),1,
      IF(H387&gt;=MAX(INDEX(BAREMOS!F:X,MATCH(1,(BAREMOS!A:A=A387)*(BAREMOS!B:B=B387)*(BAREMOS!C:C=C387)*(BAREMOS!D:D=D387),0),0)),19,
         MATCH(H387,INDEX(BAREMOS!F:X"&amp;",MATCH(1,(BAREMOS!A:A=A387)*(BAREMOS!B:B=B387)*(BAREMOS!C:C=C387)*(BAREMOS!D:D=D387),0),0),1)
      )
   )
)
,""""))
"),"")</f>
        <v/>
      </c>
      <c r="K387" s="34" t="str">
        <f t="shared" si="1"/>
        <v/>
      </c>
      <c r="L387" s="16"/>
      <c r="M387" s="16"/>
      <c r="N387" s="16"/>
      <c r="O387" s="16"/>
      <c r="P387" s="16"/>
      <c r="Q387" s="16"/>
      <c r="R387" s="16"/>
      <c r="S387" s="16"/>
      <c r="T387" s="16"/>
      <c r="U387" s="16"/>
      <c r="V387" s="16"/>
      <c r="W387" s="16"/>
      <c r="X387" s="16"/>
      <c r="Y387" s="16"/>
      <c r="Z387" s="16"/>
      <c r="AA387" s="16"/>
      <c r="AB387" s="16"/>
      <c r="AC387" s="16"/>
    </row>
    <row r="388">
      <c r="A388" s="22" t="str">
        <f t="array" ref="A388">IF(E388="","",IFERROR(INDEX(CONFIGURACION!C:C,MATCH(E388,CONFIGURACION!E:E,0)),""))
</f>
        <v/>
      </c>
      <c r="B388" s="22" t="str">
        <f t="array" ref="B388">IF(E388="","",IFERROR(INDEX(CONFIGURACION!D:D,MATCH(E388,CONFIGURACION!E:E,0)),""))
</f>
        <v/>
      </c>
      <c r="C388" s="31"/>
      <c r="D388" s="9"/>
      <c r="E388" s="6"/>
      <c r="F388" s="24"/>
      <c r="G388" s="9"/>
      <c r="H388" s="32"/>
      <c r="I388" s="33" t="str">
        <f>IFERROR(__xludf.DUMMYFUNCTION("IF(F388="""","""",LET(
  nombre, TRIM(F388),
  primer, REGEXEXTRACT(nombre, ""^\S+""),
  resto, TRIM(REGEXREPLACE(nombre, ""^\S+\s*"", """")),
  iniciales, IF(
    resto="""",
    """",
    TEXTJOIN("""",1,ARRAYFORMULA(LEFT(SPLIT(resto,"" ""),1) &amp; "".""))"&amp;"
  ),
  UPPER(primer) &amp; "" "" &amp; UPPER(iniciales)
))"),"")</f>
        <v/>
      </c>
      <c r="J388" s="33" t="str">
        <f>IFERROR(__xludf.DUMMYFUNCTION("IF(H388="""","""",IFERROR(
IF(REGEXMATCH(E388,""VELOCIDAD""),
   IF(H388&gt;=MAX(INDEX(BAREMOS!F:X,MATCH(1,(BAREMOS!A:A=A388)*(BAREMOS!B:B=B388)*(BAREMOS!C:C=C388)*(BAREMOS!D:D=D388),0),0)),1,
      IF(H388&lt;=MIN(INDEX(BAREMOS!F:X,MATCH(1,(BAREMOS!A:A=A388)*("&amp;"BAREMOS!B:B=B388)*(BAREMOS!C:C=C388)*(BAREMOS!D:D=D388),0),0)),19,
         MATCH(H388,INDEX(BAREMOS!F:X,MATCH(1,(BAREMOS!A:A=A388)*(BAREMOS!B:B=B388)*(BAREMOS!C:C=C388)*(BAREMOS!D:D=D388),0),0),-1)
      )
   ),
   IF(H388&lt;=MIN(INDEX(BAREMOS!F:X,MATCH(1,"&amp;"(BAREMOS!A:A=A388)*(BAREMOS!B:B=B388)*(BAREMOS!C:C=C388)*(BAREMOS!D:D=D388),0),0)),1,
      IF(H388&gt;=MAX(INDEX(BAREMOS!F:X,MATCH(1,(BAREMOS!A:A=A388)*(BAREMOS!B:B=B388)*(BAREMOS!C:C=C388)*(BAREMOS!D:D=D388),0),0)),19,
         MATCH(H388,INDEX(BAREMOS!F:X"&amp;",MATCH(1,(BAREMOS!A:A=A388)*(BAREMOS!B:B=B388)*(BAREMOS!C:C=C388)*(BAREMOS!D:D=D388),0),0),1)
      )
   )
)
,""""))
"),"")</f>
        <v/>
      </c>
      <c r="K388" s="34" t="str">
        <f t="shared" si="1"/>
        <v/>
      </c>
      <c r="L388" s="16"/>
      <c r="M388" s="16"/>
      <c r="N388" s="16"/>
      <c r="O388" s="16"/>
      <c r="P388" s="16"/>
      <c r="Q388" s="16"/>
      <c r="R388" s="16"/>
      <c r="S388" s="16"/>
      <c r="T388" s="16"/>
      <c r="U388" s="16"/>
      <c r="V388" s="16"/>
      <c r="W388" s="16"/>
      <c r="X388" s="16"/>
      <c r="Y388" s="16"/>
      <c r="Z388" s="16"/>
      <c r="AA388" s="16"/>
      <c r="AB388" s="16"/>
      <c r="AC388" s="16"/>
    </row>
    <row r="389">
      <c r="A389" s="22" t="str">
        <f t="array" ref="A389">IF(E389="","",IFERROR(INDEX(CONFIGURACION!C:C,MATCH(E389,CONFIGURACION!E:E,0)),""))
</f>
        <v/>
      </c>
      <c r="B389" s="22" t="str">
        <f t="array" ref="B389">IF(E389="","",IFERROR(INDEX(CONFIGURACION!D:D,MATCH(E389,CONFIGURACION!E:E,0)),""))
</f>
        <v/>
      </c>
      <c r="C389" s="31"/>
      <c r="D389" s="9"/>
      <c r="E389" s="6"/>
      <c r="F389" s="24"/>
      <c r="G389" s="9"/>
      <c r="H389" s="32"/>
      <c r="I389" s="33" t="str">
        <f>IFERROR(__xludf.DUMMYFUNCTION("IF(F389="""","""",LET(
  nombre, TRIM(F389),
  primer, REGEXEXTRACT(nombre, ""^\S+""),
  resto, TRIM(REGEXREPLACE(nombre, ""^\S+\s*"", """")),
  iniciales, IF(
    resto="""",
    """",
    TEXTJOIN("""",1,ARRAYFORMULA(LEFT(SPLIT(resto,"" ""),1) &amp; "".""))"&amp;"
  ),
  UPPER(primer) &amp; "" "" &amp; UPPER(iniciales)
))"),"")</f>
        <v/>
      </c>
      <c r="J389" s="33" t="str">
        <f>IFERROR(__xludf.DUMMYFUNCTION("IF(H389="""","""",IFERROR(
IF(REGEXMATCH(E389,""VELOCIDAD""),
   IF(H389&gt;=MAX(INDEX(BAREMOS!F:X,MATCH(1,(BAREMOS!A:A=A389)*(BAREMOS!B:B=B389)*(BAREMOS!C:C=C389)*(BAREMOS!D:D=D389),0),0)),1,
      IF(H389&lt;=MIN(INDEX(BAREMOS!F:X,MATCH(1,(BAREMOS!A:A=A389)*("&amp;"BAREMOS!B:B=B389)*(BAREMOS!C:C=C389)*(BAREMOS!D:D=D389),0),0)),19,
         MATCH(H389,INDEX(BAREMOS!F:X,MATCH(1,(BAREMOS!A:A=A389)*(BAREMOS!B:B=B389)*(BAREMOS!C:C=C389)*(BAREMOS!D:D=D389),0),0),-1)
      )
   ),
   IF(H389&lt;=MIN(INDEX(BAREMOS!F:X,MATCH(1,"&amp;"(BAREMOS!A:A=A389)*(BAREMOS!B:B=B389)*(BAREMOS!C:C=C389)*(BAREMOS!D:D=D389),0),0)),1,
      IF(H389&gt;=MAX(INDEX(BAREMOS!F:X,MATCH(1,(BAREMOS!A:A=A389)*(BAREMOS!B:B=B389)*(BAREMOS!C:C=C389)*(BAREMOS!D:D=D389),0),0)),19,
         MATCH(H389,INDEX(BAREMOS!F:X"&amp;",MATCH(1,(BAREMOS!A:A=A389)*(BAREMOS!B:B=B389)*(BAREMOS!C:C=C389)*(BAREMOS!D:D=D389),0),0),1)
      )
   )
)
,""""))
"),"")</f>
        <v/>
      </c>
      <c r="K389" s="34" t="str">
        <f t="shared" si="1"/>
        <v/>
      </c>
      <c r="L389" s="16"/>
      <c r="M389" s="16"/>
      <c r="N389" s="16"/>
      <c r="O389" s="16"/>
      <c r="P389" s="16"/>
      <c r="Q389" s="16"/>
      <c r="R389" s="16"/>
      <c r="S389" s="16"/>
      <c r="T389" s="16"/>
      <c r="U389" s="16"/>
      <c r="V389" s="16"/>
      <c r="W389" s="16"/>
      <c r="X389" s="16"/>
      <c r="Y389" s="16"/>
      <c r="Z389" s="16"/>
      <c r="AA389" s="16"/>
      <c r="AB389" s="16"/>
      <c r="AC389" s="16"/>
    </row>
    <row r="390">
      <c r="A390" s="22" t="str">
        <f t="array" ref="A390">IF(E390="","",IFERROR(INDEX(CONFIGURACION!C:C,MATCH(E390,CONFIGURACION!E:E,0)),""))
</f>
        <v/>
      </c>
      <c r="B390" s="22" t="str">
        <f t="array" ref="B390">IF(E390="","",IFERROR(INDEX(CONFIGURACION!D:D,MATCH(E390,CONFIGURACION!E:E,0)),""))
</f>
        <v/>
      </c>
      <c r="C390" s="31"/>
      <c r="D390" s="9"/>
      <c r="E390" s="6"/>
      <c r="F390" s="24"/>
      <c r="G390" s="9"/>
      <c r="H390" s="32"/>
      <c r="I390" s="33" t="str">
        <f>IFERROR(__xludf.DUMMYFUNCTION("IF(F390="""","""",LET(
  nombre, TRIM(F390),
  primer, REGEXEXTRACT(nombre, ""^\S+""),
  resto, TRIM(REGEXREPLACE(nombre, ""^\S+\s*"", """")),
  iniciales, IF(
    resto="""",
    """",
    TEXTJOIN("""",1,ARRAYFORMULA(LEFT(SPLIT(resto,"" ""),1) &amp; "".""))"&amp;"
  ),
  UPPER(primer) &amp; "" "" &amp; UPPER(iniciales)
))"),"")</f>
        <v/>
      </c>
      <c r="J390" s="33" t="str">
        <f>IFERROR(__xludf.DUMMYFUNCTION("IF(H390="""","""",IFERROR(
IF(REGEXMATCH(E390,""VELOCIDAD""),
   IF(H390&gt;=MAX(INDEX(BAREMOS!F:X,MATCH(1,(BAREMOS!A:A=A390)*(BAREMOS!B:B=B390)*(BAREMOS!C:C=C390)*(BAREMOS!D:D=D390),0),0)),1,
      IF(H390&lt;=MIN(INDEX(BAREMOS!F:X,MATCH(1,(BAREMOS!A:A=A390)*("&amp;"BAREMOS!B:B=B390)*(BAREMOS!C:C=C390)*(BAREMOS!D:D=D390),0),0)),19,
         MATCH(H390,INDEX(BAREMOS!F:X,MATCH(1,(BAREMOS!A:A=A390)*(BAREMOS!B:B=B390)*(BAREMOS!C:C=C390)*(BAREMOS!D:D=D390),0),0),-1)
      )
   ),
   IF(H390&lt;=MIN(INDEX(BAREMOS!F:X,MATCH(1,"&amp;"(BAREMOS!A:A=A390)*(BAREMOS!B:B=B390)*(BAREMOS!C:C=C390)*(BAREMOS!D:D=D390),0),0)),1,
      IF(H390&gt;=MAX(INDEX(BAREMOS!F:X,MATCH(1,(BAREMOS!A:A=A390)*(BAREMOS!B:B=B390)*(BAREMOS!C:C=C390)*(BAREMOS!D:D=D390),0),0)),19,
         MATCH(H390,INDEX(BAREMOS!F:X"&amp;",MATCH(1,(BAREMOS!A:A=A390)*(BAREMOS!B:B=B390)*(BAREMOS!C:C=C390)*(BAREMOS!D:D=D390),0),0),1)
      )
   )
)
,""""))
"),"")</f>
        <v/>
      </c>
      <c r="K390" s="34" t="str">
        <f t="shared" si="1"/>
        <v/>
      </c>
      <c r="L390" s="16"/>
      <c r="M390" s="16"/>
      <c r="N390" s="16"/>
      <c r="O390" s="16"/>
      <c r="P390" s="16"/>
      <c r="Q390" s="16"/>
      <c r="R390" s="16"/>
      <c r="S390" s="16"/>
      <c r="T390" s="16"/>
      <c r="U390" s="16"/>
      <c r="V390" s="16"/>
      <c r="W390" s="16"/>
      <c r="X390" s="16"/>
      <c r="Y390" s="16"/>
      <c r="Z390" s="16"/>
      <c r="AA390" s="16"/>
      <c r="AB390" s="16"/>
      <c r="AC390" s="16"/>
    </row>
    <row r="391">
      <c r="A391" s="22" t="str">
        <f t="array" ref="A391">IF(E391="","",IFERROR(INDEX(CONFIGURACION!C:C,MATCH(E391,CONFIGURACION!E:E,0)),""))
</f>
        <v/>
      </c>
      <c r="B391" s="22" t="str">
        <f t="array" ref="B391">IF(E391="","",IFERROR(INDEX(CONFIGURACION!D:D,MATCH(E391,CONFIGURACION!E:E,0)),""))
</f>
        <v/>
      </c>
      <c r="C391" s="31"/>
      <c r="D391" s="9"/>
      <c r="E391" s="6"/>
      <c r="F391" s="24"/>
      <c r="G391" s="9"/>
      <c r="H391" s="32"/>
      <c r="I391" s="33" t="str">
        <f>IFERROR(__xludf.DUMMYFUNCTION("IF(F391="""","""",LET(
  nombre, TRIM(F391),
  primer, REGEXEXTRACT(nombre, ""^\S+""),
  resto, TRIM(REGEXREPLACE(nombre, ""^\S+\s*"", """")),
  iniciales, IF(
    resto="""",
    """",
    TEXTJOIN("""",1,ARRAYFORMULA(LEFT(SPLIT(resto,"" ""),1) &amp; "".""))"&amp;"
  ),
  UPPER(primer) &amp; "" "" &amp; UPPER(iniciales)
))"),"")</f>
        <v/>
      </c>
      <c r="J391" s="33" t="str">
        <f>IFERROR(__xludf.DUMMYFUNCTION("IF(H391="""","""",IFERROR(
IF(REGEXMATCH(E391,""VELOCIDAD""),
   IF(H391&gt;=MAX(INDEX(BAREMOS!F:X,MATCH(1,(BAREMOS!A:A=A391)*(BAREMOS!B:B=B391)*(BAREMOS!C:C=C391)*(BAREMOS!D:D=D391),0),0)),1,
      IF(H391&lt;=MIN(INDEX(BAREMOS!F:X,MATCH(1,(BAREMOS!A:A=A391)*("&amp;"BAREMOS!B:B=B391)*(BAREMOS!C:C=C391)*(BAREMOS!D:D=D391),0),0)),19,
         MATCH(H391,INDEX(BAREMOS!F:X,MATCH(1,(BAREMOS!A:A=A391)*(BAREMOS!B:B=B391)*(BAREMOS!C:C=C391)*(BAREMOS!D:D=D391),0),0),-1)
      )
   ),
   IF(H391&lt;=MIN(INDEX(BAREMOS!F:X,MATCH(1,"&amp;"(BAREMOS!A:A=A391)*(BAREMOS!B:B=B391)*(BAREMOS!C:C=C391)*(BAREMOS!D:D=D391),0),0)),1,
      IF(H391&gt;=MAX(INDEX(BAREMOS!F:X,MATCH(1,(BAREMOS!A:A=A391)*(BAREMOS!B:B=B391)*(BAREMOS!C:C=C391)*(BAREMOS!D:D=D391),0),0)),19,
         MATCH(H391,INDEX(BAREMOS!F:X"&amp;",MATCH(1,(BAREMOS!A:A=A391)*(BAREMOS!B:B=B391)*(BAREMOS!C:C=C391)*(BAREMOS!D:D=D391),0),0),1)
      )
   )
)
,""""))
"),"")</f>
        <v/>
      </c>
      <c r="K391" s="34" t="str">
        <f t="shared" si="1"/>
        <v/>
      </c>
      <c r="L391" s="16"/>
      <c r="M391" s="16"/>
      <c r="N391" s="16"/>
      <c r="O391" s="16"/>
      <c r="P391" s="16"/>
      <c r="Q391" s="16"/>
      <c r="R391" s="16"/>
      <c r="S391" s="16"/>
      <c r="T391" s="16"/>
      <c r="U391" s="16"/>
      <c r="V391" s="16"/>
      <c r="W391" s="16"/>
      <c r="X391" s="16"/>
      <c r="Y391" s="16"/>
      <c r="Z391" s="16"/>
      <c r="AA391" s="16"/>
      <c r="AB391" s="16"/>
      <c r="AC391" s="16"/>
    </row>
    <row r="392">
      <c r="A392" s="22" t="str">
        <f t="array" ref="A392">IF(E392="","",IFERROR(INDEX(CONFIGURACION!C:C,MATCH(E392,CONFIGURACION!E:E,0)),""))
</f>
        <v/>
      </c>
      <c r="B392" s="22" t="str">
        <f t="array" ref="B392">IF(E392="","",IFERROR(INDEX(CONFIGURACION!D:D,MATCH(E392,CONFIGURACION!E:E,0)),""))
</f>
        <v/>
      </c>
      <c r="C392" s="31"/>
      <c r="D392" s="9"/>
      <c r="E392" s="6"/>
      <c r="F392" s="24"/>
      <c r="G392" s="9"/>
      <c r="H392" s="32"/>
      <c r="I392" s="33" t="str">
        <f>IFERROR(__xludf.DUMMYFUNCTION("IF(F392="""","""",LET(
  nombre, TRIM(F392),
  primer, REGEXEXTRACT(nombre, ""^\S+""),
  resto, TRIM(REGEXREPLACE(nombre, ""^\S+\s*"", """")),
  iniciales, IF(
    resto="""",
    """",
    TEXTJOIN("""",1,ARRAYFORMULA(LEFT(SPLIT(resto,"" ""),1) &amp; "".""))"&amp;"
  ),
  UPPER(primer) &amp; "" "" &amp; UPPER(iniciales)
))"),"")</f>
        <v/>
      </c>
      <c r="J392" s="33" t="str">
        <f>IFERROR(__xludf.DUMMYFUNCTION("IF(H392="""","""",IFERROR(
IF(REGEXMATCH(E392,""VELOCIDAD""),
   IF(H392&gt;=MAX(INDEX(BAREMOS!F:X,MATCH(1,(BAREMOS!A:A=A392)*(BAREMOS!B:B=B392)*(BAREMOS!C:C=C392)*(BAREMOS!D:D=D392),0),0)),1,
      IF(H392&lt;=MIN(INDEX(BAREMOS!F:X,MATCH(1,(BAREMOS!A:A=A392)*("&amp;"BAREMOS!B:B=B392)*(BAREMOS!C:C=C392)*(BAREMOS!D:D=D392),0),0)),19,
         MATCH(H392,INDEX(BAREMOS!F:X,MATCH(1,(BAREMOS!A:A=A392)*(BAREMOS!B:B=B392)*(BAREMOS!C:C=C392)*(BAREMOS!D:D=D392),0),0),-1)
      )
   ),
   IF(H392&lt;=MIN(INDEX(BAREMOS!F:X,MATCH(1,"&amp;"(BAREMOS!A:A=A392)*(BAREMOS!B:B=B392)*(BAREMOS!C:C=C392)*(BAREMOS!D:D=D392),0),0)),1,
      IF(H392&gt;=MAX(INDEX(BAREMOS!F:X,MATCH(1,(BAREMOS!A:A=A392)*(BAREMOS!B:B=B392)*(BAREMOS!C:C=C392)*(BAREMOS!D:D=D392),0),0)),19,
         MATCH(H392,INDEX(BAREMOS!F:X"&amp;",MATCH(1,(BAREMOS!A:A=A392)*(BAREMOS!B:B=B392)*(BAREMOS!C:C=C392)*(BAREMOS!D:D=D392),0),0),1)
      )
   )
)
,""""))
"),"")</f>
        <v/>
      </c>
      <c r="K392" s="34" t="str">
        <f t="shared" si="1"/>
        <v/>
      </c>
      <c r="L392" s="16"/>
      <c r="M392" s="16"/>
      <c r="N392" s="16"/>
      <c r="O392" s="16"/>
      <c r="P392" s="16"/>
      <c r="Q392" s="16"/>
      <c r="R392" s="16"/>
      <c r="S392" s="16"/>
      <c r="T392" s="16"/>
      <c r="U392" s="16"/>
      <c r="V392" s="16"/>
      <c r="W392" s="16"/>
      <c r="X392" s="16"/>
      <c r="Y392" s="16"/>
      <c r="Z392" s="16"/>
      <c r="AA392" s="16"/>
      <c r="AB392" s="16"/>
      <c r="AC392" s="16"/>
    </row>
    <row r="393">
      <c r="A393" s="22" t="str">
        <f t="array" ref="A393">IF(E393="","",IFERROR(INDEX(CONFIGURACION!C:C,MATCH(E393,CONFIGURACION!E:E,0)),""))
</f>
        <v/>
      </c>
      <c r="B393" s="22" t="str">
        <f t="array" ref="B393">IF(E393="","",IFERROR(INDEX(CONFIGURACION!D:D,MATCH(E393,CONFIGURACION!E:E,0)),""))
</f>
        <v/>
      </c>
      <c r="C393" s="31"/>
      <c r="D393" s="9"/>
      <c r="E393" s="6"/>
      <c r="F393" s="24"/>
      <c r="G393" s="9"/>
      <c r="H393" s="32"/>
      <c r="I393" s="33" t="str">
        <f>IFERROR(__xludf.DUMMYFUNCTION("IF(F393="""","""",LET(
  nombre, TRIM(F393),
  primer, REGEXEXTRACT(nombre, ""^\S+""),
  resto, TRIM(REGEXREPLACE(nombre, ""^\S+\s*"", """")),
  iniciales, IF(
    resto="""",
    """",
    TEXTJOIN("""",1,ARRAYFORMULA(LEFT(SPLIT(resto,"" ""),1) &amp; "".""))"&amp;"
  ),
  UPPER(primer) &amp; "" "" &amp; UPPER(iniciales)
))"),"")</f>
        <v/>
      </c>
      <c r="J393" s="33" t="str">
        <f>IFERROR(__xludf.DUMMYFUNCTION("IF(H393="""","""",IFERROR(
IF(REGEXMATCH(E393,""VELOCIDAD""),
   IF(H393&gt;=MAX(INDEX(BAREMOS!F:X,MATCH(1,(BAREMOS!A:A=A393)*(BAREMOS!B:B=B393)*(BAREMOS!C:C=C393)*(BAREMOS!D:D=D393),0),0)),1,
      IF(H393&lt;=MIN(INDEX(BAREMOS!F:X,MATCH(1,(BAREMOS!A:A=A393)*("&amp;"BAREMOS!B:B=B393)*(BAREMOS!C:C=C393)*(BAREMOS!D:D=D393),0),0)),19,
         MATCH(H393,INDEX(BAREMOS!F:X,MATCH(1,(BAREMOS!A:A=A393)*(BAREMOS!B:B=B393)*(BAREMOS!C:C=C393)*(BAREMOS!D:D=D393),0),0),-1)
      )
   ),
   IF(H393&lt;=MIN(INDEX(BAREMOS!F:X,MATCH(1,"&amp;"(BAREMOS!A:A=A393)*(BAREMOS!B:B=B393)*(BAREMOS!C:C=C393)*(BAREMOS!D:D=D393),0),0)),1,
      IF(H393&gt;=MAX(INDEX(BAREMOS!F:X,MATCH(1,(BAREMOS!A:A=A393)*(BAREMOS!B:B=B393)*(BAREMOS!C:C=C393)*(BAREMOS!D:D=D393),0),0)),19,
         MATCH(H393,INDEX(BAREMOS!F:X"&amp;",MATCH(1,(BAREMOS!A:A=A393)*(BAREMOS!B:B=B393)*(BAREMOS!C:C=C393)*(BAREMOS!D:D=D393),0),0),1)
      )
   )
)
,""""))
"),"")</f>
        <v/>
      </c>
      <c r="K393" s="34" t="str">
        <f t="shared" si="1"/>
        <v/>
      </c>
      <c r="L393" s="16"/>
      <c r="M393" s="16"/>
      <c r="N393" s="16"/>
      <c r="O393" s="16"/>
      <c r="P393" s="16"/>
      <c r="Q393" s="16"/>
      <c r="R393" s="16"/>
      <c r="S393" s="16"/>
      <c r="T393" s="16"/>
      <c r="U393" s="16"/>
      <c r="V393" s="16"/>
      <c r="W393" s="16"/>
      <c r="X393" s="16"/>
      <c r="Y393" s="16"/>
      <c r="Z393" s="16"/>
      <c r="AA393" s="16"/>
      <c r="AB393" s="16"/>
      <c r="AC393" s="16"/>
    </row>
    <row r="394">
      <c r="A394" s="22" t="str">
        <f t="array" ref="A394">IF(E394="","",IFERROR(INDEX(CONFIGURACION!C:C,MATCH(E394,CONFIGURACION!E:E,0)),""))
</f>
        <v/>
      </c>
      <c r="B394" s="22" t="str">
        <f t="array" ref="B394">IF(E394="","",IFERROR(INDEX(CONFIGURACION!D:D,MATCH(E394,CONFIGURACION!E:E,0)),""))
</f>
        <v/>
      </c>
      <c r="C394" s="31"/>
      <c r="D394" s="9"/>
      <c r="E394" s="6"/>
      <c r="F394" s="24"/>
      <c r="G394" s="9"/>
      <c r="H394" s="32"/>
      <c r="I394" s="33" t="str">
        <f>IFERROR(__xludf.DUMMYFUNCTION("IF(F394="""","""",LET(
  nombre, TRIM(F394),
  primer, REGEXEXTRACT(nombre, ""^\S+""),
  resto, TRIM(REGEXREPLACE(nombre, ""^\S+\s*"", """")),
  iniciales, IF(
    resto="""",
    """",
    TEXTJOIN("""",1,ARRAYFORMULA(LEFT(SPLIT(resto,"" ""),1) &amp; "".""))"&amp;"
  ),
  UPPER(primer) &amp; "" "" &amp; UPPER(iniciales)
))"),"")</f>
        <v/>
      </c>
      <c r="J394" s="33" t="str">
        <f>IFERROR(__xludf.DUMMYFUNCTION("IF(H394="""","""",IFERROR(
IF(REGEXMATCH(E394,""VELOCIDAD""),
   IF(H394&gt;=MAX(INDEX(BAREMOS!F:X,MATCH(1,(BAREMOS!A:A=A394)*(BAREMOS!B:B=B394)*(BAREMOS!C:C=C394)*(BAREMOS!D:D=D394),0),0)),1,
      IF(H394&lt;=MIN(INDEX(BAREMOS!F:X,MATCH(1,(BAREMOS!A:A=A394)*("&amp;"BAREMOS!B:B=B394)*(BAREMOS!C:C=C394)*(BAREMOS!D:D=D394),0),0)),19,
         MATCH(H394,INDEX(BAREMOS!F:X,MATCH(1,(BAREMOS!A:A=A394)*(BAREMOS!B:B=B394)*(BAREMOS!C:C=C394)*(BAREMOS!D:D=D394),0),0),-1)
      )
   ),
   IF(H394&lt;=MIN(INDEX(BAREMOS!F:X,MATCH(1,"&amp;"(BAREMOS!A:A=A394)*(BAREMOS!B:B=B394)*(BAREMOS!C:C=C394)*(BAREMOS!D:D=D394),0),0)),1,
      IF(H394&gt;=MAX(INDEX(BAREMOS!F:X,MATCH(1,(BAREMOS!A:A=A394)*(BAREMOS!B:B=B394)*(BAREMOS!C:C=C394)*(BAREMOS!D:D=D394),0),0)),19,
         MATCH(H394,INDEX(BAREMOS!F:X"&amp;",MATCH(1,(BAREMOS!A:A=A394)*(BAREMOS!B:B=B394)*(BAREMOS!C:C=C394)*(BAREMOS!D:D=D394),0),0),1)
      )
   )
)
,""""))
"),"")</f>
        <v/>
      </c>
      <c r="K394" s="34" t="str">
        <f t="shared" si="1"/>
        <v/>
      </c>
      <c r="L394" s="16"/>
      <c r="M394" s="16"/>
      <c r="N394" s="16"/>
      <c r="O394" s="16"/>
      <c r="P394" s="16"/>
      <c r="Q394" s="16"/>
      <c r="R394" s="16"/>
      <c r="S394" s="16"/>
      <c r="T394" s="16"/>
      <c r="U394" s="16"/>
      <c r="V394" s="16"/>
      <c r="W394" s="16"/>
      <c r="X394" s="16"/>
      <c r="Y394" s="16"/>
      <c r="Z394" s="16"/>
      <c r="AA394" s="16"/>
      <c r="AB394" s="16"/>
      <c r="AC394" s="16"/>
    </row>
    <row r="395">
      <c r="A395" s="22" t="str">
        <f t="array" ref="A395">IF(E395="","",IFERROR(INDEX(CONFIGURACION!C:C,MATCH(E395,CONFIGURACION!E:E,0)),""))
</f>
        <v/>
      </c>
      <c r="B395" s="22" t="str">
        <f t="array" ref="B395">IF(E395="","",IFERROR(INDEX(CONFIGURACION!D:D,MATCH(E395,CONFIGURACION!E:E,0)),""))
</f>
        <v/>
      </c>
      <c r="C395" s="31"/>
      <c r="D395" s="9"/>
      <c r="E395" s="6"/>
      <c r="F395" s="24"/>
      <c r="G395" s="9"/>
      <c r="H395" s="32"/>
      <c r="I395" s="33" t="str">
        <f>IFERROR(__xludf.DUMMYFUNCTION("IF(F395="""","""",LET(
  nombre, TRIM(F395),
  primer, REGEXEXTRACT(nombre, ""^\S+""),
  resto, TRIM(REGEXREPLACE(nombre, ""^\S+\s*"", """")),
  iniciales, IF(
    resto="""",
    """",
    TEXTJOIN("""",1,ARRAYFORMULA(LEFT(SPLIT(resto,"" ""),1) &amp; "".""))"&amp;"
  ),
  UPPER(primer) &amp; "" "" &amp; UPPER(iniciales)
))"),"")</f>
        <v/>
      </c>
      <c r="J395" s="33" t="str">
        <f>IFERROR(__xludf.DUMMYFUNCTION("IF(H395="""","""",IFERROR(
IF(REGEXMATCH(E395,""VELOCIDAD""),
   IF(H395&gt;=MAX(INDEX(BAREMOS!F:X,MATCH(1,(BAREMOS!A:A=A395)*(BAREMOS!B:B=B395)*(BAREMOS!C:C=C395)*(BAREMOS!D:D=D395),0),0)),1,
      IF(H395&lt;=MIN(INDEX(BAREMOS!F:X,MATCH(1,(BAREMOS!A:A=A395)*("&amp;"BAREMOS!B:B=B395)*(BAREMOS!C:C=C395)*(BAREMOS!D:D=D395),0),0)),19,
         MATCH(H395,INDEX(BAREMOS!F:X,MATCH(1,(BAREMOS!A:A=A395)*(BAREMOS!B:B=B395)*(BAREMOS!C:C=C395)*(BAREMOS!D:D=D395),0),0),-1)
      )
   ),
   IF(H395&lt;=MIN(INDEX(BAREMOS!F:X,MATCH(1,"&amp;"(BAREMOS!A:A=A395)*(BAREMOS!B:B=B395)*(BAREMOS!C:C=C395)*(BAREMOS!D:D=D395),0),0)),1,
      IF(H395&gt;=MAX(INDEX(BAREMOS!F:X,MATCH(1,(BAREMOS!A:A=A395)*(BAREMOS!B:B=B395)*(BAREMOS!C:C=C395)*(BAREMOS!D:D=D395),0),0)),19,
         MATCH(H395,INDEX(BAREMOS!F:X"&amp;",MATCH(1,(BAREMOS!A:A=A395)*(BAREMOS!B:B=B395)*(BAREMOS!C:C=C395)*(BAREMOS!D:D=D395),0),0),1)
      )
   )
)
,""""))
"),"")</f>
        <v/>
      </c>
      <c r="K395" s="34" t="str">
        <f t="shared" si="1"/>
        <v/>
      </c>
      <c r="L395" s="16"/>
      <c r="M395" s="16"/>
      <c r="N395" s="16"/>
      <c r="O395" s="16"/>
      <c r="P395" s="16"/>
      <c r="Q395" s="16"/>
      <c r="R395" s="16"/>
      <c r="S395" s="16"/>
      <c r="T395" s="16"/>
      <c r="U395" s="16"/>
      <c r="V395" s="16"/>
      <c r="W395" s="16"/>
      <c r="X395" s="16"/>
      <c r="Y395" s="16"/>
      <c r="Z395" s="16"/>
      <c r="AA395" s="16"/>
      <c r="AB395" s="16"/>
      <c r="AC395" s="16"/>
    </row>
    <row r="396">
      <c r="A396" s="22" t="str">
        <f t="array" ref="A396">IF(E396="","",IFERROR(INDEX(CONFIGURACION!C:C,MATCH(E396,CONFIGURACION!E:E,0)),""))
</f>
        <v/>
      </c>
      <c r="B396" s="22" t="str">
        <f t="array" ref="B396">IF(E396="","",IFERROR(INDEX(CONFIGURACION!D:D,MATCH(E396,CONFIGURACION!E:E,0)),""))
</f>
        <v/>
      </c>
      <c r="C396" s="31"/>
      <c r="D396" s="9"/>
      <c r="E396" s="6"/>
      <c r="F396" s="24"/>
      <c r="G396" s="9"/>
      <c r="H396" s="32"/>
      <c r="I396" s="33" t="str">
        <f>IFERROR(__xludf.DUMMYFUNCTION("IF(F396="""","""",LET(
  nombre, TRIM(F396),
  primer, REGEXEXTRACT(nombre, ""^\S+""),
  resto, TRIM(REGEXREPLACE(nombre, ""^\S+\s*"", """")),
  iniciales, IF(
    resto="""",
    """",
    TEXTJOIN("""",1,ARRAYFORMULA(LEFT(SPLIT(resto,"" ""),1) &amp; "".""))"&amp;"
  ),
  UPPER(primer) &amp; "" "" &amp; UPPER(iniciales)
))"),"")</f>
        <v/>
      </c>
      <c r="J396" s="33" t="str">
        <f>IFERROR(__xludf.DUMMYFUNCTION("IF(H396="""","""",IFERROR(
IF(REGEXMATCH(E396,""VELOCIDAD""),
   IF(H396&gt;=MAX(INDEX(BAREMOS!F:X,MATCH(1,(BAREMOS!A:A=A396)*(BAREMOS!B:B=B396)*(BAREMOS!C:C=C396)*(BAREMOS!D:D=D396),0),0)),1,
      IF(H396&lt;=MIN(INDEX(BAREMOS!F:X,MATCH(1,(BAREMOS!A:A=A396)*("&amp;"BAREMOS!B:B=B396)*(BAREMOS!C:C=C396)*(BAREMOS!D:D=D396),0),0)),19,
         MATCH(H396,INDEX(BAREMOS!F:X,MATCH(1,(BAREMOS!A:A=A396)*(BAREMOS!B:B=B396)*(BAREMOS!C:C=C396)*(BAREMOS!D:D=D396),0),0),-1)
      )
   ),
   IF(H396&lt;=MIN(INDEX(BAREMOS!F:X,MATCH(1,"&amp;"(BAREMOS!A:A=A396)*(BAREMOS!B:B=B396)*(BAREMOS!C:C=C396)*(BAREMOS!D:D=D396),0),0)),1,
      IF(H396&gt;=MAX(INDEX(BAREMOS!F:X,MATCH(1,(BAREMOS!A:A=A396)*(BAREMOS!B:B=B396)*(BAREMOS!C:C=C396)*(BAREMOS!D:D=D396),0),0)),19,
         MATCH(H396,INDEX(BAREMOS!F:X"&amp;",MATCH(1,(BAREMOS!A:A=A396)*(BAREMOS!B:B=B396)*(BAREMOS!C:C=C396)*(BAREMOS!D:D=D396),0),0),1)
      )
   )
)
,""""))
"),"")</f>
        <v/>
      </c>
      <c r="K396" s="34" t="str">
        <f t="shared" si="1"/>
        <v/>
      </c>
      <c r="L396" s="16"/>
      <c r="M396" s="16"/>
      <c r="N396" s="16"/>
      <c r="O396" s="16"/>
      <c r="P396" s="16"/>
      <c r="Q396" s="16"/>
      <c r="R396" s="16"/>
      <c r="S396" s="16"/>
      <c r="T396" s="16"/>
      <c r="U396" s="16"/>
      <c r="V396" s="16"/>
      <c r="W396" s="16"/>
      <c r="X396" s="16"/>
      <c r="Y396" s="16"/>
      <c r="Z396" s="16"/>
      <c r="AA396" s="16"/>
      <c r="AB396" s="16"/>
      <c r="AC396" s="16"/>
    </row>
    <row r="397">
      <c r="A397" s="22" t="str">
        <f t="array" ref="A397">IF(E397="","",IFERROR(INDEX(CONFIGURACION!C:C,MATCH(E397,CONFIGURACION!E:E,0)),""))
</f>
        <v/>
      </c>
      <c r="B397" s="22" t="str">
        <f t="array" ref="B397">IF(E397="","",IFERROR(INDEX(CONFIGURACION!D:D,MATCH(E397,CONFIGURACION!E:E,0)),""))
</f>
        <v/>
      </c>
      <c r="C397" s="31"/>
      <c r="D397" s="9"/>
      <c r="E397" s="6"/>
      <c r="F397" s="24"/>
      <c r="G397" s="9"/>
      <c r="H397" s="32"/>
      <c r="I397" s="33" t="str">
        <f>IFERROR(__xludf.DUMMYFUNCTION("IF(F397="""","""",LET(
  nombre, TRIM(F397),
  primer, REGEXEXTRACT(nombre, ""^\S+""),
  resto, TRIM(REGEXREPLACE(nombre, ""^\S+\s*"", """")),
  iniciales, IF(
    resto="""",
    """",
    TEXTJOIN("""",1,ARRAYFORMULA(LEFT(SPLIT(resto,"" ""),1) &amp; "".""))"&amp;"
  ),
  UPPER(primer) &amp; "" "" &amp; UPPER(iniciales)
))"),"")</f>
        <v/>
      </c>
      <c r="J397" s="33" t="str">
        <f>IFERROR(__xludf.DUMMYFUNCTION("IF(H397="""","""",IFERROR(
IF(REGEXMATCH(E397,""VELOCIDAD""),
   IF(H397&gt;=MAX(INDEX(BAREMOS!F:X,MATCH(1,(BAREMOS!A:A=A397)*(BAREMOS!B:B=B397)*(BAREMOS!C:C=C397)*(BAREMOS!D:D=D397),0),0)),1,
      IF(H397&lt;=MIN(INDEX(BAREMOS!F:X,MATCH(1,(BAREMOS!A:A=A397)*("&amp;"BAREMOS!B:B=B397)*(BAREMOS!C:C=C397)*(BAREMOS!D:D=D397),0),0)),19,
         MATCH(H397,INDEX(BAREMOS!F:X,MATCH(1,(BAREMOS!A:A=A397)*(BAREMOS!B:B=B397)*(BAREMOS!C:C=C397)*(BAREMOS!D:D=D397),0),0),-1)
      )
   ),
   IF(H397&lt;=MIN(INDEX(BAREMOS!F:X,MATCH(1,"&amp;"(BAREMOS!A:A=A397)*(BAREMOS!B:B=B397)*(BAREMOS!C:C=C397)*(BAREMOS!D:D=D397),0),0)),1,
      IF(H397&gt;=MAX(INDEX(BAREMOS!F:X,MATCH(1,(BAREMOS!A:A=A397)*(BAREMOS!B:B=B397)*(BAREMOS!C:C=C397)*(BAREMOS!D:D=D397),0),0)),19,
         MATCH(H397,INDEX(BAREMOS!F:X"&amp;",MATCH(1,(BAREMOS!A:A=A397)*(BAREMOS!B:B=B397)*(BAREMOS!C:C=C397)*(BAREMOS!D:D=D397),0),0),1)
      )
   )
)
,""""))
"),"")</f>
        <v/>
      </c>
      <c r="K397" s="34" t="str">
        <f t="shared" si="1"/>
        <v/>
      </c>
      <c r="L397" s="16"/>
      <c r="M397" s="16"/>
      <c r="N397" s="16"/>
      <c r="O397" s="16"/>
      <c r="P397" s="16"/>
      <c r="Q397" s="16"/>
      <c r="R397" s="16"/>
      <c r="S397" s="16"/>
      <c r="T397" s="16"/>
      <c r="U397" s="16"/>
      <c r="V397" s="16"/>
      <c r="W397" s="16"/>
      <c r="X397" s="16"/>
      <c r="Y397" s="16"/>
      <c r="Z397" s="16"/>
      <c r="AA397" s="16"/>
      <c r="AB397" s="16"/>
      <c r="AC397" s="16"/>
    </row>
    <row r="398">
      <c r="A398" s="22" t="str">
        <f t="array" ref="A398">IF(E398="","",IFERROR(INDEX(CONFIGURACION!C:C,MATCH(E398,CONFIGURACION!E:E,0)),""))
</f>
        <v/>
      </c>
      <c r="B398" s="22" t="str">
        <f t="array" ref="B398">IF(E398="","",IFERROR(INDEX(CONFIGURACION!D:D,MATCH(E398,CONFIGURACION!E:E,0)),""))
</f>
        <v/>
      </c>
      <c r="C398" s="31"/>
      <c r="D398" s="9"/>
      <c r="E398" s="6"/>
      <c r="F398" s="24"/>
      <c r="G398" s="9"/>
      <c r="H398" s="32"/>
      <c r="I398" s="33" t="str">
        <f>IFERROR(__xludf.DUMMYFUNCTION("IF(F398="""","""",LET(
  nombre, TRIM(F398),
  primer, REGEXEXTRACT(nombre, ""^\S+""),
  resto, TRIM(REGEXREPLACE(nombre, ""^\S+\s*"", """")),
  iniciales, IF(
    resto="""",
    """",
    TEXTJOIN("""",1,ARRAYFORMULA(LEFT(SPLIT(resto,"" ""),1) &amp; "".""))"&amp;"
  ),
  UPPER(primer) &amp; "" "" &amp; UPPER(iniciales)
))"),"")</f>
        <v/>
      </c>
      <c r="J398" s="33" t="str">
        <f>IFERROR(__xludf.DUMMYFUNCTION("IF(H398="""","""",IFERROR(
IF(REGEXMATCH(E398,""VELOCIDAD""),
   IF(H398&gt;=MAX(INDEX(BAREMOS!F:X,MATCH(1,(BAREMOS!A:A=A398)*(BAREMOS!B:B=B398)*(BAREMOS!C:C=C398)*(BAREMOS!D:D=D398),0),0)),1,
      IF(H398&lt;=MIN(INDEX(BAREMOS!F:X,MATCH(1,(BAREMOS!A:A=A398)*("&amp;"BAREMOS!B:B=B398)*(BAREMOS!C:C=C398)*(BAREMOS!D:D=D398),0),0)),19,
         MATCH(H398,INDEX(BAREMOS!F:X,MATCH(1,(BAREMOS!A:A=A398)*(BAREMOS!B:B=B398)*(BAREMOS!C:C=C398)*(BAREMOS!D:D=D398),0),0),-1)
      )
   ),
   IF(H398&lt;=MIN(INDEX(BAREMOS!F:X,MATCH(1,"&amp;"(BAREMOS!A:A=A398)*(BAREMOS!B:B=B398)*(BAREMOS!C:C=C398)*(BAREMOS!D:D=D398),0),0)),1,
      IF(H398&gt;=MAX(INDEX(BAREMOS!F:X,MATCH(1,(BAREMOS!A:A=A398)*(BAREMOS!B:B=B398)*(BAREMOS!C:C=C398)*(BAREMOS!D:D=D398),0),0)),19,
         MATCH(H398,INDEX(BAREMOS!F:X"&amp;",MATCH(1,(BAREMOS!A:A=A398)*(BAREMOS!B:B=B398)*(BAREMOS!C:C=C398)*(BAREMOS!D:D=D398),0),0),1)
      )
   )
)
,""""))
"),"")</f>
        <v/>
      </c>
      <c r="K398" s="34" t="str">
        <f t="shared" si="1"/>
        <v/>
      </c>
      <c r="L398" s="16"/>
      <c r="M398" s="16"/>
      <c r="N398" s="16"/>
      <c r="O398" s="16"/>
      <c r="P398" s="16"/>
      <c r="Q398" s="16"/>
      <c r="R398" s="16"/>
      <c r="S398" s="16"/>
      <c r="T398" s="16"/>
      <c r="U398" s="16"/>
      <c r="V398" s="16"/>
      <c r="W398" s="16"/>
      <c r="X398" s="16"/>
      <c r="Y398" s="16"/>
      <c r="Z398" s="16"/>
      <c r="AA398" s="16"/>
      <c r="AB398" s="16"/>
      <c r="AC398" s="16"/>
    </row>
    <row r="399">
      <c r="A399" s="22" t="str">
        <f t="array" ref="A399">IF(E399="","",IFERROR(INDEX(CONFIGURACION!C:C,MATCH(E399,CONFIGURACION!E:E,0)),""))
</f>
        <v/>
      </c>
      <c r="B399" s="22" t="str">
        <f t="array" ref="B399">IF(E399="","",IFERROR(INDEX(CONFIGURACION!D:D,MATCH(E399,CONFIGURACION!E:E,0)),""))
</f>
        <v/>
      </c>
      <c r="C399" s="31"/>
      <c r="D399" s="9"/>
      <c r="E399" s="6"/>
      <c r="F399" s="24"/>
      <c r="G399" s="9"/>
      <c r="H399" s="32"/>
      <c r="I399" s="33" t="str">
        <f>IFERROR(__xludf.DUMMYFUNCTION("IF(F399="""","""",LET(
  nombre, TRIM(F399),
  primer, REGEXEXTRACT(nombre, ""^\S+""),
  resto, TRIM(REGEXREPLACE(nombre, ""^\S+\s*"", """")),
  iniciales, IF(
    resto="""",
    """",
    TEXTJOIN("""",1,ARRAYFORMULA(LEFT(SPLIT(resto,"" ""),1) &amp; "".""))"&amp;"
  ),
  UPPER(primer) &amp; "" "" &amp; UPPER(iniciales)
))"),"")</f>
        <v/>
      </c>
      <c r="J399" s="33" t="str">
        <f>IFERROR(__xludf.DUMMYFUNCTION("IF(H399="""","""",IFERROR(
IF(REGEXMATCH(E399,""VELOCIDAD""),
   IF(H399&gt;=MAX(INDEX(BAREMOS!F:X,MATCH(1,(BAREMOS!A:A=A399)*(BAREMOS!B:B=B399)*(BAREMOS!C:C=C399)*(BAREMOS!D:D=D399),0),0)),1,
      IF(H399&lt;=MIN(INDEX(BAREMOS!F:X,MATCH(1,(BAREMOS!A:A=A399)*("&amp;"BAREMOS!B:B=B399)*(BAREMOS!C:C=C399)*(BAREMOS!D:D=D399),0),0)),19,
         MATCH(H399,INDEX(BAREMOS!F:X,MATCH(1,(BAREMOS!A:A=A399)*(BAREMOS!B:B=B399)*(BAREMOS!C:C=C399)*(BAREMOS!D:D=D399),0),0),-1)
      )
   ),
   IF(H399&lt;=MIN(INDEX(BAREMOS!F:X,MATCH(1,"&amp;"(BAREMOS!A:A=A399)*(BAREMOS!B:B=B399)*(BAREMOS!C:C=C399)*(BAREMOS!D:D=D399),0),0)),1,
      IF(H399&gt;=MAX(INDEX(BAREMOS!F:X,MATCH(1,(BAREMOS!A:A=A399)*(BAREMOS!B:B=B399)*(BAREMOS!C:C=C399)*(BAREMOS!D:D=D399),0),0)),19,
         MATCH(H399,INDEX(BAREMOS!F:X"&amp;",MATCH(1,(BAREMOS!A:A=A399)*(BAREMOS!B:B=B399)*(BAREMOS!C:C=C399)*(BAREMOS!D:D=D399),0),0),1)
      )
   )
)
,""""))
"),"")</f>
        <v/>
      </c>
      <c r="K399" s="34" t="str">
        <f t="shared" si="1"/>
        <v/>
      </c>
      <c r="L399" s="16"/>
      <c r="M399" s="16"/>
      <c r="N399" s="16"/>
      <c r="O399" s="16"/>
      <c r="P399" s="16"/>
      <c r="Q399" s="16"/>
      <c r="R399" s="16"/>
      <c r="S399" s="16"/>
      <c r="T399" s="16"/>
      <c r="U399" s="16"/>
      <c r="V399" s="16"/>
      <c r="W399" s="16"/>
      <c r="X399" s="16"/>
      <c r="Y399" s="16"/>
      <c r="Z399" s="16"/>
      <c r="AA399" s="16"/>
      <c r="AB399" s="16"/>
      <c r="AC399" s="16"/>
    </row>
    <row r="400">
      <c r="A400" s="22" t="str">
        <f t="array" ref="A400">IF(E400="","",IFERROR(INDEX(CONFIGURACION!C:C,MATCH(E400,CONFIGURACION!E:E,0)),""))
</f>
        <v/>
      </c>
      <c r="B400" s="22" t="str">
        <f t="array" ref="B400">IF(E400="","",IFERROR(INDEX(CONFIGURACION!D:D,MATCH(E400,CONFIGURACION!E:E,0)),""))
</f>
        <v/>
      </c>
      <c r="C400" s="31"/>
      <c r="D400" s="9"/>
      <c r="E400" s="6"/>
      <c r="F400" s="24"/>
      <c r="G400" s="9"/>
      <c r="H400" s="32"/>
      <c r="I400" s="33" t="str">
        <f>IFERROR(__xludf.DUMMYFUNCTION("IF(F400="""","""",LET(
  nombre, TRIM(F400),
  primer, REGEXEXTRACT(nombre, ""^\S+""),
  resto, TRIM(REGEXREPLACE(nombre, ""^\S+\s*"", """")),
  iniciales, IF(
    resto="""",
    """",
    TEXTJOIN("""",1,ARRAYFORMULA(LEFT(SPLIT(resto,"" ""),1) &amp; "".""))"&amp;"
  ),
  UPPER(primer) &amp; "" "" &amp; UPPER(iniciales)
))"),"")</f>
        <v/>
      </c>
      <c r="J400" s="33" t="str">
        <f>IFERROR(__xludf.DUMMYFUNCTION("IF(H400="""","""",IFERROR(
IF(REGEXMATCH(E400,""VELOCIDAD""),
   IF(H400&gt;=MAX(INDEX(BAREMOS!F:X,MATCH(1,(BAREMOS!A:A=A400)*(BAREMOS!B:B=B400)*(BAREMOS!C:C=C400)*(BAREMOS!D:D=D400),0),0)),1,
      IF(H400&lt;=MIN(INDEX(BAREMOS!F:X,MATCH(1,(BAREMOS!A:A=A400)*("&amp;"BAREMOS!B:B=B400)*(BAREMOS!C:C=C400)*(BAREMOS!D:D=D400),0),0)),19,
         MATCH(H400,INDEX(BAREMOS!F:X,MATCH(1,(BAREMOS!A:A=A400)*(BAREMOS!B:B=B400)*(BAREMOS!C:C=C400)*(BAREMOS!D:D=D400),0),0),-1)
      )
   ),
   IF(H400&lt;=MIN(INDEX(BAREMOS!F:X,MATCH(1,"&amp;"(BAREMOS!A:A=A400)*(BAREMOS!B:B=B400)*(BAREMOS!C:C=C400)*(BAREMOS!D:D=D400),0),0)),1,
      IF(H400&gt;=MAX(INDEX(BAREMOS!F:X,MATCH(1,(BAREMOS!A:A=A400)*(BAREMOS!B:B=B400)*(BAREMOS!C:C=C400)*(BAREMOS!D:D=D400),0),0)),19,
         MATCH(H400,INDEX(BAREMOS!F:X"&amp;",MATCH(1,(BAREMOS!A:A=A400)*(BAREMOS!B:B=B400)*(BAREMOS!C:C=C400)*(BAREMOS!D:D=D400),0),0),1)
      )
   )
)
,""""))
"),"")</f>
        <v/>
      </c>
      <c r="K400" s="34" t="str">
        <f t="shared" si="1"/>
        <v/>
      </c>
      <c r="L400" s="16"/>
      <c r="M400" s="16"/>
      <c r="N400" s="16"/>
      <c r="O400" s="16"/>
      <c r="P400" s="16"/>
      <c r="Q400" s="16"/>
      <c r="R400" s="16"/>
      <c r="S400" s="16"/>
      <c r="T400" s="16"/>
      <c r="U400" s="16"/>
      <c r="V400" s="16"/>
      <c r="W400" s="16"/>
      <c r="X400" s="16"/>
      <c r="Y400" s="16"/>
      <c r="Z400" s="16"/>
      <c r="AA400" s="16"/>
      <c r="AB400" s="16"/>
      <c r="AC400" s="16"/>
    </row>
    <row r="401">
      <c r="A401" s="22" t="str">
        <f t="array" ref="A401">IF(E401="","",IFERROR(INDEX(CONFIGURACION!C:C,MATCH(E401,CONFIGURACION!E:E,0)),""))
</f>
        <v/>
      </c>
      <c r="B401" s="22" t="str">
        <f t="array" ref="B401">IF(E401="","",IFERROR(INDEX(CONFIGURACION!D:D,MATCH(E401,CONFIGURACION!E:E,0)),""))
</f>
        <v/>
      </c>
      <c r="C401" s="31"/>
      <c r="D401" s="9"/>
      <c r="E401" s="6"/>
      <c r="F401" s="24"/>
      <c r="G401" s="9"/>
      <c r="H401" s="32"/>
      <c r="I401" s="33" t="str">
        <f>IFERROR(__xludf.DUMMYFUNCTION("IF(F401="""","""",LET(
  nombre, TRIM(F401),
  primer, REGEXEXTRACT(nombre, ""^\S+""),
  resto, TRIM(REGEXREPLACE(nombre, ""^\S+\s*"", """")),
  iniciales, IF(
    resto="""",
    """",
    TEXTJOIN("""",1,ARRAYFORMULA(LEFT(SPLIT(resto,"" ""),1) &amp; "".""))"&amp;"
  ),
  UPPER(primer) &amp; "" "" &amp; UPPER(iniciales)
))"),"")</f>
        <v/>
      </c>
      <c r="J401" s="33" t="str">
        <f>IFERROR(__xludf.DUMMYFUNCTION("IF(H401="""","""",IFERROR(
IF(REGEXMATCH(E401,""VELOCIDAD""),
   IF(H401&gt;=MAX(INDEX(BAREMOS!F:X,MATCH(1,(BAREMOS!A:A=A401)*(BAREMOS!B:B=B401)*(BAREMOS!C:C=C401)*(BAREMOS!D:D=D401),0),0)),1,
      IF(H401&lt;=MIN(INDEX(BAREMOS!F:X,MATCH(1,(BAREMOS!A:A=A401)*("&amp;"BAREMOS!B:B=B401)*(BAREMOS!C:C=C401)*(BAREMOS!D:D=D401),0),0)),19,
         MATCH(H401,INDEX(BAREMOS!F:X,MATCH(1,(BAREMOS!A:A=A401)*(BAREMOS!B:B=B401)*(BAREMOS!C:C=C401)*(BAREMOS!D:D=D401),0),0),-1)
      )
   ),
   IF(H401&lt;=MIN(INDEX(BAREMOS!F:X,MATCH(1,"&amp;"(BAREMOS!A:A=A401)*(BAREMOS!B:B=B401)*(BAREMOS!C:C=C401)*(BAREMOS!D:D=D401),0),0)),1,
      IF(H401&gt;=MAX(INDEX(BAREMOS!F:X,MATCH(1,(BAREMOS!A:A=A401)*(BAREMOS!B:B=B401)*(BAREMOS!C:C=C401)*(BAREMOS!D:D=D401),0),0)),19,
         MATCH(H401,INDEX(BAREMOS!F:X"&amp;",MATCH(1,(BAREMOS!A:A=A401)*(BAREMOS!B:B=B401)*(BAREMOS!C:C=C401)*(BAREMOS!D:D=D401),0),0),1)
      )
   )
)
,""""))
"),"")</f>
        <v/>
      </c>
      <c r="K401" s="34" t="str">
        <f t="shared" si="1"/>
        <v/>
      </c>
      <c r="L401" s="16"/>
      <c r="M401" s="16"/>
      <c r="N401" s="16"/>
      <c r="O401" s="16"/>
      <c r="P401" s="16"/>
      <c r="Q401" s="16"/>
      <c r="R401" s="16"/>
      <c r="S401" s="16"/>
      <c r="T401" s="16"/>
      <c r="U401" s="16"/>
      <c r="V401" s="16"/>
      <c r="W401" s="16"/>
      <c r="X401" s="16"/>
      <c r="Y401" s="16"/>
      <c r="Z401" s="16"/>
      <c r="AA401" s="16"/>
      <c r="AB401" s="16"/>
      <c r="AC401" s="16"/>
    </row>
    <row r="402">
      <c r="A402" s="22" t="str">
        <f t="array" ref="A402">IF(E402="","",IFERROR(INDEX(CONFIGURACION!C:C,MATCH(E402,CONFIGURACION!E:E,0)),""))
</f>
        <v/>
      </c>
      <c r="B402" s="22" t="str">
        <f t="array" ref="B402">IF(E402="","",IFERROR(INDEX(CONFIGURACION!D:D,MATCH(E402,CONFIGURACION!E:E,0)),""))
</f>
        <v/>
      </c>
      <c r="C402" s="31"/>
      <c r="D402" s="9"/>
      <c r="E402" s="6"/>
      <c r="F402" s="24"/>
      <c r="G402" s="9"/>
      <c r="H402" s="32"/>
      <c r="I402" s="33" t="str">
        <f>IFERROR(__xludf.DUMMYFUNCTION("IF(F402="""","""",LET(
  nombre, TRIM(F402),
  primer, REGEXEXTRACT(nombre, ""^\S+""),
  resto, TRIM(REGEXREPLACE(nombre, ""^\S+\s*"", """")),
  iniciales, IF(
    resto="""",
    """",
    TEXTJOIN("""",1,ARRAYFORMULA(LEFT(SPLIT(resto,"" ""),1) &amp; "".""))"&amp;"
  ),
  UPPER(primer) &amp; "" "" &amp; UPPER(iniciales)
))"),"")</f>
        <v/>
      </c>
      <c r="J402" s="33" t="str">
        <f>IFERROR(__xludf.DUMMYFUNCTION("IF(H402="""","""",IFERROR(
IF(REGEXMATCH(E402,""VELOCIDAD""),
   IF(H402&gt;=MAX(INDEX(BAREMOS!F:X,MATCH(1,(BAREMOS!A:A=A402)*(BAREMOS!B:B=B402)*(BAREMOS!C:C=C402)*(BAREMOS!D:D=D402),0),0)),1,
      IF(H402&lt;=MIN(INDEX(BAREMOS!F:X,MATCH(1,(BAREMOS!A:A=A402)*("&amp;"BAREMOS!B:B=B402)*(BAREMOS!C:C=C402)*(BAREMOS!D:D=D402),0),0)),19,
         MATCH(H402,INDEX(BAREMOS!F:X,MATCH(1,(BAREMOS!A:A=A402)*(BAREMOS!B:B=B402)*(BAREMOS!C:C=C402)*(BAREMOS!D:D=D402),0),0),-1)
      )
   ),
   IF(H402&lt;=MIN(INDEX(BAREMOS!F:X,MATCH(1,"&amp;"(BAREMOS!A:A=A402)*(BAREMOS!B:B=B402)*(BAREMOS!C:C=C402)*(BAREMOS!D:D=D402),0),0)),1,
      IF(H402&gt;=MAX(INDEX(BAREMOS!F:X,MATCH(1,(BAREMOS!A:A=A402)*(BAREMOS!B:B=B402)*(BAREMOS!C:C=C402)*(BAREMOS!D:D=D402),0),0)),19,
         MATCH(H402,INDEX(BAREMOS!F:X"&amp;",MATCH(1,(BAREMOS!A:A=A402)*(BAREMOS!B:B=B402)*(BAREMOS!C:C=C402)*(BAREMOS!D:D=D402),0),0),1)
      )
   )
)
,""""))
"),"")</f>
        <v/>
      </c>
      <c r="K402" s="34" t="str">
        <f t="shared" si="1"/>
        <v/>
      </c>
      <c r="L402" s="16"/>
      <c r="M402" s="16"/>
      <c r="N402" s="16"/>
      <c r="O402" s="16"/>
      <c r="P402" s="16"/>
      <c r="Q402" s="16"/>
      <c r="R402" s="16"/>
      <c r="S402" s="16"/>
      <c r="T402" s="16"/>
      <c r="U402" s="16"/>
      <c r="V402" s="16"/>
      <c r="W402" s="16"/>
      <c r="X402" s="16"/>
      <c r="Y402" s="16"/>
      <c r="Z402" s="16"/>
      <c r="AA402" s="16"/>
      <c r="AB402" s="16"/>
      <c r="AC402" s="16"/>
    </row>
    <row r="403">
      <c r="A403" s="22" t="str">
        <f t="array" ref="A403">IF(E403="","",IFERROR(INDEX(CONFIGURACION!C:C,MATCH(E403,CONFIGURACION!E:E,0)),""))
</f>
        <v/>
      </c>
      <c r="B403" s="22" t="str">
        <f t="array" ref="B403">IF(E403="","",IFERROR(INDEX(CONFIGURACION!D:D,MATCH(E403,CONFIGURACION!E:E,0)),""))
</f>
        <v/>
      </c>
      <c r="C403" s="31"/>
      <c r="D403" s="9"/>
      <c r="E403" s="6"/>
      <c r="F403" s="24"/>
      <c r="G403" s="9"/>
      <c r="H403" s="32"/>
      <c r="I403" s="33" t="str">
        <f>IFERROR(__xludf.DUMMYFUNCTION("IF(F403="""","""",LET(
  nombre, TRIM(F403),
  primer, REGEXEXTRACT(nombre, ""^\S+""),
  resto, TRIM(REGEXREPLACE(nombre, ""^\S+\s*"", """")),
  iniciales, IF(
    resto="""",
    """",
    TEXTJOIN("""",1,ARRAYFORMULA(LEFT(SPLIT(resto,"" ""),1) &amp; "".""))"&amp;"
  ),
  UPPER(primer) &amp; "" "" &amp; UPPER(iniciales)
))"),"")</f>
        <v/>
      </c>
      <c r="J403" s="33" t="str">
        <f>IFERROR(__xludf.DUMMYFUNCTION("IF(H403="""","""",IFERROR(
IF(REGEXMATCH(E403,""VELOCIDAD""),
   IF(H403&gt;=MAX(INDEX(BAREMOS!F:X,MATCH(1,(BAREMOS!A:A=A403)*(BAREMOS!B:B=B403)*(BAREMOS!C:C=C403)*(BAREMOS!D:D=D403),0),0)),1,
      IF(H403&lt;=MIN(INDEX(BAREMOS!F:X,MATCH(1,(BAREMOS!A:A=A403)*("&amp;"BAREMOS!B:B=B403)*(BAREMOS!C:C=C403)*(BAREMOS!D:D=D403),0),0)),19,
         MATCH(H403,INDEX(BAREMOS!F:X,MATCH(1,(BAREMOS!A:A=A403)*(BAREMOS!B:B=B403)*(BAREMOS!C:C=C403)*(BAREMOS!D:D=D403),0),0),-1)
      )
   ),
   IF(H403&lt;=MIN(INDEX(BAREMOS!F:X,MATCH(1,"&amp;"(BAREMOS!A:A=A403)*(BAREMOS!B:B=B403)*(BAREMOS!C:C=C403)*(BAREMOS!D:D=D403),0),0)),1,
      IF(H403&gt;=MAX(INDEX(BAREMOS!F:X,MATCH(1,(BAREMOS!A:A=A403)*(BAREMOS!B:B=B403)*(BAREMOS!C:C=C403)*(BAREMOS!D:D=D403),0),0)),19,
         MATCH(H403,INDEX(BAREMOS!F:X"&amp;",MATCH(1,(BAREMOS!A:A=A403)*(BAREMOS!B:B=B403)*(BAREMOS!C:C=C403)*(BAREMOS!D:D=D403),0),0),1)
      )
   )
)
,""""))
"),"")</f>
        <v/>
      </c>
      <c r="K403" s="34" t="str">
        <f t="shared" si="1"/>
        <v/>
      </c>
      <c r="L403" s="16"/>
      <c r="M403" s="16"/>
      <c r="N403" s="16"/>
      <c r="O403" s="16"/>
      <c r="P403" s="16"/>
      <c r="Q403" s="16"/>
      <c r="R403" s="16"/>
      <c r="S403" s="16"/>
      <c r="T403" s="16"/>
      <c r="U403" s="16"/>
      <c r="V403" s="16"/>
      <c r="W403" s="16"/>
      <c r="X403" s="16"/>
      <c r="Y403" s="16"/>
      <c r="Z403" s="16"/>
      <c r="AA403" s="16"/>
      <c r="AB403" s="16"/>
      <c r="AC403" s="16"/>
    </row>
    <row r="404">
      <c r="A404" s="22" t="str">
        <f t="array" ref="A404">IF(E404="","",IFERROR(INDEX(CONFIGURACION!C:C,MATCH(E404,CONFIGURACION!E:E,0)),""))
</f>
        <v/>
      </c>
      <c r="B404" s="22" t="str">
        <f t="array" ref="B404">IF(E404="","",IFERROR(INDEX(CONFIGURACION!D:D,MATCH(E404,CONFIGURACION!E:E,0)),""))
</f>
        <v/>
      </c>
      <c r="C404" s="31"/>
      <c r="D404" s="9"/>
      <c r="E404" s="6"/>
      <c r="F404" s="24"/>
      <c r="G404" s="9"/>
      <c r="H404" s="32"/>
      <c r="I404" s="33" t="str">
        <f>IFERROR(__xludf.DUMMYFUNCTION("IF(F404="""","""",LET(
  nombre, TRIM(F404),
  primer, REGEXEXTRACT(nombre, ""^\S+""),
  resto, TRIM(REGEXREPLACE(nombre, ""^\S+\s*"", """")),
  iniciales, IF(
    resto="""",
    """",
    TEXTJOIN("""",1,ARRAYFORMULA(LEFT(SPLIT(resto,"" ""),1) &amp; "".""))"&amp;"
  ),
  UPPER(primer) &amp; "" "" &amp; UPPER(iniciales)
))"),"")</f>
        <v/>
      </c>
      <c r="J404" s="33" t="str">
        <f>IFERROR(__xludf.DUMMYFUNCTION("IF(H404="""","""",IFERROR(
IF(REGEXMATCH(E404,""VELOCIDAD""),
   IF(H404&gt;=MAX(INDEX(BAREMOS!F:X,MATCH(1,(BAREMOS!A:A=A404)*(BAREMOS!B:B=B404)*(BAREMOS!C:C=C404)*(BAREMOS!D:D=D404),0),0)),1,
      IF(H404&lt;=MIN(INDEX(BAREMOS!F:X,MATCH(1,(BAREMOS!A:A=A404)*("&amp;"BAREMOS!B:B=B404)*(BAREMOS!C:C=C404)*(BAREMOS!D:D=D404),0),0)),19,
         MATCH(H404,INDEX(BAREMOS!F:X,MATCH(1,(BAREMOS!A:A=A404)*(BAREMOS!B:B=B404)*(BAREMOS!C:C=C404)*(BAREMOS!D:D=D404),0),0),-1)
      )
   ),
   IF(H404&lt;=MIN(INDEX(BAREMOS!F:X,MATCH(1,"&amp;"(BAREMOS!A:A=A404)*(BAREMOS!B:B=B404)*(BAREMOS!C:C=C404)*(BAREMOS!D:D=D404),0),0)),1,
      IF(H404&gt;=MAX(INDEX(BAREMOS!F:X,MATCH(1,(BAREMOS!A:A=A404)*(BAREMOS!B:B=B404)*(BAREMOS!C:C=C404)*(BAREMOS!D:D=D404),0),0)),19,
         MATCH(H404,INDEX(BAREMOS!F:X"&amp;",MATCH(1,(BAREMOS!A:A=A404)*(BAREMOS!B:B=B404)*(BAREMOS!C:C=C404)*(BAREMOS!D:D=D404),0),0),1)
      )
   )
)
,""""))
"),"")</f>
        <v/>
      </c>
      <c r="K404" s="34" t="str">
        <f t="shared" si="1"/>
        <v/>
      </c>
      <c r="L404" s="16"/>
      <c r="M404" s="16"/>
      <c r="N404" s="16"/>
      <c r="O404" s="16"/>
      <c r="P404" s="16"/>
      <c r="Q404" s="16"/>
      <c r="R404" s="16"/>
      <c r="S404" s="16"/>
      <c r="T404" s="16"/>
      <c r="U404" s="16"/>
      <c r="V404" s="16"/>
      <c r="W404" s="16"/>
      <c r="X404" s="16"/>
      <c r="Y404" s="16"/>
      <c r="Z404" s="16"/>
      <c r="AA404" s="16"/>
      <c r="AB404" s="16"/>
      <c r="AC404" s="16"/>
    </row>
    <row r="405">
      <c r="A405" s="22" t="str">
        <f t="array" ref="A405">IF(E405="","",IFERROR(INDEX(CONFIGURACION!C:C,MATCH(E405,CONFIGURACION!E:E,0)),""))
</f>
        <v/>
      </c>
      <c r="B405" s="22" t="str">
        <f t="array" ref="B405">IF(E405="","",IFERROR(INDEX(CONFIGURACION!D:D,MATCH(E405,CONFIGURACION!E:E,0)),""))
</f>
        <v/>
      </c>
      <c r="C405" s="31"/>
      <c r="D405" s="9"/>
      <c r="E405" s="6"/>
      <c r="F405" s="24"/>
      <c r="G405" s="9"/>
      <c r="H405" s="32"/>
      <c r="I405" s="33" t="str">
        <f>IFERROR(__xludf.DUMMYFUNCTION("IF(F405="""","""",LET(
  nombre, TRIM(F405),
  primer, REGEXEXTRACT(nombre, ""^\S+""),
  resto, TRIM(REGEXREPLACE(nombre, ""^\S+\s*"", """")),
  iniciales, IF(
    resto="""",
    """",
    TEXTJOIN("""",1,ARRAYFORMULA(LEFT(SPLIT(resto,"" ""),1) &amp; "".""))"&amp;"
  ),
  UPPER(primer) &amp; "" "" &amp; UPPER(iniciales)
))"),"")</f>
        <v/>
      </c>
      <c r="J405" s="33" t="str">
        <f>IFERROR(__xludf.DUMMYFUNCTION("IF(H405="""","""",IFERROR(
IF(REGEXMATCH(E405,""VELOCIDAD""),
   IF(H405&gt;=MAX(INDEX(BAREMOS!F:X,MATCH(1,(BAREMOS!A:A=A405)*(BAREMOS!B:B=B405)*(BAREMOS!C:C=C405)*(BAREMOS!D:D=D405),0),0)),1,
      IF(H405&lt;=MIN(INDEX(BAREMOS!F:X,MATCH(1,(BAREMOS!A:A=A405)*("&amp;"BAREMOS!B:B=B405)*(BAREMOS!C:C=C405)*(BAREMOS!D:D=D405),0),0)),19,
         MATCH(H405,INDEX(BAREMOS!F:X,MATCH(1,(BAREMOS!A:A=A405)*(BAREMOS!B:B=B405)*(BAREMOS!C:C=C405)*(BAREMOS!D:D=D405),0),0),-1)
      )
   ),
   IF(H405&lt;=MIN(INDEX(BAREMOS!F:X,MATCH(1,"&amp;"(BAREMOS!A:A=A405)*(BAREMOS!B:B=B405)*(BAREMOS!C:C=C405)*(BAREMOS!D:D=D405),0),0)),1,
      IF(H405&gt;=MAX(INDEX(BAREMOS!F:X,MATCH(1,(BAREMOS!A:A=A405)*(BAREMOS!B:B=B405)*(BAREMOS!C:C=C405)*(BAREMOS!D:D=D405),0),0)),19,
         MATCH(H405,INDEX(BAREMOS!F:X"&amp;",MATCH(1,(BAREMOS!A:A=A405)*(BAREMOS!B:B=B405)*(BAREMOS!C:C=C405)*(BAREMOS!D:D=D405),0),0),1)
      )
   )
)
,""""))
"),"")</f>
        <v/>
      </c>
      <c r="K405" s="34" t="str">
        <f t="shared" si="1"/>
        <v/>
      </c>
      <c r="L405" s="16"/>
      <c r="M405" s="16"/>
      <c r="N405" s="16"/>
      <c r="O405" s="16"/>
      <c r="P405" s="16"/>
      <c r="Q405" s="16"/>
      <c r="R405" s="16"/>
      <c r="S405" s="16"/>
      <c r="T405" s="16"/>
      <c r="U405" s="16"/>
      <c r="V405" s="16"/>
      <c r="W405" s="16"/>
      <c r="X405" s="16"/>
      <c r="Y405" s="16"/>
      <c r="Z405" s="16"/>
      <c r="AA405" s="16"/>
      <c r="AB405" s="16"/>
      <c r="AC405" s="16"/>
    </row>
    <row r="406">
      <c r="A406" s="22" t="str">
        <f t="array" ref="A406">IF(E406="","",IFERROR(INDEX(CONFIGURACION!C:C,MATCH(E406,CONFIGURACION!E:E,0)),""))
</f>
        <v/>
      </c>
      <c r="B406" s="22" t="str">
        <f t="array" ref="B406">IF(E406="","",IFERROR(INDEX(CONFIGURACION!D:D,MATCH(E406,CONFIGURACION!E:E,0)),""))
</f>
        <v/>
      </c>
      <c r="C406" s="31"/>
      <c r="D406" s="9"/>
      <c r="E406" s="6"/>
      <c r="F406" s="24"/>
      <c r="G406" s="9"/>
      <c r="H406" s="32"/>
      <c r="I406" s="33" t="str">
        <f>IFERROR(__xludf.DUMMYFUNCTION("IF(F406="""","""",LET(
  nombre, TRIM(F406),
  primer, REGEXEXTRACT(nombre, ""^\S+""),
  resto, TRIM(REGEXREPLACE(nombre, ""^\S+\s*"", """")),
  iniciales, IF(
    resto="""",
    """",
    TEXTJOIN("""",1,ARRAYFORMULA(LEFT(SPLIT(resto,"" ""),1) &amp; "".""))"&amp;"
  ),
  UPPER(primer) &amp; "" "" &amp; UPPER(iniciales)
))"),"")</f>
        <v/>
      </c>
      <c r="J406" s="33" t="str">
        <f>IFERROR(__xludf.DUMMYFUNCTION("IF(H406="""","""",IFERROR(
IF(REGEXMATCH(E406,""VELOCIDAD""),
   IF(H406&gt;=MAX(INDEX(BAREMOS!F:X,MATCH(1,(BAREMOS!A:A=A406)*(BAREMOS!B:B=B406)*(BAREMOS!C:C=C406)*(BAREMOS!D:D=D406),0),0)),1,
      IF(H406&lt;=MIN(INDEX(BAREMOS!F:X,MATCH(1,(BAREMOS!A:A=A406)*("&amp;"BAREMOS!B:B=B406)*(BAREMOS!C:C=C406)*(BAREMOS!D:D=D406),0),0)),19,
         MATCH(H406,INDEX(BAREMOS!F:X,MATCH(1,(BAREMOS!A:A=A406)*(BAREMOS!B:B=B406)*(BAREMOS!C:C=C406)*(BAREMOS!D:D=D406),0),0),-1)
      )
   ),
   IF(H406&lt;=MIN(INDEX(BAREMOS!F:X,MATCH(1,"&amp;"(BAREMOS!A:A=A406)*(BAREMOS!B:B=B406)*(BAREMOS!C:C=C406)*(BAREMOS!D:D=D406),0),0)),1,
      IF(H406&gt;=MAX(INDEX(BAREMOS!F:X,MATCH(1,(BAREMOS!A:A=A406)*(BAREMOS!B:B=B406)*(BAREMOS!C:C=C406)*(BAREMOS!D:D=D406),0),0)),19,
         MATCH(H406,INDEX(BAREMOS!F:X"&amp;",MATCH(1,(BAREMOS!A:A=A406)*(BAREMOS!B:B=B406)*(BAREMOS!C:C=C406)*(BAREMOS!D:D=D406),0),0),1)
      )
   )
)
,""""))
"),"")</f>
        <v/>
      </c>
      <c r="K406" s="34" t="str">
        <f t="shared" si="1"/>
        <v/>
      </c>
      <c r="L406" s="16"/>
      <c r="M406" s="16"/>
      <c r="N406" s="16"/>
      <c r="O406" s="16"/>
      <c r="P406" s="16"/>
      <c r="Q406" s="16"/>
      <c r="R406" s="16"/>
      <c r="S406" s="16"/>
      <c r="T406" s="16"/>
      <c r="U406" s="16"/>
      <c r="V406" s="16"/>
      <c r="W406" s="16"/>
      <c r="X406" s="16"/>
      <c r="Y406" s="16"/>
      <c r="Z406" s="16"/>
      <c r="AA406" s="16"/>
      <c r="AB406" s="16"/>
      <c r="AC406" s="16"/>
    </row>
    <row r="407">
      <c r="A407" s="22" t="str">
        <f t="array" ref="A407">IF(E407="","",IFERROR(INDEX(CONFIGURACION!C:C,MATCH(E407,CONFIGURACION!E:E,0)),""))
</f>
        <v/>
      </c>
      <c r="B407" s="22" t="str">
        <f t="array" ref="B407">IF(E407="","",IFERROR(INDEX(CONFIGURACION!D:D,MATCH(E407,CONFIGURACION!E:E,0)),""))
</f>
        <v/>
      </c>
      <c r="C407" s="31"/>
      <c r="D407" s="9"/>
      <c r="E407" s="6"/>
      <c r="F407" s="24"/>
      <c r="G407" s="9"/>
      <c r="H407" s="32"/>
      <c r="I407" s="33" t="str">
        <f>IFERROR(__xludf.DUMMYFUNCTION("IF(F407="""","""",LET(
  nombre, TRIM(F407),
  primer, REGEXEXTRACT(nombre, ""^\S+""),
  resto, TRIM(REGEXREPLACE(nombre, ""^\S+\s*"", """")),
  iniciales, IF(
    resto="""",
    """",
    TEXTJOIN("""",1,ARRAYFORMULA(LEFT(SPLIT(resto,"" ""),1) &amp; "".""))"&amp;"
  ),
  UPPER(primer) &amp; "" "" &amp; UPPER(iniciales)
))"),"")</f>
        <v/>
      </c>
      <c r="J407" s="33" t="str">
        <f>IFERROR(__xludf.DUMMYFUNCTION("IF(H407="""","""",IFERROR(
IF(REGEXMATCH(E407,""VELOCIDAD""),
   IF(H407&gt;=MAX(INDEX(BAREMOS!F:X,MATCH(1,(BAREMOS!A:A=A407)*(BAREMOS!B:B=B407)*(BAREMOS!C:C=C407)*(BAREMOS!D:D=D407),0),0)),1,
      IF(H407&lt;=MIN(INDEX(BAREMOS!F:X,MATCH(1,(BAREMOS!A:A=A407)*("&amp;"BAREMOS!B:B=B407)*(BAREMOS!C:C=C407)*(BAREMOS!D:D=D407),0),0)),19,
         MATCH(H407,INDEX(BAREMOS!F:X,MATCH(1,(BAREMOS!A:A=A407)*(BAREMOS!B:B=B407)*(BAREMOS!C:C=C407)*(BAREMOS!D:D=D407),0),0),-1)
      )
   ),
   IF(H407&lt;=MIN(INDEX(BAREMOS!F:X,MATCH(1,"&amp;"(BAREMOS!A:A=A407)*(BAREMOS!B:B=B407)*(BAREMOS!C:C=C407)*(BAREMOS!D:D=D407),0),0)),1,
      IF(H407&gt;=MAX(INDEX(BAREMOS!F:X,MATCH(1,(BAREMOS!A:A=A407)*(BAREMOS!B:B=B407)*(BAREMOS!C:C=C407)*(BAREMOS!D:D=D407),0),0)),19,
         MATCH(H407,INDEX(BAREMOS!F:X"&amp;",MATCH(1,(BAREMOS!A:A=A407)*(BAREMOS!B:B=B407)*(BAREMOS!C:C=C407)*(BAREMOS!D:D=D407),0),0),1)
      )
   )
)
,""""))
"),"")</f>
        <v/>
      </c>
      <c r="K407" s="34" t="str">
        <f t="shared" si="1"/>
        <v/>
      </c>
      <c r="L407" s="16"/>
      <c r="M407" s="16"/>
      <c r="N407" s="16"/>
      <c r="O407" s="16"/>
      <c r="P407" s="16"/>
      <c r="Q407" s="16"/>
      <c r="R407" s="16"/>
      <c r="S407" s="16"/>
      <c r="T407" s="16"/>
      <c r="U407" s="16"/>
      <c r="V407" s="16"/>
      <c r="W407" s="16"/>
      <c r="X407" s="16"/>
      <c r="Y407" s="16"/>
      <c r="Z407" s="16"/>
      <c r="AA407" s="16"/>
      <c r="AB407" s="16"/>
      <c r="AC407" s="16"/>
    </row>
    <row r="408">
      <c r="A408" s="22" t="str">
        <f t="array" ref="A408">IF(E408="","",IFERROR(INDEX(CONFIGURACION!C:C,MATCH(E408,CONFIGURACION!E:E,0)),""))
</f>
        <v/>
      </c>
      <c r="B408" s="22" t="str">
        <f t="array" ref="B408">IF(E408="","",IFERROR(INDEX(CONFIGURACION!D:D,MATCH(E408,CONFIGURACION!E:E,0)),""))
</f>
        <v/>
      </c>
      <c r="C408" s="31"/>
      <c r="D408" s="9"/>
      <c r="E408" s="6"/>
      <c r="F408" s="24"/>
      <c r="G408" s="9"/>
      <c r="H408" s="32"/>
      <c r="I408" s="33" t="str">
        <f>IFERROR(__xludf.DUMMYFUNCTION("IF(F408="""","""",LET(
  nombre, TRIM(F408),
  primer, REGEXEXTRACT(nombre, ""^\S+""),
  resto, TRIM(REGEXREPLACE(nombre, ""^\S+\s*"", """")),
  iniciales, IF(
    resto="""",
    """",
    TEXTJOIN("""",1,ARRAYFORMULA(LEFT(SPLIT(resto,"" ""),1) &amp; "".""))"&amp;"
  ),
  UPPER(primer) &amp; "" "" &amp; UPPER(iniciales)
))"),"")</f>
        <v/>
      </c>
      <c r="J408" s="33" t="str">
        <f>IFERROR(__xludf.DUMMYFUNCTION("IF(H408="""","""",IFERROR(
IF(REGEXMATCH(E408,""VELOCIDAD""),
   IF(H408&gt;=MAX(INDEX(BAREMOS!F:X,MATCH(1,(BAREMOS!A:A=A408)*(BAREMOS!B:B=B408)*(BAREMOS!C:C=C408)*(BAREMOS!D:D=D408),0),0)),1,
      IF(H408&lt;=MIN(INDEX(BAREMOS!F:X,MATCH(1,(BAREMOS!A:A=A408)*("&amp;"BAREMOS!B:B=B408)*(BAREMOS!C:C=C408)*(BAREMOS!D:D=D408),0),0)),19,
         MATCH(H408,INDEX(BAREMOS!F:X,MATCH(1,(BAREMOS!A:A=A408)*(BAREMOS!B:B=B408)*(BAREMOS!C:C=C408)*(BAREMOS!D:D=D408),0),0),-1)
      )
   ),
   IF(H408&lt;=MIN(INDEX(BAREMOS!F:X,MATCH(1,"&amp;"(BAREMOS!A:A=A408)*(BAREMOS!B:B=B408)*(BAREMOS!C:C=C408)*(BAREMOS!D:D=D408),0),0)),1,
      IF(H408&gt;=MAX(INDEX(BAREMOS!F:X,MATCH(1,(BAREMOS!A:A=A408)*(BAREMOS!B:B=B408)*(BAREMOS!C:C=C408)*(BAREMOS!D:D=D408),0),0)),19,
         MATCH(H408,INDEX(BAREMOS!F:X"&amp;",MATCH(1,(BAREMOS!A:A=A408)*(BAREMOS!B:B=B408)*(BAREMOS!C:C=C408)*(BAREMOS!D:D=D408),0),0),1)
      )
   )
)
,""""))
"),"")</f>
        <v/>
      </c>
      <c r="K408" s="34" t="str">
        <f t="shared" si="1"/>
        <v/>
      </c>
      <c r="L408" s="16"/>
      <c r="M408" s="16"/>
      <c r="N408" s="16"/>
      <c r="O408" s="16"/>
      <c r="P408" s="16"/>
      <c r="Q408" s="16"/>
      <c r="R408" s="16"/>
      <c r="S408" s="16"/>
      <c r="T408" s="16"/>
      <c r="U408" s="16"/>
      <c r="V408" s="16"/>
      <c r="W408" s="16"/>
      <c r="X408" s="16"/>
      <c r="Y408" s="16"/>
      <c r="Z408" s="16"/>
      <c r="AA408" s="16"/>
      <c r="AB408" s="16"/>
      <c r="AC408" s="16"/>
    </row>
    <row r="409">
      <c r="A409" s="22" t="str">
        <f t="array" ref="A409">IF(E409="","",IFERROR(INDEX(CONFIGURACION!C:C,MATCH(E409,CONFIGURACION!E:E,0)),""))
</f>
        <v/>
      </c>
      <c r="B409" s="22" t="str">
        <f t="array" ref="B409">IF(E409="","",IFERROR(INDEX(CONFIGURACION!D:D,MATCH(E409,CONFIGURACION!E:E,0)),""))
</f>
        <v/>
      </c>
      <c r="C409" s="31"/>
      <c r="D409" s="9"/>
      <c r="E409" s="6"/>
      <c r="F409" s="24"/>
      <c r="G409" s="9"/>
      <c r="H409" s="32"/>
      <c r="I409" s="33" t="str">
        <f>IFERROR(__xludf.DUMMYFUNCTION("IF(F409="""","""",LET(
  nombre, TRIM(F409),
  primer, REGEXEXTRACT(nombre, ""^\S+""),
  resto, TRIM(REGEXREPLACE(nombre, ""^\S+\s*"", """")),
  iniciales, IF(
    resto="""",
    """",
    TEXTJOIN("""",1,ARRAYFORMULA(LEFT(SPLIT(resto,"" ""),1) &amp; "".""))"&amp;"
  ),
  UPPER(primer) &amp; "" "" &amp; UPPER(iniciales)
))"),"")</f>
        <v/>
      </c>
      <c r="J409" s="33" t="str">
        <f>IFERROR(__xludf.DUMMYFUNCTION("IF(H409="""","""",IFERROR(
IF(REGEXMATCH(E409,""VELOCIDAD""),
   IF(H409&gt;=MAX(INDEX(BAREMOS!F:X,MATCH(1,(BAREMOS!A:A=A409)*(BAREMOS!B:B=B409)*(BAREMOS!C:C=C409)*(BAREMOS!D:D=D409),0),0)),1,
      IF(H409&lt;=MIN(INDEX(BAREMOS!F:X,MATCH(1,(BAREMOS!A:A=A409)*("&amp;"BAREMOS!B:B=B409)*(BAREMOS!C:C=C409)*(BAREMOS!D:D=D409),0),0)),19,
         MATCH(H409,INDEX(BAREMOS!F:X,MATCH(1,(BAREMOS!A:A=A409)*(BAREMOS!B:B=B409)*(BAREMOS!C:C=C409)*(BAREMOS!D:D=D409),0),0),-1)
      )
   ),
   IF(H409&lt;=MIN(INDEX(BAREMOS!F:X,MATCH(1,"&amp;"(BAREMOS!A:A=A409)*(BAREMOS!B:B=B409)*(BAREMOS!C:C=C409)*(BAREMOS!D:D=D409),0),0)),1,
      IF(H409&gt;=MAX(INDEX(BAREMOS!F:X,MATCH(1,(BAREMOS!A:A=A409)*(BAREMOS!B:B=B409)*(BAREMOS!C:C=C409)*(BAREMOS!D:D=D409),0),0)),19,
         MATCH(H409,INDEX(BAREMOS!F:X"&amp;",MATCH(1,(BAREMOS!A:A=A409)*(BAREMOS!B:B=B409)*(BAREMOS!C:C=C409)*(BAREMOS!D:D=D409),0),0),1)
      )
   )
)
,""""))
"),"")</f>
        <v/>
      </c>
      <c r="K409" s="34" t="str">
        <f t="shared" si="1"/>
        <v/>
      </c>
      <c r="L409" s="16"/>
      <c r="M409" s="16"/>
      <c r="N409" s="16"/>
      <c r="O409" s="16"/>
      <c r="P409" s="16"/>
      <c r="Q409" s="16"/>
      <c r="R409" s="16"/>
      <c r="S409" s="16"/>
      <c r="T409" s="16"/>
      <c r="U409" s="16"/>
      <c r="V409" s="16"/>
      <c r="W409" s="16"/>
      <c r="X409" s="16"/>
      <c r="Y409" s="16"/>
      <c r="Z409" s="16"/>
      <c r="AA409" s="16"/>
      <c r="AB409" s="16"/>
      <c r="AC409" s="16"/>
    </row>
    <row r="410">
      <c r="A410" s="22" t="str">
        <f t="array" ref="A410">IF(E410="","",IFERROR(INDEX(CONFIGURACION!C:C,MATCH(E410,CONFIGURACION!E:E,0)),""))
</f>
        <v/>
      </c>
      <c r="B410" s="22" t="str">
        <f t="array" ref="B410">IF(E410="","",IFERROR(INDEX(CONFIGURACION!D:D,MATCH(E410,CONFIGURACION!E:E,0)),""))
</f>
        <v/>
      </c>
      <c r="C410" s="31"/>
      <c r="D410" s="9"/>
      <c r="E410" s="6"/>
      <c r="F410" s="24"/>
      <c r="G410" s="9"/>
      <c r="H410" s="32"/>
      <c r="I410" s="33" t="str">
        <f>IFERROR(__xludf.DUMMYFUNCTION("IF(F410="""","""",LET(
  nombre, TRIM(F410),
  primer, REGEXEXTRACT(nombre, ""^\S+""),
  resto, TRIM(REGEXREPLACE(nombre, ""^\S+\s*"", """")),
  iniciales, IF(
    resto="""",
    """",
    TEXTJOIN("""",1,ARRAYFORMULA(LEFT(SPLIT(resto,"" ""),1) &amp; "".""))"&amp;"
  ),
  UPPER(primer) &amp; "" "" &amp; UPPER(iniciales)
))"),"")</f>
        <v/>
      </c>
      <c r="J410" s="33" t="str">
        <f>IFERROR(__xludf.DUMMYFUNCTION("IF(H410="""","""",IFERROR(
IF(REGEXMATCH(E410,""VELOCIDAD""),
   IF(H410&gt;=MAX(INDEX(BAREMOS!F:X,MATCH(1,(BAREMOS!A:A=A410)*(BAREMOS!B:B=B410)*(BAREMOS!C:C=C410)*(BAREMOS!D:D=D410),0),0)),1,
      IF(H410&lt;=MIN(INDEX(BAREMOS!F:X,MATCH(1,(BAREMOS!A:A=A410)*("&amp;"BAREMOS!B:B=B410)*(BAREMOS!C:C=C410)*(BAREMOS!D:D=D410),0),0)),19,
         MATCH(H410,INDEX(BAREMOS!F:X,MATCH(1,(BAREMOS!A:A=A410)*(BAREMOS!B:B=B410)*(BAREMOS!C:C=C410)*(BAREMOS!D:D=D410),0),0),-1)
      )
   ),
   IF(H410&lt;=MIN(INDEX(BAREMOS!F:X,MATCH(1,"&amp;"(BAREMOS!A:A=A410)*(BAREMOS!B:B=B410)*(BAREMOS!C:C=C410)*(BAREMOS!D:D=D410),0),0)),1,
      IF(H410&gt;=MAX(INDEX(BAREMOS!F:X,MATCH(1,(BAREMOS!A:A=A410)*(BAREMOS!B:B=B410)*(BAREMOS!C:C=C410)*(BAREMOS!D:D=D410),0),0)),19,
         MATCH(H410,INDEX(BAREMOS!F:X"&amp;",MATCH(1,(BAREMOS!A:A=A410)*(BAREMOS!B:B=B410)*(BAREMOS!C:C=C410)*(BAREMOS!D:D=D410),0),0),1)
      )
   )
)
,""""))
"),"")</f>
        <v/>
      </c>
      <c r="K410" s="34" t="str">
        <f t="shared" si="1"/>
        <v/>
      </c>
      <c r="L410" s="16"/>
      <c r="M410" s="16"/>
      <c r="N410" s="16"/>
      <c r="O410" s="16"/>
      <c r="P410" s="16"/>
      <c r="Q410" s="16"/>
      <c r="R410" s="16"/>
      <c r="S410" s="16"/>
      <c r="T410" s="16"/>
      <c r="U410" s="16"/>
      <c r="V410" s="16"/>
      <c r="W410" s="16"/>
      <c r="X410" s="16"/>
      <c r="Y410" s="16"/>
      <c r="Z410" s="16"/>
      <c r="AA410" s="16"/>
      <c r="AB410" s="16"/>
      <c r="AC410" s="16"/>
    </row>
    <row r="411">
      <c r="A411" s="22" t="str">
        <f t="array" ref="A411">IF(E411="","",IFERROR(INDEX(CONFIGURACION!C:C,MATCH(E411,CONFIGURACION!E:E,0)),""))
</f>
        <v/>
      </c>
      <c r="B411" s="22" t="str">
        <f t="array" ref="B411">IF(E411="","",IFERROR(INDEX(CONFIGURACION!D:D,MATCH(E411,CONFIGURACION!E:E,0)),""))
</f>
        <v/>
      </c>
      <c r="C411" s="31"/>
      <c r="D411" s="9"/>
      <c r="E411" s="6"/>
      <c r="F411" s="24"/>
      <c r="G411" s="9"/>
      <c r="H411" s="32"/>
      <c r="I411" s="33" t="str">
        <f>IFERROR(__xludf.DUMMYFUNCTION("IF(F411="""","""",LET(
  nombre, TRIM(F411),
  primer, REGEXEXTRACT(nombre, ""^\S+""),
  resto, TRIM(REGEXREPLACE(nombre, ""^\S+\s*"", """")),
  iniciales, IF(
    resto="""",
    """",
    TEXTJOIN("""",1,ARRAYFORMULA(LEFT(SPLIT(resto,"" ""),1) &amp; "".""))"&amp;"
  ),
  UPPER(primer) &amp; "" "" &amp; UPPER(iniciales)
))"),"")</f>
        <v/>
      </c>
      <c r="J411" s="33" t="str">
        <f>IFERROR(__xludf.DUMMYFUNCTION("IF(H411="""","""",IFERROR(
IF(REGEXMATCH(E411,""VELOCIDAD""),
   IF(H411&gt;=MAX(INDEX(BAREMOS!F:X,MATCH(1,(BAREMOS!A:A=A411)*(BAREMOS!B:B=B411)*(BAREMOS!C:C=C411)*(BAREMOS!D:D=D411),0),0)),1,
      IF(H411&lt;=MIN(INDEX(BAREMOS!F:X,MATCH(1,(BAREMOS!A:A=A411)*("&amp;"BAREMOS!B:B=B411)*(BAREMOS!C:C=C411)*(BAREMOS!D:D=D411),0),0)),19,
         MATCH(H411,INDEX(BAREMOS!F:X,MATCH(1,(BAREMOS!A:A=A411)*(BAREMOS!B:B=B411)*(BAREMOS!C:C=C411)*(BAREMOS!D:D=D411),0),0),-1)
      )
   ),
   IF(H411&lt;=MIN(INDEX(BAREMOS!F:X,MATCH(1,"&amp;"(BAREMOS!A:A=A411)*(BAREMOS!B:B=B411)*(BAREMOS!C:C=C411)*(BAREMOS!D:D=D411),0),0)),1,
      IF(H411&gt;=MAX(INDEX(BAREMOS!F:X,MATCH(1,(BAREMOS!A:A=A411)*(BAREMOS!B:B=B411)*(BAREMOS!C:C=C411)*(BAREMOS!D:D=D411),0),0)),19,
         MATCH(H411,INDEX(BAREMOS!F:X"&amp;",MATCH(1,(BAREMOS!A:A=A411)*(BAREMOS!B:B=B411)*(BAREMOS!C:C=C411)*(BAREMOS!D:D=D411),0),0),1)
      )
   )
)
,""""))
"),"")</f>
        <v/>
      </c>
      <c r="K411" s="34" t="str">
        <f t="shared" si="1"/>
        <v/>
      </c>
      <c r="L411" s="16"/>
      <c r="M411" s="16"/>
      <c r="N411" s="16"/>
      <c r="O411" s="16"/>
      <c r="P411" s="16"/>
      <c r="Q411" s="16"/>
      <c r="R411" s="16"/>
      <c r="S411" s="16"/>
      <c r="T411" s="16"/>
      <c r="U411" s="16"/>
      <c r="V411" s="16"/>
      <c r="W411" s="16"/>
      <c r="X411" s="16"/>
      <c r="Y411" s="16"/>
      <c r="Z411" s="16"/>
      <c r="AA411" s="16"/>
      <c r="AB411" s="16"/>
      <c r="AC411" s="16"/>
    </row>
    <row r="412">
      <c r="A412" s="22" t="str">
        <f t="array" ref="A412">IF(E412="","",IFERROR(INDEX(CONFIGURACION!C:C,MATCH(E412,CONFIGURACION!E:E,0)),""))
</f>
        <v/>
      </c>
      <c r="B412" s="22" t="str">
        <f t="array" ref="B412">IF(E412="","",IFERROR(INDEX(CONFIGURACION!D:D,MATCH(E412,CONFIGURACION!E:E,0)),""))
</f>
        <v/>
      </c>
      <c r="C412" s="31"/>
      <c r="D412" s="9"/>
      <c r="E412" s="6"/>
      <c r="F412" s="24"/>
      <c r="G412" s="9"/>
      <c r="H412" s="32"/>
      <c r="I412" s="33" t="str">
        <f>IFERROR(__xludf.DUMMYFUNCTION("IF(F412="""","""",LET(
  nombre, TRIM(F412),
  primer, REGEXEXTRACT(nombre, ""^\S+""),
  resto, TRIM(REGEXREPLACE(nombre, ""^\S+\s*"", """")),
  iniciales, IF(
    resto="""",
    """",
    TEXTJOIN("""",1,ARRAYFORMULA(LEFT(SPLIT(resto,"" ""),1) &amp; "".""))"&amp;"
  ),
  UPPER(primer) &amp; "" "" &amp; UPPER(iniciales)
))"),"")</f>
        <v/>
      </c>
      <c r="J412" s="33" t="str">
        <f>IFERROR(__xludf.DUMMYFUNCTION("IF(H412="""","""",IFERROR(
IF(REGEXMATCH(E412,""VELOCIDAD""),
   IF(H412&gt;=MAX(INDEX(BAREMOS!F:X,MATCH(1,(BAREMOS!A:A=A412)*(BAREMOS!B:B=B412)*(BAREMOS!C:C=C412)*(BAREMOS!D:D=D412),0),0)),1,
      IF(H412&lt;=MIN(INDEX(BAREMOS!F:X,MATCH(1,(BAREMOS!A:A=A412)*("&amp;"BAREMOS!B:B=B412)*(BAREMOS!C:C=C412)*(BAREMOS!D:D=D412),0),0)),19,
         MATCH(H412,INDEX(BAREMOS!F:X,MATCH(1,(BAREMOS!A:A=A412)*(BAREMOS!B:B=B412)*(BAREMOS!C:C=C412)*(BAREMOS!D:D=D412),0),0),-1)
      )
   ),
   IF(H412&lt;=MIN(INDEX(BAREMOS!F:X,MATCH(1,"&amp;"(BAREMOS!A:A=A412)*(BAREMOS!B:B=B412)*(BAREMOS!C:C=C412)*(BAREMOS!D:D=D412),0),0)),1,
      IF(H412&gt;=MAX(INDEX(BAREMOS!F:X,MATCH(1,(BAREMOS!A:A=A412)*(BAREMOS!B:B=B412)*(BAREMOS!C:C=C412)*(BAREMOS!D:D=D412),0),0)),19,
         MATCH(H412,INDEX(BAREMOS!F:X"&amp;",MATCH(1,(BAREMOS!A:A=A412)*(BAREMOS!B:B=B412)*(BAREMOS!C:C=C412)*(BAREMOS!D:D=D412),0),0),1)
      )
   )
)
,""""))
"),"")</f>
        <v/>
      </c>
      <c r="K412" s="34" t="str">
        <f t="shared" si="1"/>
        <v/>
      </c>
      <c r="L412" s="16"/>
      <c r="M412" s="16"/>
      <c r="N412" s="16"/>
      <c r="O412" s="16"/>
      <c r="P412" s="16"/>
      <c r="Q412" s="16"/>
      <c r="R412" s="16"/>
      <c r="S412" s="16"/>
      <c r="T412" s="16"/>
      <c r="U412" s="16"/>
      <c r="V412" s="16"/>
      <c r="W412" s="16"/>
      <c r="X412" s="16"/>
      <c r="Y412" s="16"/>
      <c r="Z412" s="16"/>
      <c r="AA412" s="16"/>
      <c r="AB412" s="16"/>
      <c r="AC412" s="16"/>
    </row>
    <row r="413">
      <c r="A413" s="22" t="str">
        <f t="array" ref="A413">IF(E413="","",IFERROR(INDEX(CONFIGURACION!C:C,MATCH(E413,CONFIGURACION!E:E,0)),""))
</f>
        <v/>
      </c>
      <c r="B413" s="22" t="str">
        <f t="array" ref="B413">IF(E413="","",IFERROR(INDEX(CONFIGURACION!D:D,MATCH(E413,CONFIGURACION!E:E,0)),""))
</f>
        <v/>
      </c>
      <c r="C413" s="31"/>
      <c r="D413" s="9"/>
      <c r="E413" s="6"/>
      <c r="F413" s="24"/>
      <c r="G413" s="9"/>
      <c r="H413" s="32"/>
      <c r="I413" s="33" t="str">
        <f>IFERROR(__xludf.DUMMYFUNCTION("IF(F413="""","""",LET(
  nombre, TRIM(F413),
  primer, REGEXEXTRACT(nombre, ""^\S+""),
  resto, TRIM(REGEXREPLACE(nombre, ""^\S+\s*"", """")),
  iniciales, IF(
    resto="""",
    """",
    TEXTJOIN("""",1,ARRAYFORMULA(LEFT(SPLIT(resto,"" ""),1) &amp; "".""))"&amp;"
  ),
  UPPER(primer) &amp; "" "" &amp; UPPER(iniciales)
))"),"")</f>
        <v/>
      </c>
      <c r="J413" s="33" t="str">
        <f>IFERROR(__xludf.DUMMYFUNCTION("IF(H413="""","""",IFERROR(
IF(REGEXMATCH(E413,""VELOCIDAD""),
   IF(H413&gt;=MAX(INDEX(BAREMOS!F:X,MATCH(1,(BAREMOS!A:A=A413)*(BAREMOS!B:B=B413)*(BAREMOS!C:C=C413)*(BAREMOS!D:D=D413),0),0)),1,
      IF(H413&lt;=MIN(INDEX(BAREMOS!F:X,MATCH(1,(BAREMOS!A:A=A413)*("&amp;"BAREMOS!B:B=B413)*(BAREMOS!C:C=C413)*(BAREMOS!D:D=D413),0),0)),19,
         MATCH(H413,INDEX(BAREMOS!F:X,MATCH(1,(BAREMOS!A:A=A413)*(BAREMOS!B:B=B413)*(BAREMOS!C:C=C413)*(BAREMOS!D:D=D413),0),0),-1)
      )
   ),
   IF(H413&lt;=MIN(INDEX(BAREMOS!F:X,MATCH(1,"&amp;"(BAREMOS!A:A=A413)*(BAREMOS!B:B=B413)*(BAREMOS!C:C=C413)*(BAREMOS!D:D=D413),0),0)),1,
      IF(H413&gt;=MAX(INDEX(BAREMOS!F:X,MATCH(1,(BAREMOS!A:A=A413)*(BAREMOS!B:B=B413)*(BAREMOS!C:C=C413)*(BAREMOS!D:D=D413),0),0)),19,
         MATCH(H413,INDEX(BAREMOS!F:X"&amp;",MATCH(1,(BAREMOS!A:A=A413)*(BAREMOS!B:B=B413)*(BAREMOS!C:C=C413)*(BAREMOS!D:D=D413),0),0),1)
      )
   )
)
,""""))
"),"")</f>
        <v/>
      </c>
      <c r="K413" s="34" t="str">
        <f t="shared" si="1"/>
        <v/>
      </c>
      <c r="L413" s="16"/>
      <c r="M413" s="16"/>
      <c r="N413" s="16"/>
      <c r="O413" s="16"/>
      <c r="P413" s="16"/>
      <c r="Q413" s="16"/>
      <c r="R413" s="16"/>
      <c r="S413" s="16"/>
      <c r="T413" s="16"/>
      <c r="U413" s="16"/>
      <c r="V413" s="16"/>
      <c r="W413" s="16"/>
      <c r="X413" s="16"/>
      <c r="Y413" s="16"/>
      <c r="Z413" s="16"/>
      <c r="AA413" s="16"/>
      <c r="AB413" s="16"/>
      <c r="AC413" s="16"/>
    </row>
    <row r="414">
      <c r="A414" s="22" t="str">
        <f t="array" ref="A414">IF(E414="","",IFERROR(INDEX(CONFIGURACION!C:C,MATCH(E414,CONFIGURACION!E:E,0)),""))
</f>
        <v/>
      </c>
      <c r="B414" s="22" t="str">
        <f t="array" ref="B414">IF(E414="","",IFERROR(INDEX(CONFIGURACION!D:D,MATCH(E414,CONFIGURACION!E:E,0)),""))
</f>
        <v/>
      </c>
      <c r="C414" s="31"/>
      <c r="D414" s="9"/>
      <c r="E414" s="6"/>
      <c r="F414" s="24"/>
      <c r="G414" s="9"/>
      <c r="H414" s="32"/>
      <c r="I414" s="33" t="str">
        <f>IFERROR(__xludf.DUMMYFUNCTION("IF(F414="""","""",LET(
  nombre, TRIM(F414),
  primer, REGEXEXTRACT(nombre, ""^\S+""),
  resto, TRIM(REGEXREPLACE(nombre, ""^\S+\s*"", """")),
  iniciales, IF(
    resto="""",
    """",
    TEXTJOIN("""",1,ARRAYFORMULA(LEFT(SPLIT(resto,"" ""),1) &amp; "".""))"&amp;"
  ),
  UPPER(primer) &amp; "" "" &amp; UPPER(iniciales)
))"),"")</f>
        <v/>
      </c>
      <c r="J414" s="33" t="str">
        <f>IFERROR(__xludf.DUMMYFUNCTION("IF(H414="""","""",IFERROR(
IF(REGEXMATCH(E414,""VELOCIDAD""),
   IF(H414&gt;=MAX(INDEX(BAREMOS!F:X,MATCH(1,(BAREMOS!A:A=A414)*(BAREMOS!B:B=B414)*(BAREMOS!C:C=C414)*(BAREMOS!D:D=D414),0),0)),1,
      IF(H414&lt;=MIN(INDEX(BAREMOS!F:X,MATCH(1,(BAREMOS!A:A=A414)*("&amp;"BAREMOS!B:B=B414)*(BAREMOS!C:C=C414)*(BAREMOS!D:D=D414),0),0)),19,
         MATCH(H414,INDEX(BAREMOS!F:X,MATCH(1,(BAREMOS!A:A=A414)*(BAREMOS!B:B=B414)*(BAREMOS!C:C=C414)*(BAREMOS!D:D=D414),0),0),-1)
      )
   ),
   IF(H414&lt;=MIN(INDEX(BAREMOS!F:X,MATCH(1,"&amp;"(BAREMOS!A:A=A414)*(BAREMOS!B:B=B414)*(BAREMOS!C:C=C414)*(BAREMOS!D:D=D414),0),0)),1,
      IF(H414&gt;=MAX(INDEX(BAREMOS!F:X,MATCH(1,(BAREMOS!A:A=A414)*(BAREMOS!B:B=B414)*(BAREMOS!C:C=C414)*(BAREMOS!D:D=D414),0),0)),19,
         MATCH(H414,INDEX(BAREMOS!F:X"&amp;",MATCH(1,(BAREMOS!A:A=A414)*(BAREMOS!B:B=B414)*(BAREMOS!C:C=C414)*(BAREMOS!D:D=D414),0),0),1)
      )
   )
)
,""""))
"),"")</f>
        <v/>
      </c>
      <c r="K414" s="34" t="str">
        <f t="shared" si="1"/>
        <v/>
      </c>
      <c r="L414" s="16"/>
      <c r="M414" s="16"/>
      <c r="N414" s="16"/>
      <c r="O414" s="16"/>
      <c r="P414" s="16"/>
      <c r="Q414" s="16"/>
      <c r="R414" s="16"/>
      <c r="S414" s="16"/>
      <c r="T414" s="16"/>
      <c r="U414" s="16"/>
      <c r="V414" s="16"/>
      <c r="W414" s="16"/>
      <c r="X414" s="16"/>
      <c r="Y414" s="16"/>
      <c r="Z414" s="16"/>
      <c r="AA414" s="16"/>
      <c r="AB414" s="16"/>
      <c r="AC414" s="16"/>
    </row>
    <row r="415">
      <c r="A415" s="22" t="str">
        <f t="array" ref="A415">IF(E415="","",IFERROR(INDEX(CONFIGURACION!C:C,MATCH(E415,CONFIGURACION!E:E,0)),""))
</f>
        <v/>
      </c>
      <c r="B415" s="22" t="str">
        <f t="array" ref="B415">IF(E415="","",IFERROR(INDEX(CONFIGURACION!D:D,MATCH(E415,CONFIGURACION!E:E,0)),""))
</f>
        <v/>
      </c>
      <c r="C415" s="31"/>
      <c r="D415" s="9"/>
      <c r="E415" s="6"/>
      <c r="F415" s="24"/>
      <c r="G415" s="9"/>
      <c r="H415" s="32"/>
      <c r="I415" s="33" t="str">
        <f>IFERROR(__xludf.DUMMYFUNCTION("IF(F415="""","""",LET(
  nombre, TRIM(F415),
  primer, REGEXEXTRACT(nombre, ""^\S+""),
  resto, TRIM(REGEXREPLACE(nombre, ""^\S+\s*"", """")),
  iniciales, IF(
    resto="""",
    """",
    TEXTJOIN("""",1,ARRAYFORMULA(LEFT(SPLIT(resto,"" ""),1) &amp; "".""))"&amp;"
  ),
  UPPER(primer) &amp; "" "" &amp; UPPER(iniciales)
))"),"")</f>
        <v/>
      </c>
      <c r="J415" s="33" t="str">
        <f>IFERROR(__xludf.DUMMYFUNCTION("IF(H415="""","""",IFERROR(
IF(REGEXMATCH(E415,""VELOCIDAD""),
   IF(H415&gt;=MAX(INDEX(BAREMOS!F:X,MATCH(1,(BAREMOS!A:A=A415)*(BAREMOS!B:B=B415)*(BAREMOS!C:C=C415)*(BAREMOS!D:D=D415),0),0)),1,
      IF(H415&lt;=MIN(INDEX(BAREMOS!F:X,MATCH(1,(BAREMOS!A:A=A415)*("&amp;"BAREMOS!B:B=B415)*(BAREMOS!C:C=C415)*(BAREMOS!D:D=D415),0),0)),19,
         MATCH(H415,INDEX(BAREMOS!F:X,MATCH(1,(BAREMOS!A:A=A415)*(BAREMOS!B:B=B415)*(BAREMOS!C:C=C415)*(BAREMOS!D:D=D415),0),0),-1)
      )
   ),
   IF(H415&lt;=MIN(INDEX(BAREMOS!F:X,MATCH(1,"&amp;"(BAREMOS!A:A=A415)*(BAREMOS!B:B=B415)*(BAREMOS!C:C=C415)*(BAREMOS!D:D=D415),0),0)),1,
      IF(H415&gt;=MAX(INDEX(BAREMOS!F:X,MATCH(1,(BAREMOS!A:A=A415)*(BAREMOS!B:B=B415)*(BAREMOS!C:C=C415)*(BAREMOS!D:D=D415),0),0)),19,
         MATCH(H415,INDEX(BAREMOS!F:X"&amp;",MATCH(1,(BAREMOS!A:A=A415)*(BAREMOS!B:B=B415)*(BAREMOS!C:C=C415)*(BAREMOS!D:D=D415),0),0),1)
      )
   )
)
,""""))
"),"")</f>
        <v/>
      </c>
      <c r="K415" s="34" t="str">
        <f t="shared" si="1"/>
        <v/>
      </c>
      <c r="L415" s="16"/>
      <c r="M415" s="16"/>
      <c r="N415" s="16"/>
      <c r="O415" s="16"/>
      <c r="P415" s="16"/>
      <c r="Q415" s="16"/>
      <c r="R415" s="16"/>
      <c r="S415" s="16"/>
      <c r="T415" s="16"/>
      <c r="U415" s="16"/>
      <c r="V415" s="16"/>
      <c r="W415" s="16"/>
      <c r="X415" s="16"/>
      <c r="Y415" s="16"/>
      <c r="Z415" s="16"/>
      <c r="AA415" s="16"/>
      <c r="AB415" s="16"/>
      <c r="AC415" s="16"/>
    </row>
    <row r="416">
      <c r="A416" s="22" t="str">
        <f t="array" ref="A416">IF(E416="","",IFERROR(INDEX(CONFIGURACION!C:C,MATCH(E416,CONFIGURACION!E:E,0)),""))
</f>
        <v/>
      </c>
      <c r="B416" s="22" t="str">
        <f t="array" ref="B416">IF(E416="","",IFERROR(INDEX(CONFIGURACION!D:D,MATCH(E416,CONFIGURACION!E:E,0)),""))
</f>
        <v/>
      </c>
      <c r="C416" s="31"/>
      <c r="D416" s="9"/>
      <c r="E416" s="6"/>
      <c r="F416" s="24"/>
      <c r="G416" s="9"/>
      <c r="H416" s="32"/>
      <c r="I416" s="33" t="str">
        <f>IFERROR(__xludf.DUMMYFUNCTION("IF(F416="""","""",LET(
  nombre, TRIM(F416),
  primer, REGEXEXTRACT(nombre, ""^\S+""),
  resto, TRIM(REGEXREPLACE(nombre, ""^\S+\s*"", """")),
  iniciales, IF(
    resto="""",
    """",
    TEXTJOIN("""",1,ARRAYFORMULA(LEFT(SPLIT(resto,"" ""),1) &amp; "".""))"&amp;"
  ),
  UPPER(primer) &amp; "" "" &amp; UPPER(iniciales)
))"),"")</f>
        <v/>
      </c>
      <c r="J416" s="33" t="str">
        <f>IFERROR(__xludf.DUMMYFUNCTION("IF(H416="""","""",IFERROR(
IF(REGEXMATCH(E416,""VELOCIDAD""),
   IF(H416&gt;=MAX(INDEX(BAREMOS!F:X,MATCH(1,(BAREMOS!A:A=A416)*(BAREMOS!B:B=B416)*(BAREMOS!C:C=C416)*(BAREMOS!D:D=D416),0),0)),1,
      IF(H416&lt;=MIN(INDEX(BAREMOS!F:X,MATCH(1,(BAREMOS!A:A=A416)*("&amp;"BAREMOS!B:B=B416)*(BAREMOS!C:C=C416)*(BAREMOS!D:D=D416),0),0)),19,
         MATCH(H416,INDEX(BAREMOS!F:X,MATCH(1,(BAREMOS!A:A=A416)*(BAREMOS!B:B=B416)*(BAREMOS!C:C=C416)*(BAREMOS!D:D=D416),0),0),-1)
      )
   ),
   IF(H416&lt;=MIN(INDEX(BAREMOS!F:X,MATCH(1,"&amp;"(BAREMOS!A:A=A416)*(BAREMOS!B:B=B416)*(BAREMOS!C:C=C416)*(BAREMOS!D:D=D416),0),0)),1,
      IF(H416&gt;=MAX(INDEX(BAREMOS!F:X,MATCH(1,(BAREMOS!A:A=A416)*(BAREMOS!B:B=B416)*(BAREMOS!C:C=C416)*(BAREMOS!D:D=D416),0),0)),19,
         MATCH(H416,INDEX(BAREMOS!F:X"&amp;",MATCH(1,(BAREMOS!A:A=A416)*(BAREMOS!B:B=B416)*(BAREMOS!C:C=C416)*(BAREMOS!D:D=D416),0),0),1)
      )
   )
)
,""""))
"),"")</f>
        <v/>
      </c>
      <c r="K416" s="34" t="str">
        <f t="shared" si="1"/>
        <v/>
      </c>
      <c r="L416" s="16"/>
      <c r="M416" s="16"/>
      <c r="N416" s="16"/>
      <c r="O416" s="16"/>
      <c r="P416" s="16"/>
      <c r="Q416" s="16"/>
      <c r="R416" s="16"/>
      <c r="S416" s="16"/>
      <c r="T416" s="16"/>
      <c r="U416" s="16"/>
      <c r="V416" s="16"/>
      <c r="W416" s="16"/>
      <c r="X416" s="16"/>
      <c r="Y416" s="16"/>
      <c r="Z416" s="16"/>
      <c r="AA416" s="16"/>
      <c r="AB416" s="16"/>
      <c r="AC416" s="16"/>
    </row>
    <row r="417">
      <c r="A417" s="22" t="str">
        <f t="array" ref="A417">IF(E417="","",IFERROR(INDEX(CONFIGURACION!C:C,MATCH(E417,CONFIGURACION!E:E,0)),""))
</f>
        <v/>
      </c>
      <c r="B417" s="22" t="str">
        <f t="array" ref="B417">IF(E417="","",IFERROR(INDEX(CONFIGURACION!D:D,MATCH(E417,CONFIGURACION!E:E,0)),""))
</f>
        <v/>
      </c>
      <c r="C417" s="31"/>
      <c r="D417" s="9"/>
      <c r="E417" s="6"/>
      <c r="F417" s="24"/>
      <c r="G417" s="9"/>
      <c r="H417" s="32"/>
      <c r="I417" s="33" t="str">
        <f>IFERROR(__xludf.DUMMYFUNCTION("IF(F417="""","""",LET(
  nombre, TRIM(F417),
  primer, REGEXEXTRACT(nombre, ""^\S+""),
  resto, TRIM(REGEXREPLACE(nombre, ""^\S+\s*"", """")),
  iniciales, IF(
    resto="""",
    """",
    TEXTJOIN("""",1,ARRAYFORMULA(LEFT(SPLIT(resto,"" ""),1) &amp; "".""))"&amp;"
  ),
  UPPER(primer) &amp; "" "" &amp; UPPER(iniciales)
))"),"")</f>
        <v/>
      </c>
      <c r="J417" s="33" t="str">
        <f>IFERROR(__xludf.DUMMYFUNCTION("IF(H417="""","""",IFERROR(
IF(REGEXMATCH(E417,""VELOCIDAD""),
   IF(H417&gt;=MAX(INDEX(BAREMOS!F:X,MATCH(1,(BAREMOS!A:A=A417)*(BAREMOS!B:B=B417)*(BAREMOS!C:C=C417)*(BAREMOS!D:D=D417),0),0)),1,
      IF(H417&lt;=MIN(INDEX(BAREMOS!F:X,MATCH(1,(BAREMOS!A:A=A417)*("&amp;"BAREMOS!B:B=B417)*(BAREMOS!C:C=C417)*(BAREMOS!D:D=D417),0),0)),19,
         MATCH(H417,INDEX(BAREMOS!F:X,MATCH(1,(BAREMOS!A:A=A417)*(BAREMOS!B:B=B417)*(BAREMOS!C:C=C417)*(BAREMOS!D:D=D417),0),0),-1)
      )
   ),
   IF(H417&lt;=MIN(INDEX(BAREMOS!F:X,MATCH(1,"&amp;"(BAREMOS!A:A=A417)*(BAREMOS!B:B=B417)*(BAREMOS!C:C=C417)*(BAREMOS!D:D=D417),0),0)),1,
      IF(H417&gt;=MAX(INDEX(BAREMOS!F:X,MATCH(1,(BAREMOS!A:A=A417)*(BAREMOS!B:B=B417)*(BAREMOS!C:C=C417)*(BAREMOS!D:D=D417),0),0)),19,
         MATCH(H417,INDEX(BAREMOS!F:X"&amp;",MATCH(1,(BAREMOS!A:A=A417)*(BAREMOS!B:B=B417)*(BAREMOS!C:C=C417)*(BAREMOS!D:D=D417),0),0),1)
      )
   )
)
,""""))
"),"")</f>
        <v/>
      </c>
      <c r="K417" s="34" t="str">
        <f t="shared" si="1"/>
        <v/>
      </c>
      <c r="L417" s="16"/>
      <c r="M417" s="16"/>
      <c r="N417" s="16"/>
      <c r="O417" s="16"/>
      <c r="P417" s="16"/>
      <c r="Q417" s="16"/>
      <c r="R417" s="16"/>
      <c r="S417" s="16"/>
      <c r="T417" s="16"/>
      <c r="U417" s="16"/>
      <c r="V417" s="16"/>
      <c r="W417" s="16"/>
      <c r="X417" s="16"/>
      <c r="Y417" s="16"/>
      <c r="Z417" s="16"/>
      <c r="AA417" s="16"/>
      <c r="AB417" s="16"/>
      <c r="AC417" s="16"/>
    </row>
    <row r="418">
      <c r="A418" s="22" t="str">
        <f t="array" ref="A418">IF(E418="","",IFERROR(INDEX(CONFIGURACION!C:C,MATCH(E418,CONFIGURACION!E:E,0)),""))
</f>
        <v/>
      </c>
      <c r="B418" s="22" t="str">
        <f t="array" ref="B418">IF(E418="","",IFERROR(INDEX(CONFIGURACION!D:D,MATCH(E418,CONFIGURACION!E:E,0)),""))
</f>
        <v/>
      </c>
      <c r="C418" s="31"/>
      <c r="D418" s="9"/>
      <c r="E418" s="6"/>
      <c r="F418" s="24"/>
      <c r="G418" s="9"/>
      <c r="H418" s="32"/>
      <c r="I418" s="33" t="str">
        <f>IFERROR(__xludf.DUMMYFUNCTION("IF(F418="""","""",LET(
  nombre, TRIM(F418),
  primer, REGEXEXTRACT(nombre, ""^\S+""),
  resto, TRIM(REGEXREPLACE(nombre, ""^\S+\s*"", """")),
  iniciales, IF(
    resto="""",
    """",
    TEXTJOIN("""",1,ARRAYFORMULA(LEFT(SPLIT(resto,"" ""),1) &amp; "".""))"&amp;"
  ),
  UPPER(primer) &amp; "" "" &amp; UPPER(iniciales)
))"),"")</f>
        <v/>
      </c>
      <c r="J418" s="33" t="str">
        <f>IFERROR(__xludf.DUMMYFUNCTION("IF(H418="""","""",IFERROR(
IF(REGEXMATCH(E418,""VELOCIDAD""),
   IF(H418&gt;=MAX(INDEX(BAREMOS!F:X,MATCH(1,(BAREMOS!A:A=A418)*(BAREMOS!B:B=B418)*(BAREMOS!C:C=C418)*(BAREMOS!D:D=D418),0),0)),1,
      IF(H418&lt;=MIN(INDEX(BAREMOS!F:X,MATCH(1,(BAREMOS!A:A=A418)*("&amp;"BAREMOS!B:B=B418)*(BAREMOS!C:C=C418)*(BAREMOS!D:D=D418),0),0)),19,
         MATCH(H418,INDEX(BAREMOS!F:X,MATCH(1,(BAREMOS!A:A=A418)*(BAREMOS!B:B=B418)*(BAREMOS!C:C=C418)*(BAREMOS!D:D=D418),0),0),-1)
      )
   ),
   IF(H418&lt;=MIN(INDEX(BAREMOS!F:X,MATCH(1,"&amp;"(BAREMOS!A:A=A418)*(BAREMOS!B:B=B418)*(BAREMOS!C:C=C418)*(BAREMOS!D:D=D418),0),0)),1,
      IF(H418&gt;=MAX(INDEX(BAREMOS!F:X,MATCH(1,(BAREMOS!A:A=A418)*(BAREMOS!B:B=B418)*(BAREMOS!C:C=C418)*(BAREMOS!D:D=D418),0),0)),19,
         MATCH(H418,INDEX(BAREMOS!F:X"&amp;",MATCH(1,(BAREMOS!A:A=A418)*(BAREMOS!B:B=B418)*(BAREMOS!C:C=C418)*(BAREMOS!D:D=D418),0),0),1)
      )
   )
)
,""""))
"),"")</f>
        <v/>
      </c>
      <c r="K418" s="34" t="str">
        <f t="shared" si="1"/>
        <v/>
      </c>
      <c r="L418" s="16"/>
      <c r="M418" s="16"/>
      <c r="N418" s="16"/>
      <c r="O418" s="16"/>
      <c r="P418" s="16"/>
      <c r="Q418" s="16"/>
      <c r="R418" s="16"/>
      <c r="S418" s="16"/>
      <c r="T418" s="16"/>
      <c r="U418" s="16"/>
      <c r="V418" s="16"/>
      <c r="W418" s="16"/>
      <c r="X418" s="16"/>
      <c r="Y418" s="16"/>
      <c r="Z418" s="16"/>
      <c r="AA418" s="16"/>
      <c r="AB418" s="16"/>
      <c r="AC418" s="16"/>
    </row>
    <row r="419">
      <c r="A419" s="22" t="str">
        <f t="array" ref="A419">IF(E419="","",IFERROR(INDEX(CONFIGURACION!C:C,MATCH(E419,CONFIGURACION!E:E,0)),""))
</f>
        <v/>
      </c>
      <c r="B419" s="22" t="str">
        <f t="array" ref="B419">IF(E419="","",IFERROR(INDEX(CONFIGURACION!D:D,MATCH(E419,CONFIGURACION!E:E,0)),""))
</f>
        <v/>
      </c>
      <c r="C419" s="31"/>
      <c r="D419" s="9"/>
      <c r="E419" s="6"/>
      <c r="F419" s="24"/>
      <c r="G419" s="9"/>
      <c r="H419" s="32"/>
      <c r="I419" s="33" t="str">
        <f>IFERROR(__xludf.DUMMYFUNCTION("IF(F419="""","""",LET(
  nombre, TRIM(F419),
  primer, REGEXEXTRACT(nombre, ""^\S+""),
  resto, TRIM(REGEXREPLACE(nombre, ""^\S+\s*"", """")),
  iniciales, IF(
    resto="""",
    """",
    TEXTJOIN("""",1,ARRAYFORMULA(LEFT(SPLIT(resto,"" ""),1) &amp; "".""))"&amp;"
  ),
  UPPER(primer) &amp; "" "" &amp; UPPER(iniciales)
))"),"")</f>
        <v/>
      </c>
      <c r="J419" s="33" t="str">
        <f>IFERROR(__xludf.DUMMYFUNCTION("IF(H419="""","""",IFERROR(
IF(REGEXMATCH(E419,""VELOCIDAD""),
   IF(H419&gt;=MAX(INDEX(BAREMOS!F:X,MATCH(1,(BAREMOS!A:A=A419)*(BAREMOS!B:B=B419)*(BAREMOS!C:C=C419)*(BAREMOS!D:D=D419),0),0)),1,
      IF(H419&lt;=MIN(INDEX(BAREMOS!F:X,MATCH(1,(BAREMOS!A:A=A419)*("&amp;"BAREMOS!B:B=B419)*(BAREMOS!C:C=C419)*(BAREMOS!D:D=D419),0),0)),19,
         MATCH(H419,INDEX(BAREMOS!F:X,MATCH(1,(BAREMOS!A:A=A419)*(BAREMOS!B:B=B419)*(BAREMOS!C:C=C419)*(BAREMOS!D:D=D419),0),0),-1)
      )
   ),
   IF(H419&lt;=MIN(INDEX(BAREMOS!F:X,MATCH(1,"&amp;"(BAREMOS!A:A=A419)*(BAREMOS!B:B=B419)*(BAREMOS!C:C=C419)*(BAREMOS!D:D=D419),0),0)),1,
      IF(H419&gt;=MAX(INDEX(BAREMOS!F:X,MATCH(1,(BAREMOS!A:A=A419)*(BAREMOS!B:B=B419)*(BAREMOS!C:C=C419)*(BAREMOS!D:D=D419),0),0)),19,
         MATCH(H419,INDEX(BAREMOS!F:X"&amp;",MATCH(1,(BAREMOS!A:A=A419)*(BAREMOS!B:B=B419)*(BAREMOS!C:C=C419)*(BAREMOS!D:D=D419),0),0),1)
      )
   )
)
,""""))
"),"")</f>
        <v/>
      </c>
      <c r="K419" s="34" t="str">
        <f t="shared" si="1"/>
        <v/>
      </c>
      <c r="L419" s="16"/>
      <c r="M419" s="16"/>
      <c r="N419" s="16"/>
      <c r="O419" s="16"/>
      <c r="P419" s="16"/>
      <c r="Q419" s="16"/>
      <c r="R419" s="16"/>
      <c r="S419" s="16"/>
      <c r="T419" s="16"/>
      <c r="U419" s="16"/>
      <c r="V419" s="16"/>
      <c r="W419" s="16"/>
      <c r="X419" s="16"/>
      <c r="Y419" s="16"/>
      <c r="Z419" s="16"/>
      <c r="AA419" s="16"/>
      <c r="AB419" s="16"/>
      <c r="AC419" s="16"/>
    </row>
    <row r="420">
      <c r="A420" s="22" t="str">
        <f t="array" ref="A420">IF(E420="","",IFERROR(INDEX(CONFIGURACION!C:C,MATCH(E420,CONFIGURACION!E:E,0)),""))
</f>
        <v/>
      </c>
      <c r="B420" s="22" t="str">
        <f t="array" ref="B420">IF(E420="","",IFERROR(INDEX(CONFIGURACION!D:D,MATCH(E420,CONFIGURACION!E:E,0)),""))
</f>
        <v/>
      </c>
      <c r="C420" s="31"/>
      <c r="D420" s="9"/>
      <c r="E420" s="6"/>
      <c r="F420" s="24"/>
      <c r="G420" s="9"/>
      <c r="H420" s="32"/>
      <c r="I420" s="33" t="str">
        <f>IFERROR(__xludf.DUMMYFUNCTION("IF(F420="""","""",LET(
  nombre, TRIM(F420),
  primer, REGEXEXTRACT(nombre, ""^\S+""),
  resto, TRIM(REGEXREPLACE(nombre, ""^\S+\s*"", """")),
  iniciales, IF(
    resto="""",
    """",
    TEXTJOIN("""",1,ARRAYFORMULA(LEFT(SPLIT(resto,"" ""),1) &amp; "".""))"&amp;"
  ),
  UPPER(primer) &amp; "" "" &amp; UPPER(iniciales)
))"),"")</f>
        <v/>
      </c>
      <c r="J420" s="33" t="str">
        <f>IFERROR(__xludf.DUMMYFUNCTION("IF(H420="""","""",IFERROR(
IF(REGEXMATCH(E420,""VELOCIDAD""),
   IF(H420&gt;=MAX(INDEX(BAREMOS!F:X,MATCH(1,(BAREMOS!A:A=A420)*(BAREMOS!B:B=B420)*(BAREMOS!C:C=C420)*(BAREMOS!D:D=D420),0),0)),1,
      IF(H420&lt;=MIN(INDEX(BAREMOS!F:X,MATCH(1,(BAREMOS!A:A=A420)*("&amp;"BAREMOS!B:B=B420)*(BAREMOS!C:C=C420)*(BAREMOS!D:D=D420),0),0)),19,
         MATCH(H420,INDEX(BAREMOS!F:X,MATCH(1,(BAREMOS!A:A=A420)*(BAREMOS!B:B=B420)*(BAREMOS!C:C=C420)*(BAREMOS!D:D=D420),0),0),-1)
      )
   ),
   IF(H420&lt;=MIN(INDEX(BAREMOS!F:X,MATCH(1,"&amp;"(BAREMOS!A:A=A420)*(BAREMOS!B:B=B420)*(BAREMOS!C:C=C420)*(BAREMOS!D:D=D420),0),0)),1,
      IF(H420&gt;=MAX(INDEX(BAREMOS!F:X,MATCH(1,(BAREMOS!A:A=A420)*(BAREMOS!B:B=B420)*(BAREMOS!C:C=C420)*(BAREMOS!D:D=D420),0),0)),19,
         MATCH(H420,INDEX(BAREMOS!F:X"&amp;",MATCH(1,(BAREMOS!A:A=A420)*(BAREMOS!B:B=B420)*(BAREMOS!C:C=C420)*(BAREMOS!D:D=D420),0),0),1)
      )
   )
)
,""""))
"),"")</f>
        <v/>
      </c>
      <c r="K420" s="34" t="str">
        <f t="shared" si="1"/>
        <v/>
      </c>
      <c r="L420" s="16"/>
      <c r="M420" s="16"/>
      <c r="N420" s="16"/>
      <c r="O420" s="16"/>
      <c r="P420" s="16"/>
      <c r="Q420" s="16"/>
      <c r="R420" s="16"/>
      <c r="S420" s="16"/>
      <c r="T420" s="16"/>
      <c r="U420" s="16"/>
      <c r="V420" s="16"/>
      <c r="W420" s="16"/>
      <c r="X420" s="16"/>
      <c r="Y420" s="16"/>
      <c r="Z420" s="16"/>
      <c r="AA420" s="16"/>
      <c r="AB420" s="16"/>
      <c r="AC420" s="16"/>
    </row>
    <row r="421">
      <c r="A421" s="22" t="str">
        <f t="array" ref="A421">IF(E421="","",IFERROR(INDEX(CONFIGURACION!C:C,MATCH(E421,CONFIGURACION!E:E,0)),""))
</f>
        <v/>
      </c>
      <c r="B421" s="22" t="str">
        <f t="array" ref="B421">IF(E421="","",IFERROR(INDEX(CONFIGURACION!D:D,MATCH(E421,CONFIGURACION!E:E,0)),""))
</f>
        <v/>
      </c>
      <c r="C421" s="31"/>
      <c r="D421" s="9"/>
      <c r="E421" s="6"/>
      <c r="F421" s="24"/>
      <c r="G421" s="9"/>
      <c r="H421" s="32"/>
      <c r="I421" s="33" t="str">
        <f>IFERROR(__xludf.DUMMYFUNCTION("IF(F421="""","""",LET(
  nombre, TRIM(F421),
  primer, REGEXEXTRACT(nombre, ""^\S+""),
  resto, TRIM(REGEXREPLACE(nombre, ""^\S+\s*"", """")),
  iniciales, IF(
    resto="""",
    """",
    TEXTJOIN("""",1,ARRAYFORMULA(LEFT(SPLIT(resto,"" ""),1) &amp; "".""))"&amp;"
  ),
  UPPER(primer) &amp; "" "" &amp; UPPER(iniciales)
))"),"")</f>
        <v/>
      </c>
      <c r="J421" s="33" t="str">
        <f>IFERROR(__xludf.DUMMYFUNCTION("IF(H421="""","""",IFERROR(
IF(REGEXMATCH(E421,""VELOCIDAD""),
   IF(H421&gt;=MAX(INDEX(BAREMOS!F:X,MATCH(1,(BAREMOS!A:A=A421)*(BAREMOS!B:B=B421)*(BAREMOS!C:C=C421)*(BAREMOS!D:D=D421),0),0)),1,
      IF(H421&lt;=MIN(INDEX(BAREMOS!F:X,MATCH(1,(BAREMOS!A:A=A421)*("&amp;"BAREMOS!B:B=B421)*(BAREMOS!C:C=C421)*(BAREMOS!D:D=D421),0),0)),19,
         MATCH(H421,INDEX(BAREMOS!F:X,MATCH(1,(BAREMOS!A:A=A421)*(BAREMOS!B:B=B421)*(BAREMOS!C:C=C421)*(BAREMOS!D:D=D421),0),0),-1)
      )
   ),
   IF(H421&lt;=MIN(INDEX(BAREMOS!F:X,MATCH(1,"&amp;"(BAREMOS!A:A=A421)*(BAREMOS!B:B=B421)*(BAREMOS!C:C=C421)*(BAREMOS!D:D=D421),0),0)),1,
      IF(H421&gt;=MAX(INDEX(BAREMOS!F:X,MATCH(1,(BAREMOS!A:A=A421)*(BAREMOS!B:B=B421)*(BAREMOS!C:C=C421)*(BAREMOS!D:D=D421),0),0)),19,
         MATCH(H421,INDEX(BAREMOS!F:X"&amp;",MATCH(1,(BAREMOS!A:A=A421)*(BAREMOS!B:B=B421)*(BAREMOS!C:C=C421)*(BAREMOS!D:D=D421),0),0),1)
      )
   )
)
,""""))
"),"")</f>
        <v/>
      </c>
      <c r="K421" s="34" t="str">
        <f t="shared" si="1"/>
        <v/>
      </c>
      <c r="L421" s="16"/>
      <c r="M421" s="16"/>
      <c r="N421" s="16"/>
      <c r="O421" s="16"/>
      <c r="P421" s="16"/>
      <c r="Q421" s="16"/>
      <c r="R421" s="16"/>
      <c r="S421" s="16"/>
      <c r="T421" s="16"/>
      <c r="U421" s="16"/>
      <c r="V421" s="16"/>
      <c r="W421" s="16"/>
      <c r="X421" s="16"/>
      <c r="Y421" s="16"/>
      <c r="Z421" s="16"/>
      <c r="AA421" s="16"/>
      <c r="AB421" s="16"/>
      <c r="AC421" s="16"/>
    </row>
    <row r="422">
      <c r="A422" s="22" t="str">
        <f t="array" ref="A422">IF(E422="","",IFERROR(INDEX(CONFIGURACION!C:C,MATCH(E422,CONFIGURACION!E:E,0)),""))
</f>
        <v/>
      </c>
      <c r="B422" s="22" t="str">
        <f t="array" ref="B422">IF(E422="","",IFERROR(INDEX(CONFIGURACION!D:D,MATCH(E422,CONFIGURACION!E:E,0)),""))
</f>
        <v/>
      </c>
      <c r="C422" s="31"/>
      <c r="D422" s="9"/>
      <c r="E422" s="6"/>
      <c r="F422" s="24"/>
      <c r="G422" s="9"/>
      <c r="H422" s="32"/>
      <c r="I422" s="33" t="str">
        <f>IFERROR(__xludf.DUMMYFUNCTION("IF(F422="""","""",LET(
  nombre, TRIM(F422),
  primer, REGEXEXTRACT(nombre, ""^\S+""),
  resto, TRIM(REGEXREPLACE(nombre, ""^\S+\s*"", """")),
  iniciales, IF(
    resto="""",
    """",
    TEXTJOIN("""",1,ARRAYFORMULA(LEFT(SPLIT(resto,"" ""),1) &amp; "".""))"&amp;"
  ),
  UPPER(primer) &amp; "" "" &amp; UPPER(iniciales)
))"),"")</f>
        <v/>
      </c>
      <c r="J422" s="33" t="str">
        <f>IFERROR(__xludf.DUMMYFUNCTION("IF(H422="""","""",IFERROR(
IF(REGEXMATCH(E422,""VELOCIDAD""),
   IF(H422&gt;=MAX(INDEX(BAREMOS!F:X,MATCH(1,(BAREMOS!A:A=A422)*(BAREMOS!B:B=B422)*(BAREMOS!C:C=C422)*(BAREMOS!D:D=D422),0),0)),1,
      IF(H422&lt;=MIN(INDEX(BAREMOS!F:X,MATCH(1,(BAREMOS!A:A=A422)*("&amp;"BAREMOS!B:B=B422)*(BAREMOS!C:C=C422)*(BAREMOS!D:D=D422),0),0)),19,
         MATCH(H422,INDEX(BAREMOS!F:X,MATCH(1,(BAREMOS!A:A=A422)*(BAREMOS!B:B=B422)*(BAREMOS!C:C=C422)*(BAREMOS!D:D=D422),0),0),-1)
      )
   ),
   IF(H422&lt;=MIN(INDEX(BAREMOS!F:X,MATCH(1,"&amp;"(BAREMOS!A:A=A422)*(BAREMOS!B:B=B422)*(BAREMOS!C:C=C422)*(BAREMOS!D:D=D422),0),0)),1,
      IF(H422&gt;=MAX(INDEX(BAREMOS!F:X,MATCH(1,(BAREMOS!A:A=A422)*(BAREMOS!B:B=B422)*(BAREMOS!C:C=C422)*(BAREMOS!D:D=D422),0),0)),19,
         MATCH(H422,INDEX(BAREMOS!F:X"&amp;",MATCH(1,(BAREMOS!A:A=A422)*(BAREMOS!B:B=B422)*(BAREMOS!C:C=C422)*(BAREMOS!D:D=D422),0),0),1)
      )
   )
)
,""""))
"),"")</f>
        <v/>
      </c>
      <c r="K422" s="34" t="str">
        <f t="shared" si="1"/>
        <v/>
      </c>
      <c r="L422" s="16"/>
      <c r="M422" s="16"/>
      <c r="N422" s="16"/>
      <c r="O422" s="16"/>
      <c r="P422" s="16"/>
      <c r="Q422" s="16"/>
      <c r="R422" s="16"/>
      <c r="S422" s="16"/>
      <c r="T422" s="16"/>
      <c r="U422" s="16"/>
      <c r="V422" s="16"/>
      <c r="W422" s="16"/>
      <c r="X422" s="16"/>
      <c r="Y422" s="16"/>
      <c r="Z422" s="16"/>
      <c r="AA422" s="16"/>
      <c r="AB422" s="16"/>
      <c r="AC422" s="16"/>
    </row>
    <row r="423">
      <c r="A423" s="22" t="str">
        <f t="array" ref="A423">IF(E423="","",IFERROR(INDEX(CONFIGURACION!C:C,MATCH(E423,CONFIGURACION!E:E,0)),""))
</f>
        <v/>
      </c>
      <c r="B423" s="22" t="str">
        <f t="array" ref="B423">IF(E423="","",IFERROR(INDEX(CONFIGURACION!D:D,MATCH(E423,CONFIGURACION!E:E,0)),""))
</f>
        <v/>
      </c>
      <c r="C423" s="31"/>
      <c r="D423" s="9"/>
      <c r="E423" s="6"/>
      <c r="F423" s="24"/>
      <c r="G423" s="9"/>
      <c r="H423" s="32"/>
      <c r="I423" s="33" t="str">
        <f>IFERROR(__xludf.DUMMYFUNCTION("IF(F423="""","""",LET(
  nombre, TRIM(F423),
  primer, REGEXEXTRACT(nombre, ""^\S+""),
  resto, TRIM(REGEXREPLACE(nombre, ""^\S+\s*"", """")),
  iniciales, IF(
    resto="""",
    """",
    TEXTJOIN("""",1,ARRAYFORMULA(LEFT(SPLIT(resto,"" ""),1) &amp; "".""))"&amp;"
  ),
  UPPER(primer) &amp; "" "" &amp; UPPER(iniciales)
))"),"")</f>
        <v/>
      </c>
      <c r="J423" s="33" t="str">
        <f>IFERROR(__xludf.DUMMYFUNCTION("IF(H423="""","""",IFERROR(
IF(REGEXMATCH(E423,""VELOCIDAD""),
   IF(H423&gt;=MAX(INDEX(BAREMOS!F:X,MATCH(1,(BAREMOS!A:A=A423)*(BAREMOS!B:B=B423)*(BAREMOS!C:C=C423)*(BAREMOS!D:D=D423),0),0)),1,
      IF(H423&lt;=MIN(INDEX(BAREMOS!F:X,MATCH(1,(BAREMOS!A:A=A423)*("&amp;"BAREMOS!B:B=B423)*(BAREMOS!C:C=C423)*(BAREMOS!D:D=D423),0),0)),19,
         MATCH(H423,INDEX(BAREMOS!F:X,MATCH(1,(BAREMOS!A:A=A423)*(BAREMOS!B:B=B423)*(BAREMOS!C:C=C423)*(BAREMOS!D:D=D423),0),0),-1)
      )
   ),
   IF(H423&lt;=MIN(INDEX(BAREMOS!F:X,MATCH(1,"&amp;"(BAREMOS!A:A=A423)*(BAREMOS!B:B=B423)*(BAREMOS!C:C=C423)*(BAREMOS!D:D=D423),0),0)),1,
      IF(H423&gt;=MAX(INDEX(BAREMOS!F:X,MATCH(1,(BAREMOS!A:A=A423)*(BAREMOS!B:B=B423)*(BAREMOS!C:C=C423)*(BAREMOS!D:D=D423),0),0)),19,
         MATCH(H423,INDEX(BAREMOS!F:X"&amp;",MATCH(1,(BAREMOS!A:A=A423)*(BAREMOS!B:B=B423)*(BAREMOS!C:C=C423)*(BAREMOS!D:D=D423),0),0),1)
      )
   )
)
,""""))
"),"")</f>
        <v/>
      </c>
      <c r="K423" s="34" t="str">
        <f t="shared" si="1"/>
        <v/>
      </c>
      <c r="L423" s="16"/>
      <c r="M423" s="16"/>
      <c r="N423" s="16"/>
      <c r="O423" s="16"/>
      <c r="P423" s="16"/>
      <c r="Q423" s="16"/>
      <c r="R423" s="16"/>
      <c r="S423" s="16"/>
      <c r="T423" s="16"/>
      <c r="U423" s="16"/>
      <c r="V423" s="16"/>
      <c r="W423" s="16"/>
      <c r="X423" s="16"/>
      <c r="Y423" s="16"/>
      <c r="Z423" s="16"/>
      <c r="AA423" s="16"/>
      <c r="AB423" s="16"/>
      <c r="AC423" s="16"/>
    </row>
    <row r="424">
      <c r="A424" s="22" t="str">
        <f t="array" ref="A424">IF(E424="","",IFERROR(INDEX(CONFIGURACION!C:C,MATCH(E424,CONFIGURACION!E:E,0)),""))
</f>
        <v/>
      </c>
      <c r="B424" s="22" t="str">
        <f t="array" ref="B424">IF(E424="","",IFERROR(INDEX(CONFIGURACION!D:D,MATCH(E424,CONFIGURACION!E:E,0)),""))
</f>
        <v/>
      </c>
      <c r="C424" s="31"/>
      <c r="D424" s="9"/>
      <c r="E424" s="6"/>
      <c r="F424" s="24"/>
      <c r="G424" s="9"/>
      <c r="H424" s="32"/>
      <c r="I424" s="33" t="str">
        <f>IFERROR(__xludf.DUMMYFUNCTION("IF(F424="""","""",LET(
  nombre, TRIM(F424),
  primer, REGEXEXTRACT(nombre, ""^\S+""),
  resto, TRIM(REGEXREPLACE(nombre, ""^\S+\s*"", """")),
  iniciales, IF(
    resto="""",
    """",
    TEXTJOIN("""",1,ARRAYFORMULA(LEFT(SPLIT(resto,"" ""),1) &amp; "".""))"&amp;"
  ),
  UPPER(primer) &amp; "" "" &amp; UPPER(iniciales)
))"),"")</f>
        <v/>
      </c>
      <c r="J424" s="33" t="str">
        <f>IFERROR(__xludf.DUMMYFUNCTION("IF(H424="""","""",IFERROR(
IF(REGEXMATCH(E424,""VELOCIDAD""),
   IF(H424&gt;=MAX(INDEX(BAREMOS!F:X,MATCH(1,(BAREMOS!A:A=A424)*(BAREMOS!B:B=B424)*(BAREMOS!C:C=C424)*(BAREMOS!D:D=D424),0),0)),1,
      IF(H424&lt;=MIN(INDEX(BAREMOS!F:X,MATCH(1,(BAREMOS!A:A=A424)*("&amp;"BAREMOS!B:B=B424)*(BAREMOS!C:C=C424)*(BAREMOS!D:D=D424),0),0)),19,
         MATCH(H424,INDEX(BAREMOS!F:X,MATCH(1,(BAREMOS!A:A=A424)*(BAREMOS!B:B=B424)*(BAREMOS!C:C=C424)*(BAREMOS!D:D=D424),0),0),-1)
      )
   ),
   IF(H424&lt;=MIN(INDEX(BAREMOS!F:X,MATCH(1,"&amp;"(BAREMOS!A:A=A424)*(BAREMOS!B:B=B424)*(BAREMOS!C:C=C424)*(BAREMOS!D:D=D424),0),0)),1,
      IF(H424&gt;=MAX(INDEX(BAREMOS!F:X,MATCH(1,(BAREMOS!A:A=A424)*(BAREMOS!B:B=B424)*(BAREMOS!C:C=C424)*(BAREMOS!D:D=D424),0),0)),19,
         MATCH(H424,INDEX(BAREMOS!F:X"&amp;",MATCH(1,(BAREMOS!A:A=A424)*(BAREMOS!B:B=B424)*(BAREMOS!C:C=C424)*(BAREMOS!D:D=D424),0),0),1)
      )
   )
)
,""""))
"),"")</f>
        <v/>
      </c>
      <c r="K424" s="34" t="str">
        <f t="shared" si="1"/>
        <v/>
      </c>
      <c r="L424" s="16"/>
      <c r="M424" s="16"/>
      <c r="N424" s="16"/>
      <c r="O424" s="16"/>
      <c r="P424" s="16"/>
      <c r="Q424" s="16"/>
      <c r="R424" s="16"/>
      <c r="S424" s="16"/>
      <c r="T424" s="16"/>
      <c r="U424" s="16"/>
      <c r="V424" s="16"/>
      <c r="W424" s="16"/>
      <c r="X424" s="16"/>
      <c r="Y424" s="16"/>
      <c r="Z424" s="16"/>
      <c r="AA424" s="16"/>
      <c r="AB424" s="16"/>
      <c r="AC424" s="16"/>
    </row>
    <row r="425">
      <c r="A425" s="22" t="str">
        <f t="array" ref="A425">IF(E425="","",IFERROR(INDEX(CONFIGURACION!C:C,MATCH(E425,CONFIGURACION!E:E,0)),""))
</f>
        <v/>
      </c>
      <c r="B425" s="22" t="str">
        <f t="array" ref="B425">IF(E425="","",IFERROR(INDEX(CONFIGURACION!D:D,MATCH(E425,CONFIGURACION!E:E,0)),""))
</f>
        <v/>
      </c>
      <c r="C425" s="31"/>
      <c r="D425" s="9"/>
      <c r="E425" s="6"/>
      <c r="F425" s="24"/>
      <c r="G425" s="9"/>
      <c r="H425" s="32"/>
      <c r="I425" s="33" t="str">
        <f>IFERROR(__xludf.DUMMYFUNCTION("IF(F425="""","""",LET(
  nombre, TRIM(F425),
  primer, REGEXEXTRACT(nombre, ""^\S+""),
  resto, TRIM(REGEXREPLACE(nombre, ""^\S+\s*"", """")),
  iniciales, IF(
    resto="""",
    """",
    TEXTJOIN("""",1,ARRAYFORMULA(LEFT(SPLIT(resto,"" ""),1) &amp; "".""))"&amp;"
  ),
  UPPER(primer) &amp; "" "" &amp; UPPER(iniciales)
))"),"")</f>
        <v/>
      </c>
      <c r="J425" s="33" t="str">
        <f>IFERROR(__xludf.DUMMYFUNCTION("IF(H425="""","""",IFERROR(
IF(REGEXMATCH(E425,""VELOCIDAD""),
   IF(H425&gt;=MAX(INDEX(BAREMOS!F:X,MATCH(1,(BAREMOS!A:A=A425)*(BAREMOS!B:B=B425)*(BAREMOS!C:C=C425)*(BAREMOS!D:D=D425),0),0)),1,
      IF(H425&lt;=MIN(INDEX(BAREMOS!F:X,MATCH(1,(BAREMOS!A:A=A425)*("&amp;"BAREMOS!B:B=B425)*(BAREMOS!C:C=C425)*(BAREMOS!D:D=D425),0),0)),19,
         MATCH(H425,INDEX(BAREMOS!F:X,MATCH(1,(BAREMOS!A:A=A425)*(BAREMOS!B:B=B425)*(BAREMOS!C:C=C425)*(BAREMOS!D:D=D425),0),0),-1)
      )
   ),
   IF(H425&lt;=MIN(INDEX(BAREMOS!F:X,MATCH(1,"&amp;"(BAREMOS!A:A=A425)*(BAREMOS!B:B=B425)*(BAREMOS!C:C=C425)*(BAREMOS!D:D=D425),0),0)),1,
      IF(H425&gt;=MAX(INDEX(BAREMOS!F:X,MATCH(1,(BAREMOS!A:A=A425)*(BAREMOS!B:B=B425)*(BAREMOS!C:C=C425)*(BAREMOS!D:D=D425),0),0)),19,
         MATCH(H425,INDEX(BAREMOS!F:X"&amp;",MATCH(1,(BAREMOS!A:A=A425)*(BAREMOS!B:B=B425)*(BAREMOS!C:C=C425)*(BAREMOS!D:D=D425),0),0),1)
      )
   )
)
,""""))
"),"")</f>
        <v/>
      </c>
      <c r="K425" s="34" t="str">
        <f t="shared" si="1"/>
        <v/>
      </c>
      <c r="L425" s="16"/>
      <c r="M425" s="16"/>
      <c r="N425" s="16"/>
      <c r="O425" s="16"/>
      <c r="P425" s="16"/>
      <c r="Q425" s="16"/>
      <c r="R425" s="16"/>
      <c r="S425" s="16"/>
      <c r="T425" s="16"/>
      <c r="U425" s="16"/>
      <c r="V425" s="16"/>
      <c r="W425" s="16"/>
      <c r="X425" s="16"/>
      <c r="Y425" s="16"/>
      <c r="Z425" s="16"/>
      <c r="AA425" s="16"/>
      <c r="AB425" s="16"/>
      <c r="AC425" s="16"/>
    </row>
    <row r="426">
      <c r="A426" s="22" t="str">
        <f t="array" ref="A426">IF(E426="","",IFERROR(INDEX(CONFIGURACION!C:C,MATCH(E426,CONFIGURACION!E:E,0)),""))
</f>
        <v/>
      </c>
      <c r="B426" s="22" t="str">
        <f t="array" ref="B426">IF(E426="","",IFERROR(INDEX(CONFIGURACION!D:D,MATCH(E426,CONFIGURACION!E:E,0)),""))
</f>
        <v/>
      </c>
      <c r="C426" s="31"/>
      <c r="D426" s="9"/>
      <c r="E426" s="6"/>
      <c r="F426" s="24"/>
      <c r="G426" s="9"/>
      <c r="H426" s="32"/>
      <c r="I426" s="33" t="str">
        <f>IFERROR(__xludf.DUMMYFUNCTION("IF(F426="""","""",LET(
  nombre, TRIM(F426),
  primer, REGEXEXTRACT(nombre, ""^\S+""),
  resto, TRIM(REGEXREPLACE(nombre, ""^\S+\s*"", """")),
  iniciales, IF(
    resto="""",
    """",
    TEXTJOIN("""",1,ARRAYFORMULA(LEFT(SPLIT(resto,"" ""),1) &amp; "".""))"&amp;"
  ),
  UPPER(primer) &amp; "" "" &amp; UPPER(iniciales)
))"),"")</f>
        <v/>
      </c>
      <c r="J426" s="33" t="str">
        <f>IFERROR(__xludf.DUMMYFUNCTION("IF(H426="""","""",IFERROR(
IF(REGEXMATCH(E426,""VELOCIDAD""),
   IF(H426&gt;=MAX(INDEX(BAREMOS!F:X,MATCH(1,(BAREMOS!A:A=A426)*(BAREMOS!B:B=B426)*(BAREMOS!C:C=C426)*(BAREMOS!D:D=D426),0),0)),1,
      IF(H426&lt;=MIN(INDEX(BAREMOS!F:X,MATCH(1,(BAREMOS!A:A=A426)*("&amp;"BAREMOS!B:B=B426)*(BAREMOS!C:C=C426)*(BAREMOS!D:D=D426),0),0)),19,
         MATCH(H426,INDEX(BAREMOS!F:X,MATCH(1,(BAREMOS!A:A=A426)*(BAREMOS!B:B=B426)*(BAREMOS!C:C=C426)*(BAREMOS!D:D=D426),0),0),-1)
      )
   ),
   IF(H426&lt;=MIN(INDEX(BAREMOS!F:X,MATCH(1,"&amp;"(BAREMOS!A:A=A426)*(BAREMOS!B:B=B426)*(BAREMOS!C:C=C426)*(BAREMOS!D:D=D426),0),0)),1,
      IF(H426&gt;=MAX(INDEX(BAREMOS!F:X,MATCH(1,(BAREMOS!A:A=A426)*(BAREMOS!B:B=B426)*(BAREMOS!C:C=C426)*(BAREMOS!D:D=D426),0),0)),19,
         MATCH(H426,INDEX(BAREMOS!F:X"&amp;",MATCH(1,(BAREMOS!A:A=A426)*(BAREMOS!B:B=B426)*(BAREMOS!C:C=C426)*(BAREMOS!D:D=D426),0),0),1)
      )
   )
)
,""""))
"),"")</f>
        <v/>
      </c>
      <c r="K426" s="34" t="str">
        <f t="shared" si="1"/>
        <v/>
      </c>
      <c r="L426" s="16"/>
      <c r="M426" s="16"/>
      <c r="N426" s="16"/>
      <c r="O426" s="16"/>
      <c r="P426" s="16"/>
      <c r="Q426" s="16"/>
      <c r="R426" s="16"/>
      <c r="S426" s="16"/>
      <c r="T426" s="16"/>
      <c r="U426" s="16"/>
      <c r="V426" s="16"/>
      <c r="W426" s="16"/>
      <c r="X426" s="16"/>
      <c r="Y426" s="16"/>
      <c r="Z426" s="16"/>
      <c r="AA426" s="16"/>
      <c r="AB426" s="16"/>
      <c r="AC426" s="16"/>
    </row>
    <row r="427">
      <c r="A427" s="22" t="str">
        <f t="array" ref="A427">IF(E427="","",IFERROR(INDEX(CONFIGURACION!C:C,MATCH(E427,CONFIGURACION!E:E,0)),""))
</f>
        <v/>
      </c>
      <c r="B427" s="22" t="str">
        <f t="array" ref="B427">IF(E427="","",IFERROR(INDEX(CONFIGURACION!D:D,MATCH(E427,CONFIGURACION!E:E,0)),""))
</f>
        <v/>
      </c>
      <c r="C427" s="31"/>
      <c r="D427" s="9"/>
      <c r="E427" s="6"/>
      <c r="F427" s="24"/>
      <c r="G427" s="9"/>
      <c r="H427" s="32"/>
      <c r="I427" s="33" t="str">
        <f>IFERROR(__xludf.DUMMYFUNCTION("IF(F427="""","""",LET(
  nombre, TRIM(F427),
  primer, REGEXEXTRACT(nombre, ""^\S+""),
  resto, TRIM(REGEXREPLACE(nombre, ""^\S+\s*"", """")),
  iniciales, IF(
    resto="""",
    """",
    TEXTJOIN("""",1,ARRAYFORMULA(LEFT(SPLIT(resto,"" ""),1) &amp; "".""))"&amp;"
  ),
  UPPER(primer) &amp; "" "" &amp; UPPER(iniciales)
))"),"")</f>
        <v/>
      </c>
      <c r="J427" s="33" t="str">
        <f>IFERROR(__xludf.DUMMYFUNCTION("IF(H427="""","""",IFERROR(
IF(REGEXMATCH(E427,""VELOCIDAD""),
   IF(H427&gt;=MAX(INDEX(BAREMOS!F:X,MATCH(1,(BAREMOS!A:A=A427)*(BAREMOS!B:B=B427)*(BAREMOS!C:C=C427)*(BAREMOS!D:D=D427),0),0)),1,
      IF(H427&lt;=MIN(INDEX(BAREMOS!F:X,MATCH(1,(BAREMOS!A:A=A427)*("&amp;"BAREMOS!B:B=B427)*(BAREMOS!C:C=C427)*(BAREMOS!D:D=D427),0),0)),19,
         MATCH(H427,INDEX(BAREMOS!F:X,MATCH(1,(BAREMOS!A:A=A427)*(BAREMOS!B:B=B427)*(BAREMOS!C:C=C427)*(BAREMOS!D:D=D427),0),0),-1)
      )
   ),
   IF(H427&lt;=MIN(INDEX(BAREMOS!F:X,MATCH(1,"&amp;"(BAREMOS!A:A=A427)*(BAREMOS!B:B=B427)*(BAREMOS!C:C=C427)*(BAREMOS!D:D=D427),0),0)),1,
      IF(H427&gt;=MAX(INDEX(BAREMOS!F:X,MATCH(1,(BAREMOS!A:A=A427)*(BAREMOS!B:B=B427)*(BAREMOS!C:C=C427)*(BAREMOS!D:D=D427),0),0)),19,
         MATCH(H427,INDEX(BAREMOS!F:X"&amp;",MATCH(1,(BAREMOS!A:A=A427)*(BAREMOS!B:B=B427)*(BAREMOS!C:C=C427)*(BAREMOS!D:D=D427),0),0),1)
      )
   )
)
,""""))
"),"")</f>
        <v/>
      </c>
      <c r="K427" s="34" t="str">
        <f t="shared" si="1"/>
        <v/>
      </c>
      <c r="L427" s="16"/>
      <c r="M427" s="16"/>
      <c r="N427" s="16"/>
      <c r="O427" s="16"/>
      <c r="P427" s="16"/>
      <c r="Q427" s="16"/>
      <c r="R427" s="16"/>
      <c r="S427" s="16"/>
      <c r="T427" s="16"/>
      <c r="U427" s="16"/>
      <c r="V427" s="16"/>
      <c r="W427" s="16"/>
      <c r="X427" s="16"/>
      <c r="Y427" s="16"/>
      <c r="Z427" s="16"/>
      <c r="AA427" s="16"/>
      <c r="AB427" s="16"/>
      <c r="AC427" s="16"/>
    </row>
    <row r="428">
      <c r="A428" s="22" t="str">
        <f t="array" ref="A428">IF(E428="","",IFERROR(INDEX(CONFIGURACION!C:C,MATCH(E428,CONFIGURACION!E:E,0)),""))
</f>
        <v/>
      </c>
      <c r="B428" s="22" t="str">
        <f t="array" ref="B428">IF(E428="","",IFERROR(INDEX(CONFIGURACION!D:D,MATCH(E428,CONFIGURACION!E:E,0)),""))
</f>
        <v/>
      </c>
      <c r="C428" s="31"/>
      <c r="D428" s="9"/>
      <c r="E428" s="6"/>
      <c r="F428" s="24"/>
      <c r="G428" s="9"/>
      <c r="H428" s="32"/>
      <c r="I428" s="33" t="str">
        <f>IFERROR(__xludf.DUMMYFUNCTION("IF(F428="""","""",LET(
  nombre, TRIM(F428),
  primer, REGEXEXTRACT(nombre, ""^\S+""),
  resto, TRIM(REGEXREPLACE(nombre, ""^\S+\s*"", """")),
  iniciales, IF(
    resto="""",
    """",
    TEXTJOIN("""",1,ARRAYFORMULA(LEFT(SPLIT(resto,"" ""),1) &amp; "".""))"&amp;"
  ),
  UPPER(primer) &amp; "" "" &amp; UPPER(iniciales)
))"),"")</f>
        <v/>
      </c>
      <c r="J428" s="33" t="str">
        <f>IFERROR(__xludf.DUMMYFUNCTION("IF(H428="""","""",IFERROR(
IF(REGEXMATCH(E428,""VELOCIDAD""),
   IF(H428&gt;=MAX(INDEX(BAREMOS!F:X,MATCH(1,(BAREMOS!A:A=A428)*(BAREMOS!B:B=B428)*(BAREMOS!C:C=C428)*(BAREMOS!D:D=D428),0),0)),1,
      IF(H428&lt;=MIN(INDEX(BAREMOS!F:X,MATCH(1,(BAREMOS!A:A=A428)*("&amp;"BAREMOS!B:B=B428)*(BAREMOS!C:C=C428)*(BAREMOS!D:D=D428),0),0)),19,
         MATCH(H428,INDEX(BAREMOS!F:X,MATCH(1,(BAREMOS!A:A=A428)*(BAREMOS!B:B=B428)*(BAREMOS!C:C=C428)*(BAREMOS!D:D=D428),0),0),-1)
      )
   ),
   IF(H428&lt;=MIN(INDEX(BAREMOS!F:X,MATCH(1,"&amp;"(BAREMOS!A:A=A428)*(BAREMOS!B:B=B428)*(BAREMOS!C:C=C428)*(BAREMOS!D:D=D428),0),0)),1,
      IF(H428&gt;=MAX(INDEX(BAREMOS!F:X,MATCH(1,(BAREMOS!A:A=A428)*(BAREMOS!B:B=B428)*(BAREMOS!C:C=C428)*(BAREMOS!D:D=D428),0),0)),19,
         MATCH(H428,INDEX(BAREMOS!F:X"&amp;",MATCH(1,(BAREMOS!A:A=A428)*(BAREMOS!B:B=B428)*(BAREMOS!C:C=C428)*(BAREMOS!D:D=D428),0),0),1)
      )
   )
)
,""""))
"),"")</f>
        <v/>
      </c>
      <c r="K428" s="34" t="str">
        <f t="shared" si="1"/>
        <v/>
      </c>
      <c r="L428" s="16"/>
      <c r="M428" s="16"/>
      <c r="N428" s="16"/>
      <c r="O428" s="16"/>
      <c r="P428" s="16"/>
      <c r="Q428" s="16"/>
      <c r="R428" s="16"/>
      <c r="S428" s="16"/>
      <c r="T428" s="16"/>
      <c r="U428" s="16"/>
      <c r="V428" s="16"/>
      <c r="W428" s="16"/>
      <c r="X428" s="16"/>
      <c r="Y428" s="16"/>
      <c r="Z428" s="16"/>
      <c r="AA428" s="16"/>
      <c r="AB428" s="16"/>
      <c r="AC428" s="16"/>
    </row>
    <row r="429">
      <c r="A429" s="22" t="str">
        <f t="array" ref="A429">IF(E429="","",IFERROR(INDEX(CONFIGURACION!C:C,MATCH(E429,CONFIGURACION!E:E,0)),""))
</f>
        <v/>
      </c>
      <c r="B429" s="22" t="str">
        <f t="array" ref="B429">IF(E429="","",IFERROR(INDEX(CONFIGURACION!D:D,MATCH(E429,CONFIGURACION!E:E,0)),""))
</f>
        <v/>
      </c>
      <c r="C429" s="31"/>
      <c r="D429" s="9"/>
      <c r="E429" s="6"/>
      <c r="F429" s="24"/>
      <c r="G429" s="9"/>
      <c r="H429" s="32"/>
      <c r="I429" s="33" t="str">
        <f>IFERROR(__xludf.DUMMYFUNCTION("IF(F429="""","""",LET(
  nombre, TRIM(F429),
  primer, REGEXEXTRACT(nombre, ""^\S+""),
  resto, TRIM(REGEXREPLACE(nombre, ""^\S+\s*"", """")),
  iniciales, IF(
    resto="""",
    """",
    TEXTJOIN("""",1,ARRAYFORMULA(LEFT(SPLIT(resto,"" ""),1) &amp; "".""))"&amp;"
  ),
  UPPER(primer) &amp; "" "" &amp; UPPER(iniciales)
))"),"")</f>
        <v/>
      </c>
      <c r="J429" s="33" t="str">
        <f>IFERROR(__xludf.DUMMYFUNCTION("IF(H429="""","""",IFERROR(
IF(REGEXMATCH(E429,""VELOCIDAD""),
   IF(H429&gt;=MAX(INDEX(BAREMOS!F:X,MATCH(1,(BAREMOS!A:A=A429)*(BAREMOS!B:B=B429)*(BAREMOS!C:C=C429)*(BAREMOS!D:D=D429),0),0)),1,
      IF(H429&lt;=MIN(INDEX(BAREMOS!F:X,MATCH(1,(BAREMOS!A:A=A429)*("&amp;"BAREMOS!B:B=B429)*(BAREMOS!C:C=C429)*(BAREMOS!D:D=D429),0),0)),19,
         MATCH(H429,INDEX(BAREMOS!F:X,MATCH(1,(BAREMOS!A:A=A429)*(BAREMOS!B:B=B429)*(BAREMOS!C:C=C429)*(BAREMOS!D:D=D429),0),0),-1)
      )
   ),
   IF(H429&lt;=MIN(INDEX(BAREMOS!F:X,MATCH(1,"&amp;"(BAREMOS!A:A=A429)*(BAREMOS!B:B=B429)*(BAREMOS!C:C=C429)*(BAREMOS!D:D=D429),0),0)),1,
      IF(H429&gt;=MAX(INDEX(BAREMOS!F:X,MATCH(1,(BAREMOS!A:A=A429)*(BAREMOS!B:B=B429)*(BAREMOS!C:C=C429)*(BAREMOS!D:D=D429),0),0)),19,
         MATCH(H429,INDEX(BAREMOS!F:X"&amp;",MATCH(1,(BAREMOS!A:A=A429)*(BAREMOS!B:B=B429)*(BAREMOS!C:C=C429)*(BAREMOS!D:D=D429),0),0),1)
      )
   )
)
,""""))
"),"")</f>
        <v/>
      </c>
      <c r="K429" s="34" t="str">
        <f t="shared" si="1"/>
        <v/>
      </c>
      <c r="L429" s="16"/>
      <c r="M429" s="16"/>
      <c r="N429" s="16"/>
      <c r="O429" s="16"/>
      <c r="P429" s="16"/>
      <c r="Q429" s="16"/>
      <c r="R429" s="16"/>
      <c r="S429" s="16"/>
      <c r="T429" s="16"/>
      <c r="U429" s="16"/>
      <c r="V429" s="16"/>
      <c r="W429" s="16"/>
      <c r="X429" s="16"/>
      <c r="Y429" s="16"/>
      <c r="Z429" s="16"/>
      <c r="AA429" s="16"/>
      <c r="AB429" s="16"/>
      <c r="AC429" s="16"/>
    </row>
    <row r="430">
      <c r="A430" s="22" t="str">
        <f t="array" ref="A430">IF(E430="","",IFERROR(INDEX(CONFIGURACION!C:C,MATCH(E430,CONFIGURACION!E:E,0)),""))
</f>
        <v/>
      </c>
      <c r="B430" s="22" t="str">
        <f t="array" ref="B430">IF(E430="","",IFERROR(INDEX(CONFIGURACION!D:D,MATCH(E430,CONFIGURACION!E:E,0)),""))
</f>
        <v/>
      </c>
      <c r="C430" s="31"/>
      <c r="D430" s="9"/>
      <c r="E430" s="6"/>
      <c r="F430" s="24"/>
      <c r="G430" s="9"/>
      <c r="H430" s="32"/>
      <c r="I430" s="33" t="str">
        <f>IFERROR(__xludf.DUMMYFUNCTION("IF(F430="""","""",LET(
  nombre, TRIM(F430),
  primer, REGEXEXTRACT(nombre, ""^\S+""),
  resto, TRIM(REGEXREPLACE(nombre, ""^\S+\s*"", """")),
  iniciales, IF(
    resto="""",
    """",
    TEXTJOIN("""",1,ARRAYFORMULA(LEFT(SPLIT(resto,"" ""),1) &amp; "".""))"&amp;"
  ),
  UPPER(primer) &amp; "" "" &amp; UPPER(iniciales)
))"),"")</f>
        <v/>
      </c>
      <c r="J430" s="33" t="str">
        <f>IFERROR(__xludf.DUMMYFUNCTION("IF(H430="""","""",IFERROR(
IF(REGEXMATCH(E430,""VELOCIDAD""),
   IF(H430&gt;=MAX(INDEX(BAREMOS!F:X,MATCH(1,(BAREMOS!A:A=A430)*(BAREMOS!B:B=B430)*(BAREMOS!C:C=C430)*(BAREMOS!D:D=D430),0),0)),1,
      IF(H430&lt;=MIN(INDEX(BAREMOS!F:X,MATCH(1,(BAREMOS!A:A=A430)*("&amp;"BAREMOS!B:B=B430)*(BAREMOS!C:C=C430)*(BAREMOS!D:D=D430),0),0)),19,
         MATCH(H430,INDEX(BAREMOS!F:X,MATCH(1,(BAREMOS!A:A=A430)*(BAREMOS!B:B=B430)*(BAREMOS!C:C=C430)*(BAREMOS!D:D=D430),0),0),-1)
      )
   ),
   IF(H430&lt;=MIN(INDEX(BAREMOS!F:X,MATCH(1,"&amp;"(BAREMOS!A:A=A430)*(BAREMOS!B:B=B430)*(BAREMOS!C:C=C430)*(BAREMOS!D:D=D430),0),0)),1,
      IF(H430&gt;=MAX(INDEX(BAREMOS!F:X,MATCH(1,(BAREMOS!A:A=A430)*(BAREMOS!B:B=B430)*(BAREMOS!C:C=C430)*(BAREMOS!D:D=D430),0),0)),19,
         MATCH(H430,INDEX(BAREMOS!F:X"&amp;",MATCH(1,(BAREMOS!A:A=A430)*(BAREMOS!B:B=B430)*(BAREMOS!C:C=C430)*(BAREMOS!D:D=D430),0),0),1)
      )
   )
)
,""""))
"),"")</f>
        <v/>
      </c>
      <c r="K430" s="34" t="str">
        <f t="shared" si="1"/>
        <v/>
      </c>
      <c r="L430" s="16"/>
      <c r="M430" s="16"/>
      <c r="N430" s="16"/>
      <c r="O430" s="16"/>
      <c r="P430" s="16"/>
      <c r="Q430" s="16"/>
      <c r="R430" s="16"/>
      <c r="S430" s="16"/>
      <c r="T430" s="16"/>
      <c r="U430" s="16"/>
      <c r="V430" s="16"/>
      <c r="W430" s="16"/>
      <c r="X430" s="16"/>
      <c r="Y430" s="16"/>
      <c r="Z430" s="16"/>
      <c r="AA430" s="16"/>
      <c r="AB430" s="16"/>
      <c r="AC430" s="16"/>
    </row>
    <row r="431">
      <c r="A431" s="22" t="str">
        <f t="array" ref="A431">IF(E431="","",IFERROR(INDEX(CONFIGURACION!C:C,MATCH(E431,CONFIGURACION!E:E,0)),""))
</f>
        <v/>
      </c>
      <c r="B431" s="22" t="str">
        <f t="array" ref="B431">IF(E431="","",IFERROR(INDEX(CONFIGURACION!D:D,MATCH(E431,CONFIGURACION!E:E,0)),""))
</f>
        <v/>
      </c>
      <c r="C431" s="31"/>
      <c r="D431" s="9"/>
      <c r="E431" s="6"/>
      <c r="F431" s="24"/>
      <c r="G431" s="9"/>
      <c r="H431" s="32"/>
      <c r="I431" s="33" t="str">
        <f>IFERROR(__xludf.DUMMYFUNCTION("IF(F431="""","""",LET(
  nombre, TRIM(F431),
  primer, REGEXEXTRACT(nombre, ""^\S+""),
  resto, TRIM(REGEXREPLACE(nombre, ""^\S+\s*"", """")),
  iniciales, IF(
    resto="""",
    """",
    TEXTJOIN("""",1,ARRAYFORMULA(LEFT(SPLIT(resto,"" ""),1) &amp; "".""))"&amp;"
  ),
  UPPER(primer) &amp; "" "" &amp; UPPER(iniciales)
))"),"")</f>
        <v/>
      </c>
      <c r="J431" s="33" t="str">
        <f>IFERROR(__xludf.DUMMYFUNCTION("IF(H431="""","""",IFERROR(
IF(REGEXMATCH(E431,""VELOCIDAD""),
   IF(H431&gt;=MAX(INDEX(BAREMOS!F:X,MATCH(1,(BAREMOS!A:A=A431)*(BAREMOS!B:B=B431)*(BAREMOS!C:C=C431)*(BAREMOS!D:D=D431),0),0)),1,
      IF(H431&lt;=MIN(INDEX(BAREMOS!F:X,MATCH(1,(BAREMOS!A:A=A431)*("&amp;"BAREMOS!B:B=B431)*(BAREMOS!C:C=C431)*(BAREMOS!D:D=D431),0),0)),19,
         MATCH(H431,INDEX(BAREMOS!F:X,MATCH(1,(BAREMOS!A:A=A431)*(BAREMOS!B:B=B431)*(BAREMOS!C:C=C431)*(BAREMOS!D:D=D431),0),0),-1)
      )
   ),
   IF(H431&lt;=MIN(INDEX(BAREMOS!F:X,MATCH(1,"&amp;"(BAREMOS!A:A=A431)*(BAREMOS!B:B=B431)*(BAREMOS!C:C=C431)*(BAREMOS!D:D=D431),0),0)),1,
      IF(H431&gt;=MAX(INDEX(BAREMOS!F:X,MATCH(1,(BAREMOS!A:A=A431)*(BAREMOS!B:B=B431)*(BAREMOS!C:C=C431)*(BAREMOS!D:D=D431),0),0)),19,
         MATCH(H431,INDEX(BAREMOS!F:X"&amp;",MATCH(1,(BAREMOS!A:A=A431)*(BAREMOS!B:B=B431)*(BAREMOS!C:C=C431)*(BAREMOS!D:D=D431),0),0),1)
      )
   )
)
,""""))
"),"")</f>
        <v/>
      </c>
      <c r="K431" s="34" t="str">
        <f t="shared" si="1"/>
        <v/>
      </c>
      <c r="L431" s="16"/>
      <c r="M431" s="16"/>
      <c r="N431" s="16"/>
      <c r="O431" s="16"/>
      <c r="P431" s="16"/>
      <c r="Q431" s="16"/>
      <c r="R431" s="16"/>
      <c r="S431" s="16"/>
      <c r="T431" s="16"/>
      <c r="U431" s="16"/>
      <c r="V431" s="16"/>
      <c r="W431" s="16"/>
      <c r="X431" s="16"/>
      <c r="Y431" s="16"/>
      <c r="Z431" s="16"/>
      <c r="AA431" s="16"/>
      <c r="AB431" s="16"/>
      <c r="AC431" s="16"/>
    </row>
    <row r="432">
      <c r="A432" s="22" t="str">
        <f t="array" ref="A432">IF(E432="","",IFERROR(INDEX(CONFIGURACION!C:C,MATCH(E432,CONFIGURACION!E:E,0)),""))
</f>
        <v/>
      </c>
      <c r="B432" s="22" t="str">
        <f t="array" ref="B432">IF(E432="","",IFERROR(INDEX(CONFIGURACION!D:D,MATCH(E432,CONFIGURACION!E:E,0)),""))
</f>
        <v/>
      </c>
      <c r="C432" s="31"/>
      <c r="D432" s="9"/>
      <c r="E432" s="6"/>
      <c r="F432" s="24"/>
      <c r="G432" s="9"/>
      <c r="H432" s="32"/>
      <c r="I432" s="33" t="str">
        <f>IFERROR(__xludf.DUMMYFUNCTION("IF(F432="""","""",LET(
  nombre, TRIM(F432),
  primer, REGEXEXTRACT(nombre, ""^\S+""),
  resto, TRIM(REGEXREPLACE(nombre, ""^\S+\s*"", """")),
  iniciales, IF(
    resto="""",
    """",
    TEXTJOIN("""",1,ARRAYFORMULA(LEFT(SPLIT(resto,"" ""),1) &amp; "".""))"&amp;"
  ),
  UPPER(primer) &amp; "" "" &amp; UPPER(iniciales)
))"),"")</f>
        <v/>
      </c>
      <c r="J432" s="33" t="str">
        <f>IFERROR(__xludf.DUMMYFUNCTION("IF(H432="""","""",IFERROR(
IF(REGEXMATCH(E432,""VELOCIDAD""),
   IF(H432&gt;=MAX(INDEX(BAREMOS!F:X,MATCH(1,(BAREMOS!A:A=A432)*(BAREMOS!B:B=B432)*(BAREMOS!C:C=C432)*(BAREMOS!D:D=D432),0),0)),1,
      IF(H432&lt;=MIN(INDEX(BAREMOS!F:X,MATCH(1,(BAREMOS!A:A=A432)*("&amp;"BAREMOS!B:B=B432)*(BAREMOS!C:C=C432)*(BAREMOS!D:D=D432),0),0)),19,
         MATCH(H432,INDEX(BAREMOS!F:X,MATCH(1,(BAREMOS!A:A=A432)*(BAREMOS!B:B=B432)*(BAREMOS!C:C=C432)*(BAREMOS!D:D=D432),0),0),-1)
      )
   ),
   IF(H432&lt;=MIN(INDEX(BAREMOS!F:X,MATCH(1,"&amp;"(BAREMOS!A:A=A432)*(BAREMOS!B:B=B432)*(BAREMOS!C:C=C432)*(BAREMOS!D:D=D432),0),0)),1,
      IF(H432&gt;=MAX(INDEX(BAREMOS!F:X,MATCH(1,(BAREMOS!A:A=A432)*(BAREMOS!B:B=B432)*(BAREMOS!C:C=C432)*(BAREMOS!D:D=D432),0),0)),19,
         MATCH(H432,INDEX(BAREMOS!F:X"&amp;",MATCH(1,(BAREMOS!A:A=A432)*(BAREMOS!B:B=B432)*(BAREMOS!C:C=C432)*(BAREMOS!D:D=D432),0),0),1)
      )
   )
)
,""""))
"),"")</f>
        <v/>
      </c>
      <c r="K432" s="34" t="str">
        <f t="shared" si="1"/>
        <v/>
      </c>
      <c r="L432" s="16"/>
      <c r="M432" s="16"/>
      <c r="N432" s="16"/>
      <c r="O432" s="16"/>
      <c r="P432" s="16"/>
      <c r="Q432" s="16"/>
      <c r="R432" s="16"/>
      <c r="S432" s="16"/>
      <c r="T432" s="16"/>
      <c r="U432" s="16"/>
      <c r="V432" s="16"/>
      <c r="W432" s="16"/>
      <c r="X432" s="16"/>
      <c r="Y432" s="16"/>
      <c r="Z432" s="16"/>
      <c r="AA432" s="16"/>
      <c r="AB432" s="16"/>
      <c r="AC432" s="16"/>
    </row>
    <row r="433">
      <c r="A433" s="22" t="str">
        <f t="array" ref="A433">IF(E433="","",IFERROR(INDEX(CONFIGURACION!C:C,MATCH(E433,CONFIGURACION!E:E,0)),""))
</f>
        <v/>
      </c>
      <c r="B433" s="22" t="str">
        <f t="array" ref="B433">IF(E433="","",IFERROR(INDEX(CONFIGURACION!D:D,MATCH(E433,CONFIGURACION!E:E,0)),""))
</f>
        <v/>
      </c>
      <c r="C433" s="31"/>
      <c r="D433" s="9"/>
      <c r="E433" s="6"/>
      <c r="F433" s="24"/>
      <c r="G433" s="9"/>
      <c r="H433" s="32"/>
      <c r="I433" s="33" t="str">
        <f>IFERROR(__xludf.DUMMYFUNCTION("IF(F433="""","""",LET(
  nombre, TRIM(F433),
  primer, REGEXEXTRACT(nombre, ""^\S+""),
  resto, TRIM(REGEXREPLACE(nombre, ""^\S+\s*"", """")),
  iniciales, IF(
    resto="""",
    """",
    TEXTJOIN("""",1,ARRAYFORMULA(LEFT(SPLIT(resto,"" ""),1) &amp; "".""))"&amp;"
  ),
  UPPER(primer) &amp; "" "" &amp; UPPER(iniciales)
))"),"")</f>
        <v/>
      </c>
      <c r="J433" s="33" t="str">
        <f>IFERROR(__xludf.DUMMYFUNCTION("IF(H433="""","""",IFERROR(
IF(REGEXMATCH(E433,""VELOCIDAD""),
   IF(H433&gt;=MAX(INDEX(BAREMOS!F:X,MATCH(1,(BAREMOS!A:A=A433)*(BAREMOS!B:B=B433)*(BAREMOS!C:C=C433)*(BAREMOS!D:D=D433),0),0)),1,
      IF(H433&lt;=MIN(INDEX(BAREMOS!F:X,MATCH(1,(BAREMOS!A:A=A433)*("&amp;"BAREMOS!B:B=B433)*(BAREMOS!C:C=C433)*(BAREMOS!D:D=D433),0),0)),19,
         MATCH(H433,INDEX(BAREMOS!F:X,MATCH(1,(BAREMOS!A:A=A433)*(BAREMOS!B:B=B433)*(BAREMOS!C:C=C433)*(BAREMOS!D:D=D433),0),0),-1)
      )
   ),
   IF(H433&lt;=MIN(INDEX(BAREMOS!F:X,MATCH(1,"&amp;"(BAREMOS!A:A=A433)*(BAREMOS!B:B=B433)*(BAREMOS!C:C=C433)*(BAREMOS!D:D=D433),0),0)),1,
      IF(H433&gt;=MAX(INDEX(BAREMOS!F:X,MATCH(1,(BAREMOS!A:A=A433)*(BAREMOS!B:B=B433)*(BAREMOS!C:C=C433)*(BAREMOS!D:D=D433),0),0)),19,
         MATCH(H433,INDEX(BAREMOS!F:X"&amp;",MATCH(1,(BAREMOS!A:A=A433)*(BAREMOS!B:B=B433)*(BAREMOS!C:C=C433)*(BAREMOS!D:D=D433),0),0),1)
      )
   )
)
,""""))
"),"")</f>
        <v/>
      </c>
      <c r="K433" s="34" t="str">
        <f t="shared" si="1"/>
        <v/>
      </c>
      <c r="L433" s="16"/>
      <c r="M433" s="16"/>
      <c r="N433" s="16"/>
      <c r="O433" s="16"/>
      <c r="P433" s="16"/>
      <c r="Q433" s="16"/>
      <c r="R433" s="16"/>
      <c r="S433" s="16"/>
      <c r="T433" s="16"/>
      <c r="U433" s="16"/>
      <c r="V433" s="16"/>
      <c r="W433" s="16"/>
      <c r="X433" s="16"/>
      <c r="Y433" s="16"/>
      <c r="Z433" s="16"/>
      <c r="AA433" s="16"/>
      <c r="AB433" s="16"/>
      <c r="AC433" s="16"/>
    </row>
    <row r="434">
      <c r="A434" s="22" t="str">
        <f t="array" ref="A434">IF(E434="","",IFERROR(INDEX(CONFIGURACION!C:C,MATCH(E434,CONFIGURACION!E:E,0)),""))
</f>
        <v/>
      </c>
      <c r="B434" s="22" t="str">
        <f t="array" ref="B434">IF(E434="","",IFERROR(INDEX(CONFIGURACION!D:D,MATCH(E434,CONFIGURACION!E:E,0)),""))
</f>
        <v/>
      </c>
      <c r="C434" s="31"/>
      <c r="D434" s="9"/>
      <c r="E434" s="6"/>
      <c r="F434" s="24"/>
      <c r="G434" s="9"/>
      <c r="H434" s="32"/>
      <c r="I434" s="33" t="str">
        <f>IFERROR(__xludf.DUMMYFUNCTION("IF(F434="""","""",LET(
  nombre, TRIM(F434),
  primer, REGEXEXTRACT(nombre, ""^\S+""),
  resto, TRIM(REGEXREPLACE(nombre, ""^\S+\s*"", """")),
  iniciales, IF(
    resto="""",
    """",
    TEXTJOIN("""",1,ARRAYFORMULA(LEFT(SPLIT(resto,"" ""),1) &amp; "".""))"&amp;"
  ),
  UPPER(primer) &amp; "" "" &amp; UPPER(iniciales)
))"),"")</f>
        <v/>
      </c>
      <c r="J434" s="33" t="str">
        <f>IFERROR(__xludf.DUMMYFUNCTION("IF(H434="""","""",IFERROR(
IF(REGEXMATCH(E434,""VELOCIDAD""),
   IF(H434&gt;=MAX(INDEX(BAREMOS!F:X,MATCH(1,(BAREMOS!A:A=A434)*(BAREMOS!B:B=B434)*(BAREMOS!C:C=C434)*(BAREMOS!D:D=D434),0),0)),1,
      IF(H434&lt;=MIN(INDEX(BAREMOS!F:X,MATCH(1,(BAREMOS!A:A=A434)*("&amp;"BAREMOS!B:B=B434)*(BAREMOS!C:C=C434)*(BAREMOS!D:D=D434),0),0)),19,
         MATCH(H434,INDEX(BAREMOS!F:X,MATCH(1,(BAREMOS!A:A=A434)*(BAREMOS!B:B=B434)*(BAREMOS!C:C=C434)*(BAREMOS!D:D=D434),0),0),-1)
      )
   ),
   IF(H434&lt;=MIN(INDEX(BAREMOS!F:X,MATCH(1,"&amp;"(BAREMOS!A:A=A434)*(BAREMOS!B:B=B434)*(BAREMOS!C:C=C434)*(BAREMOS!D:D=D434),0),0)),1,
      IF(H434&gt;=MAX(INDEX(BAREMOS!F:X,MATCH(1,(BAREMOS!A:A=A434)*(BAREMOS!B:B=B434)*(BAREMOS!C:C=C434)*(BAREMOS!D:D=D434),0),0)),19,
         MATCH(H434,INDEX(BAREMOS!F:X"&amp;",MATCH(1,(BAREMOS!A:A=A434)*(BAREMOS!B:B=B434)*(BAREMOS!C:C=C434)*(BAREMOS!D:D=D434),0),0),1)
      )
   )
)
,""""))
"),"")</f>
        <v/>
      </c>
      <c r="K434" s="34" t="str">
        <f t="shared" si="1"/>
        <v/>
      </c>
      <c r="L434" s="16"/>
      <c r="M434" s="16"/>
      <c r="N434" s="16"/>
      <c r="O434" s="16"/>
      <c r="P434" s="16"/>
      <c r="Q434" s="16"/>
      <c r="R434" s="16"/>
      <c r="S434" s="16"/>
      <c r="T434" s="16"/>
      <c r="U434" s="16"/>
      <c r="V434" s="16"/>
      <c r="W434" s="16"/>
      <c r="X434" s="16"/>
      <c r="Y434" s="16"/>
      <c r="Z434" s="16"/>
      <c r="AA434" s="16"/>
      <c r="AB434" s="16"/>
      <c r="AC434" s="16"/>
    </row>
    <row r="435">
      <c r="A435" s="22" t="str">
        <f t="array" ref="A435">IF(E435="","",IFERROR(INDEX(CONFIGURACION!C:C,MATCH(E435,CONFIGURACION!E:E,0)),""))
</f>
        <v/>
      </c>
      <c r="B435" s="22" t="str">
        <f t="array" ref="B435">IF(E435="","",IFERROR(INDEX(CONFIGURACION!D:D,MATCH(E435,CONFIGURACION!E:E,0)),""))
</f>
        <v/>
      </c>
      <c r="C435" s="31"/>
      <c r="D435" s="9"/>
      <c r="E435" s="6"/>
      <c r="F435" s="24"/>
      <c r="G435" s="9"/>
      <c r="H435" s="32"/>
      <c r="I435" s="33" t="str">
        <f>IFERROR(__xludf.DUMMYFUNCTION("IF(F435="""","""",LET(
  nombre, TRIM(F435),
  primer, REGEXEXTRACT(nombre, ""^\S+""),
  resto, TRIM(REGEXREPLACE(nombre, ""^\S+\s*"", """")),
  iniciales, IF(
    resto="""",
    """",
    TEXTJOIN("""",1,ARRAYFORMULA(LEFT(SPLIT(resto,"" ""),1) &amp; "".""))"&amp;"
  ),
  UPPER(primer) &amp; "" "" &amp; UPPER(iniciales)
))"),"")</f>
        <v/>
      </c>
      <c r="J435" s="33" t="str">
        <f>IFERROR(__xludf.DUMMYFUNCTION("IF(H435="""","""",IFERROR(
IF(REGEXMATCH(E435,""VELOCIDAD""),
   IF(H435&gt;=MAX(INDEX(BAREMOS!F:X,MATCH(1,(BAREMOS!A:A=A435)*(BAREMOS!B:B=B435)*(BAREMOS!C:C=C435)*(BAREMOS!D:D=D435),0),0)),1,
      IF(H435&lt;=MIN(INDEX(BAREMOS!F:X,MATCH(1,(BAREMOS!A:A=A435)*("&amp;"BAREMOS!B:B=B435)*(BAREMOS!C:C=C435)*(BAREMOS!D:D=D435),0),0)),19,
         MATCH(H435,INDEX(BAREMOS!F:X,MATCH(1,(BAREMOS!A:A=A435)*(BAREMOS!B:B=B435)*(BAREMOS!C:C=C435)*(BAREMOS!D:D=D435),0),0),-1)
      )
   ),
   IF(H435&lt;=MIN(INDEX(BAREMOS!F:X,MATCH(1,"&amp;"(BAREMOS!A:A=A435)*(BAREMOS!B:B=B435)*(BAREMOS!C:C=C435)*(BAREMOS!D:D=D435),0),0)),1,
      IF(H435&gt;=MAX(INDEX(BAREMOS!F:X,MATCH(1,(BAREMOS!A:A=A435)*(BAREMOS!B:B=B435)*(BAREMOS!C:C=C435)*(BAREMOS!D:D=D435),0),0)),19,
         MATCH(H435,INDEX(BAREMOS!F:X"&amp;",MATCH(1,(BAREMOS!A:A=A435)*(BAREMOS!B:B=B435)*(BAREMOS!C:C=C435)*(BAREMOS!D:D=D435),0),0),1)
      )
   )
)
,""""))
"),"")</f>
        <v/>
      </c>
      <c r="K435" s="34" t="str">
        <f t="shared" si="1"/>
        <v/>
      </c>
      <c r="L435" s="16"/>
      <c r="M435" s="16"/>
      <c r="N435" s="16"/>
      <c r="O435" s="16"/>
      <c r="P435" s="16"/>
      <c r="Q435" s="16"/>
      <c r="R435" s="16"/>
      <c r="S435" s="16"/>
      <c r="T435" s="16"/>
      <c r="U435" s="16"/>
      <c r="V435" s="16"/>
      <c r="W435" s="16"/>
      <c r="X435" s="16"/>
      <c r="Y435" s="16"/>
      <c r="Z435" s="16"/>
      <c r="AA435" s="16"/>
      <c r="AB435" s="16"/>
      <c r="AC435" s="16"/>
    </row>
    <row r="436">
      <c r="A436" s="22" t="str">
        <f t="array" ref="A436">IF(E436="","",IFERROR(INDEX(CONFIGURACION!C:C,MATCH(E436,CONFIGURACION!E:E,0)),""))
</f>
        <v/>
      </c>
      <c r="B436" s="22" t="str">
        <f t="array" ref="B436">IF(E436="","",IFERROR(INDEX(CONFIGURACION!D:D,MATCH(E436,CONFIGURACION!E:E,0)),""))
</f>
        <v/>
      </c>
      <c r="C436" s="31"/>
      <c r="D436" s="9"/>
      <c r="E436" s="6"/>
      <c r="F436" s="24"/>
      <c r="G436" s="9"/>
      <c r="H436" s="32"/>
      <c r="I436" s="33" t="str">
        <f>IFERROR(__xludf.DUMMYFUNCTION("IF(F436="""","""",LET(
  nombre, TRIM(F436),
  primer, REGEXEXTRACT(nombre, ""^\S+""),
  resto, TRIM(REGEXREPLACE(nombre, ""^\S+\s*"", """")),
  iniciales, IF(
    resto="""",
    """",
    TEXTJOIN("""",1,ARRAYFORMULA(LEFT(SPLIT(resto,"" ""),1) &amp; "".""))"&amp;"
  ),
  UPPER(primer) &amp; "" "" &amp; UPPER(iniciales)
))"),"")</f>
        <v/>
      </c>
      <c r="J436" s="33" t="str">
        <f>IFERROR(__xludf.DUMMYFUNCTION("IF(H436="""","""",IFERROR(
IF(REGEXMATCH(E436,""VELOCIDAD""),
   IF(H436&gt;=MAX(INDEX(BAREMOS!F:X,MATCH(1,(BAREMOS!A:A=A436)*(BAREMOS!B:B=B436)*(BAREMOS!C:C=C436)*(BAREMOS!D:D=D436),0),0)),1,
      IF(H436&lt;=MIN(INDEX(BAREMOS!F:X,MATCH(1,(BAREMOS!A:A=A436)*("&amp;"BAREMOS!B:B=B436)*(BAREMOS!C:C=C436)*(BAREMOS!D:D=D436),0),0)),19,
         MATCH(H436,INDEX(BAREMOS!F:X,MATCH(1,(BAREMOS!A:A=A436)*(BAREMOS!B:B=B436)*(BAREMOS!C:C=C436)*(BAREMOS!D:D=D436),0),0),-1)
      )
   ),
   IF(H436&lt;=MIN(INDEX(BAREMOS!F:X,MATCH(1,"&amp;"(BAREMOS!A:A=A436)*(BAREMOS!B:B=B436)*(BAREMOS!C:C=C436)*(BAREMOS!D:D=D436),0),0)),1,
      IF(H436&gt;=MAX(INDEX(BAREMOS!F:X,MATCH(1,(BAREMOS!A:A=A436)*(BAREMOS!B:B=B436)*(BAREMOS!C:C=C436)*(BAREMOS!D:D=D436),0),0)),19,
         MATCH(H436,INDEX(BAREMOS!F:X"&amp;",MATCH(1,(BAREMOS!A:A=A436)*(BAREMOS!B:B=B436)*(BAREMOS!C:C=C436)*(BAREMOS!D:D=D436),0),0),1)
      )
   )
)
,""""))
"),"")</f>
        <v/>
      </c>
      <c r="K436" s="34" t="str">
        <f t="shared" si="1"/>
        <v/>
      </c>
      <c r="L436" s="16"/>
      <c r="M436" s="16"/>
      <c r="N436" s="16"/>
      <c r="O436" s="16"/>
      <c r="P436" s="16"/>
      <c r="Q436" s="16"/>
      <c r="R436" s="16"/>
      <c r="S436" s="16"/>
      <c r="T436" s="16"/>
      <c r="U436" s="16"/>
      <c r="V436" s="16"/>
      <c r="W436" s="16"/>
      <c r="X436" s="16"/>
      <c r="Y436" s="16"/>
      <c r="Z436" s="16"/>
      <c r="AA436" s="16"/>
      <c r="AB436" s="16"/>
      <c r="AC436" s="16"/>
    </row>
    <row r="437">
      <c r="A437" s="22" t="str">
        <f t="array" ref="A437">IF(E437="","",IFERROR(INDEX(CONFIGURACION!C:C,MATCH(E437,CONFIGURACION!E:E,0)),""))
</f>
        <v/>
      </c>
      <c r="B437" s="22" t="str">
        <f t="array" ref="B437">IF(E437="","",IFERROR(INDEX(CONFIGURACION!D:D,MATCH(E437,CONFIGURACION!E:E,0)),""))
</f>
        <v/>
      </c>
      <c r="C437" s="31"/>
      <c r="D437" s="9"/>
      <c r="E437" s="6"/>
      <c r="F437" s="24"/>
      <c r="G437" s="9"/>
      <c r="H437" s="32"/>
      <c r="I437" s="33" t="str">
        <f>IFERROR(__xludf.DUMMYFUNCTION("IF(F437="""","""",LET(
  nombre, TRIM(F437),
  primer, REGEXEXTRACT(nombre, ""^\S+""),
  resto, TRIM(REGEXREPLACE(nombre, ""^\S+\s*"", """")),
  iniciales, IF(
    resto="""",
    """",
    TEXTJOIN("""",1,ARRAYFORMULA(LEFT(SPLIT(resto,"" ""),1) &amp; "".""))"&amp;"
  ),
  UPPER(primer) &amp; "" "" &amp; UPPER(iniciales)
))"),"")</f>
        <v/>
      </c>
      <c r="J437" s="33" t="str">
        <f>IFERROR(__xludf.DUMMYFUNCTION("IF(H437="""","""",IFERROR(
IF(REGEXMATCH(E437,""VELOCIDAD""),
   IF(H437&gt;=MAX(INDEX(BAREMOS!F:X,MATCH(1,(BAREMOS!A:A=A437)*(BAREMOS!B:B=B437)*(BAREMOS!C:C=C437)*(BAREMOS!D:D=D437),0),0)),1,
      IF(H437&lt;=MIN(INDEX(BAREMOS!F:X,MATCH(1,(BAREMOS!A:A=A437)*("&amp;"BAREMOS!B:B=B437)*(BAREMOS!C:C=C437)*(BAREMOS!D:D=D437),0),0)),19,
         MATCH(H437,INDEX(BAREMOS!F:X,MATCH(1,(BAREMOS!A:A=A437)*(BAREMOS!B:B=B437)*(BAREMOS!C:C=C437)*(BAREMOS!D:D=D437),0),0),-1)
      )
   ),
   IF(H437&lt;=MIN(INDEX(BAREMOS!F:X,MATCH(1,"&amp;"(BAREMOS!A:A=A437)*(BAREMOS!B:B=B437)*(BAREMOS!C:C=C437)*(BAREMOS!D:D=D437),0),0)),1,
      IF(H437&gt;=MAX(INDEX(BAREMOS!F:X,MATCH(1,(BAREMOS!A:A=A437)*(BAREMOS!B:B=B437)*(BAREMOS!C:C=C437)*(BAREMOS!D:D=D437),0),0)),19,
         MATCH(H437,INDEX(BAREMOS!F:X"&amp;",MATCH(1,(BAREMOS!A:A=A437)*(BAREMOS!B:B=B437)*(BAREMOS!C:C=C437)*(BAREMOS!D:D=D437),0),0),1)
      )
   )
)
,""""))
"),"")</f>
        <v/>
      </c>
      <c r="K437" s="34" t="str">
        <f t="shared" si="1"/>
        <v/>
      </c>
      <c r="L437" s="16"/>
      <c r="M437" s="16"/>
      <c r="N437" s="16"/>
      <c r="O437" s="16"/>
      <c r="P437" s="16"/>
      <c r="Q437" s="16"/>
      <c r="R437" s="16"/>
      <c r="S437" s="16"/>
      <c r="T437" s="16"/>
      <c r="U437" s="16"/>
      <c r="V437" s="16"/>
      <c r="W437" s="16"/>
      <c r="X437" s="16"/>
      <c r="Y437" s="16"/>
      <c r="Z437" s="16"/>
      <c r="AA437" s="16"/>
      <c r="AB437" s="16"/>
      <c r="AC437" s="16"/>
    </row>
    <row r="438">
      <c r="A438" s="22" t="str">
        <f t="array" ref="A438">IF(E438="","",IFERROR(INDEX(CONFIGURACION!C:C,MATCH(E438,CONFIGURACION!E:E,0)),""))
</f>
        <v/>
      </c>
      <c r="B438" s="22" t="str">
        <f t="array" ref="B438">IF(E438="","",IFERROR(INDEX(CONFIGURACION!D:D,MATCH(E438,CONFIGURACION!E:E,0)),""))
</f>
        <v/>
      </c>
      <c r="C438" s="31"/>
      <c r="D438" s="9"/>
      <c r="E438" s="6"/>
      <c r="F438" s="24"/>
      <c r="G438" s="9"/>
      <c r="H438" s="32"/>
      <c r="I438" s="33" t="str">
        <f>IFERROR(__xludf.DUMMYFUNCTION("IF(F438="""","""",LET(
  nombre, TRIM(F438),
  primer, REGEXEXTRACT(nombre, ""^\S+""),
  resto, TRIM(REGEXREPLACE(nombre, ""^\S+\s*"", """")),
  iniciales, IF(
    resto="""",
    """",
    TEXTJOIN("""",1,ARRAYFORMULA(LEFT(SPLIT(resto,"" ""),1) &amp; "".""))"&amp;"
  ),
  UPPER(primer) &amp; "" "" &amp; UPPER(iniciales)
))"),"")</f>
        <v/>
      </c>
      <c r="J438" s="33" t="str">
        <f>IFERROR(__xludf.DUMMYFUNCTION("IF(H438="""","""",IFERROR(
IF(REGEXMATCH(E438,""VELOCIDAD""),
   IF(H438&gt;=MAX(INDEX(BAREMOS!F:X,MATCH(1,(BAREMOS!A:A=A438)*(BAREMOS!B:B=B438)*(BAREMOS!C:C=C438)*(BAREMOS!D:D=D438),0),0)),1,
      IF(H438&lt;=MIN(INDEX(BAREMOS!F:X,MATCH(1,(BAREMOS!A:A=A438)*("&amp;"BAREMOS!B:B=B438)*(BAREMOS!C:C=C438)*(BAREMOS!D:D=D438),0),0)),19,
         MATCH(H438,INDEX(BAREMOS!F:X,MATCH(1,(BAREMOS!A:A=A438)*(BAREMOS!B:B=B438)*(BAREMOS!C:C=C438)*(BAREMOS!D:D=D438),0),0),-1)
      )
   ),
   IF(H438&lt;=MIN(INDEX(BAREMOS!F:X,MATCH(1,"&amp;"(BAREMOS!A:A=A438)*(BAREMOS!B:B=B438)*(BAREMOS!C:C=C438)*(BAREMOS!D:D=D438),0),0)),1,
      IF(H438&gt;=MAX(INDEX(BAREMOS!F:X,MATCH(1,(BAREMOS!A:A=A438)*(BAREMOS!B:B=B438)*(BAREMOS!C:C=C438)*(BAREMOS!D:D=D438),0),0)),19,
         MATCH(H438,INDEX(BAREMOS!F:X"&amp;",MATCH(1,(BAREMOS!A:A=A438)*(BAREMOS!B:B=B438)*(BAREMOS!C:C=C438)*(BAREMOS!D:D=D438),0),0),1)
      )
   )
)
,""""))
"),"")</f>
        <v/>
      </c>
      <c r="K438" s="34" t="str">
        <f t="shared" si="1"/>
        <v/>
      </c>
      <c r="L438" s="16"/>
      <c r="M438" s="16"/>
      <c r="N438" s="16"/>
      <c r="O438" s="16"/>
      <c r="P438" s="16"/>
      <c r="Q438" s="16"/>
      <c r="R438" s="16"/>
      <c r="S438" s="16"/>
      <c r="T438" s="16"/>
      <c r="U438" s="16"/>
      <c r="V438" s="16"/>
      <c r="W438" s="16"/>
      <c r="X438" s="16"/>
      <c r="Y438" s="16"/>
      <c r="Z438" s="16"/>
      <c r="AA438" s="16"/>
      <c r="AB438" s="16"/>
      <c r="AC438" s="16"/>
    </row>
    <row r="439">
      <c r="A439" s="22" t="str">
        <f t="array" ref="A439">IF(E439="","",IFERROR(INDEX(CONFIGURACION!C:C,MATCH(E439,CONFIGURACION!E:E,0)),""))
</f>
        <v/>
      </c>
      <c r="B439" s="22" t="str">
        <f t="array" ref="B439">IF(E439="","",IFERROR(INDEX(CONFIGURACION!D:D,MATCH(E439,CONFIGURACION!E:E,0)),""))
</f>
        <v/>
      </c>
      <c r="C439" s="31"/>
      <c r="D439" s="9"/>
      <c r="E439" s="6"/>
      <c r="F439" s="24"/>
      <c r="G439" s="9"/>
      <c r="H439" s="32"/>
      <c r="I439" s="33" t="str">
        <f>IFERROR(__xludf.DUMMYFUNCTION("IF(F439="""","""",LET(
  nombre, TRIM(F439),
  primer, REGEXEXTRACT(nombre, ""^\S+""),
  resto, TRIM(REGEXREPLACE(nombre, ""^\S+\s*"", """")),
  iniciales, IF(
    resto="""",
    """",
    TEXTJOIN("""",1,ARRAYFORMULA(LEFT(SPLIT(resto,"" ""),1) &amp; "".""))"&amp;"
  ),
  UPPER(primer) &amp; "" "" &amp; UPPER(iniciales)
))"),"")</f>
        <v/>
      </c>
      <c r="J439" s="33" t="str">
        <f>IFERROR(__xludf.DUMMYFUNCTION("IF(H439="""","""",IFERROR(
IF(REGEXMATCH(E439,""VELOCIDAD""),
   IF(H439&gt;=MAX(INDEX(BAREMOS!F:X,MATCH(1,(BAREMOS!A:A=A439)*(BAREMOS!B:B=B439)*(BAREMOS!C:C=C439)*(BAREMOS!D:D=D439),0),0)),1,
      IF(H439&lt;=MIN(INDEX(BAREMOS!F:X,MATCH(1,(BAREMOS!A:A=A439)*("&amp;"BAREMOS!B:B=B439)*(BAREMOS!C:C=C439)*(BAREMOS!D:D=D439),0),0)),19,
         MATCH(H439,INDEX(BAREMOS!F:X,MATCH(1,(BAREMOS!A:A=A439)*(BAREMOS!B:B=B439)*(BAREMOS!C:C=C439)*(BAREMOS!D:D=D439),0),0),-1)
      )
   ),
   IF(H439&lt;=MIN(INDEX(BAREMOS!F:X,MATCH(1,"&amp;"(BAREMOS!A:A=A439)*(BAREMOS!B:B=B439)*(BAREMOS!C:C=C439)*(BAREMOS!D:D=D439),0),0)),1,
      IF(H439&gt;=MAX(INDEX(BAREMOS!F:X,MATCH(1,(BAREMOS!A:A=A439)*(BAREMOS!B:B=B439)*(BAREMOS!C:C=C439)*(BAREMOS!D:D=D439),0),0)),19,
         MATCH(H439,INDEX(BAREMOS!F:X"&amp;",MATCH(1,(BAREMOS!A:A=A439)*(BAREMOS!B:B=B439)*(BAREMOS!C:C=C439)*(BAREMOS!D:D=D439),0),0),1)
      )
   )
)
,""""))
"),"")</f>
        <v/>
      </c>
      <c r="K439" s="34" t="str">
        <f t="shared" si="1"/>
        <v/>
      </c>
      <c r="L439" s="16"/>
      <c r="M439" s="16"/>
      <c r="N439" s="16"/>
      <c r="O439" s="16"/>
      <c r="P439" s="16"/>
      <c r="Q439" s="16"/>
      <c r="R439" s="16"/>
      <c r="S439" s="16"/>
      <c r="T439" s="16"/>
      <c r="U439" s="16"/>
      <c r="V439" s="16"/>
      <c r="W439" s="16"/>
      <c r="X439" s="16"/>
      <c r="Y439" s="16"/>
      <c r="Z439" s="16"/>
      <c r="AA439" s="16"/>
      <c r="AB439" s="16"/>
      <c r="AC439" s="16"/>
    </row>
    <row r="440">
      <c r="A440" s="22" t="str">
        <f t="array" ref="A440">IF(E440="","",IFERROR(INDEX(CONFIGURACION!C:C,MATCH(E440,CONFIGURACION!E:E,0)),""))
</f>
        <v/>
      </c>
      <c r="B440" s="22" t="str">
        <f t="array" ref="B440">IF(E440="","",IFERROR(INDEX(CONFIGURACION!D:D,MATCH(E440,CONFIGURACION!E:E,0)),""))
</f>
        <v/>
      </c>
      <c r="C440" s="31"/>
      <c r="D440" s="9"/>
      <c r="E440" s="6"/>
      <c r="F440" s="24"/>
      <c r="G440" s="9"/>
      <c r="H440" s="32"/>
      <c r="I440" s="33" t="str">
        <f>IFERROR(__xludf.DUMMYFUNCTION("IF(F440="""","""",LET(
  nombre, TRIM(F440),
  primer, REGEXEXTRACT(nombre, ""^\S+""),
  resto, TRIM(REGEXREPLACE(nombre, ""^\S+\s*"", """")),
  iniciales, IF(
    resto="""",
    """",
    TEXTJOIN("""",1,ARRAYFORMULA(LEFT(SPLIT(resto,"" ""),1) &amp; "".""))"&amp;"
  ),
  UPPER(primer) &amp; "" "" &amp; UPPER(iniciales)
))"),"")</f>
        <v/>
      </c>
      <c r="J440" s="33" t="str">
        <f>IFERROR(__xludf.DUMMYFUNCTION("IF(H440="""","""",IFERROR(
IF(REGEXMATCH(E440,""VELOCIDAD""),
   IF(H440&gt;=MAX(INDEX(BAREMOS!F:X,MATCH(1,(BAREMOS!A:A=A440)*(BAREMOS!B:B=B440)*(BAREMOS!C:C=C440)*(BAREMOS!D:D=D440),0),0)),1,
      IF(H440&lt;=MIN(INDEX(BAREMOS!F:X,MATCH(1,(BAREMOS!A:A=A440)*("&amp;"BAREMOS!B:B=B440)*(BAREMOS!C:C=C440)*(BAREMOS!D:D=D440),0),0)),19,
         MATCH(H440,INDEX(BAREMOS!F:X,MATCH(1,(BAREMOS!A:A=A440)*(BAREMOS!B:B=B440)*(BAREMOS!C:C=C440)*(BAREMOS!D:D=D440),0),0),-1)
      )
   ),
   IF(H440&lt;=MIN(INDEX(BAREMOS!F:X,MATCH(1,"&amp;"(BAREMOS!A:A=A440)*(BAREMOS!B:B=B440)*(BAREMOS!C:C=C440)*(BAREMOS!D:D=D440),0),0)),1,
      IF(H440&gt;=MAX(INDEX(BAREMOS!F:X,MATCH(1,(BAREMOS!A:A=A440)*(BAREMOS!B:B=B440)*(BAREMOS!C:C=C440)*(BAREMOS!D:D=D440),0),0)),19,
         MATCH(H440,INDEX(BAREMOS!F:X"&amp;",MATCH(1,(BAREMOS!A:A=A440)*(BAREMOS!B:B=B440)*(BAREMOS!C:C=C440)*(BAREMOS!D:D=D440),0),0),1)
      )
   )
)
,""""))
"),"")</f>
        <v/>
      </c>
      <c r="K440" s="34" t="str">
        <f t="shared" si="1"/>
        <v/>
      </c>
      <c r="L440" s="16"/>
      <c r="M440" s="16"/>
      <c r="N440" s="16"/>
      <c r="O440" s="16"/>
      <c r="P440" s="16"/>
      <c r="Q440" s="16"/>
      <c r="R440" s="16"/>
      <c r="S440" s="16"/>
      <c r="T440" s="16"/>
      <c r="U440" s="16"/>
      <c r="V440" s="16"/>
      <c r="W440" s="16"/>
      <c r="X440" s="16"/>
      <c r="Y440" s="16"/>
      <c r="Z440" s="16"/>
      <c r="AA440" s="16"/>
      <c r="AB440" s="16"/>
      <c r="AC440" s="16"/>
    </row>
    <row r="441">
      <c r="A441" s="22" t="str">
        <f t="array" ref="A441">IF(E441="","",IFERROR(INDEX(CONFIGURACION!C:C,MATCH(E441,CONFIGURACION!E:E,0)),""))
</f>
        <v/>
      </c>
      <c r="B441" s="22" t="str">
        <f t="array" ref="B441">IF(E441="","",IFERROR(INDEX(CONFIGURACION!D:D,MATCH(E441,CONFIGURACION!E:E,0)),""))
</f>
        <v/>
      </c>
      <c r="C441" s="31"/>
      <c r="D441" s="9"/>
      <c r="E441" s="6"/>
      <c r="F441" s="24"/>
      <c r="G441" s="9"/>
      <c r="H441" s="32"/>
      <c r="I441" s="33" t="str">
        <f>IFERROR(__xludf.DUMMYFUNCTION("IF(F441="""","""",LET(
  nombre, TRIM(F441),
  primer, REGEXEXTRACT(nombre, ""^\S+""),
  resto, TRIM(REGEXREPLACE(nombre, ""^\S+\s*"", """")),
  iniciales, IF(
    resto="""",
    """",
    TEXTJOIN("""",1,ARRAYFORMULA(LEFT(SPLIT(resto,"" ""),1) &amp; "".""))"&amp;"
  ),
  UPPER(primer) &amp; "" "" &amp; UPPER(iniciales)
))"),"")</f>
        <v/>
      </c>
      <c r="J441" s="33" t="str">
        <f>IFERROR(__xludf.DUMMYFUNCTION("IF(H441="""","""",IFERROR(
IF(REGEXMATCH(E441,""VELOCIDAD""),
   IF(H441&gt;=MAX(INDEX(BAREMOS!F:X,MATCH(1,(BAREMOS!A:A=A441)*(BAREMOS!B:B=B441)*(BAREMOS!C:C=C441)*(BAREMOS!D:D=D441),0),0)),1,
      IF(H441&lt;=MIN(INDEX(BAREMOS!F:X,MATCH(1,(BAREMOS!A:A=A441)*("&amp;"BAREMOS!B:B=B441)*(BAREMOS!C:C=C441)*(BAREMOS!D:D=D441),0),0)),19,
         MATCH(H441,INDEX(BAREMOS!F:X,MATCH(1,(BAREMOS!A:A=A441)*(BAREMOS!B:B=B441)*(BAREMOS!C:C=C441)*(BAREMOS!D:D=D441),0),0),-1)
      )
   ),
   IF(H441&lt;=MIN(INDEX(BAREMOS!F:X,MATCH(1,"&amp;"(BAREMOS!A:A=A441)*(BAREMOS!B:B=B441)*(BAREMOS!C:C=C441)*(BAREMOS!D:D=D441),0),0)),1,
      IF(H441&gt;=MAX(INDEX(BAREMOS!F:X,MATCH(1,(BAREMOS!A:A=A441)*(BAREMOS!B:B=B441)*(BAREMOS!C:C=C441)*(BAREMOS!D:D=D441),0),0)),19,
         MATCH(H441,INDEX(BAREMOS!F:X"&amp;",MATCH(1,(BAREMOS!A:A=A441)*(BAREMOS!B:B=B441)*(BAREMOS!C:C=C441)*(BAREMOS!D:D=D441),0),0),1)
      )
   )
)
,""""))
"),"")</f>
        <v/>
      </c>
      <c r="K441" s="34" t="str">
        <f t="shared" si="1"/>
        <v/>
      </c>
      <c r="L441" s="16"/>
      <c r="M441" s="16"/>
      <c r="N441" s="16"/>
      <c r="O441" s="16"/>
      <c r="P441" s="16"/>
      <c r="Q441" s="16"/>
      <c r="R441" s="16"/>
      <c r="S441" s="16"/>
      <c r="T441" s="16"/>
      <c r="U441" s="16"/>
      <c r="V441" s="16"/>
      <c r="W441" s="16"/>
      <c r="X441" s="16"/>
      <c r="Y441" s="16"/>
      <c r="Z441" s="16"/>
      <c r="AA441" s="16"/>
      <c r="AB441" s="16"/>
      <c r="AC441" s="16"/>
    </row>
    <row r="442">
      <c r="A442" s="22" t="str">
        <f t="array" ref="A442">IF(E442="","",IFERROR(INDEX(CONFIGURACION!C:C,MATCH(E442,CONFIGURACION!E:E,0)),""))
</f>
        <v/>
      </c>
      <c r="B442" s="22" t="str">
        <f t="array" ref="B442">IF(E442="","",IFERROR(INDEX(CONFIGURACION!D:D,MATCH(E442,CONFIGURACION!E:E,0)),""))
</f>
        <v/>
      </c>
      <c r="C442" s="31"/>
      <c r="D442" s="9"/>
      <c r="E442" s="6"/>
      <c r="F442" s="24"/>
      <c r="G442" s="9"/>
      <c r="H442" s="32"/>
      <c r="I442" s="33" t="str">
        <f>IFERROR(__xludf.DUMMYFUNCTION("IF(F442="""","""",LET(
  nombre, TRIM(F442),
  primer, REGEXEXTRACT(nombre, ""^\S+""),
  resto, TRIM(REGEXREPLACE(nombre, ""^\S+\s*"", """")),
  iniciales, IF(
    resto="""",
    """",
    TEXTJOIN("""",1,ARRAYFORMULA(LEFT(SPLIT(resto,"" ""),1) &amp; "".""))"&amp;"
  ),
  UPPER(primer) &amp; "" "" &amp; UPPER(iniciales)
))"),"")</f>
        <v/>
      </c>
      <c r="J442" s="33" t="str">
        <f>IFERROR(__xludf.DUMMYFUNCTION("IF(H442="""","""",IFERROR(
IF(REGEXMATCH(E442,""VELOCIDAD""),
   IF(H442&gt;=MAX(INDEX(BAREMOS!F:X,MATCH(1,(BAREMOS!A:A=A442)*(BAREMOS!B:B=B442)*(BAREMOS!C:C=C442)*(BAREMOS!D:D=D442),0),0)),1,
      IF(H442&lt;=MIN(INDEX(BAREMOS!F:X,MATCH(1,(BAREMOS!A:A=A442)*("&amp;"BAREMOS!B:B=B442)*(BAREMOS!C:C=C442)*(BAREMOS!D:D=D442),0),0)),19,
         MATCH(H442,INDEX(BAREMOS!F:X,MATCH(1,(BAREMOS!A:A=A442)*(BAREMOS!B:B=B442)*(BAREMOS!C:C=C442)*(BAREMOS!D:D=D442),0),0),-1)
      )
   ),
   IF(H442&lt;=MIN(INDEX(BAREMOS!F:X,MATCH(1,"&amp;"(BAREMOS!A:A=A442)*(BAREMOS!B:B=B442)*(BAREMOS!C:C=C442)*(BAREMOS!D:D=D442),0),0)),1,
      IF(H442&gt;=MAX(INDEX(BAREMOS!F:X,MATCH(1,(BAREMOS!A:A=A442)*(BAREMOS!B:B=B442)*(BAREMOS!C:C=C442)*(BAREMOS!D:D=D442),0),0)),19,
         MATCH(H442,INDEX(BAREMOS!F:X"&amp;",MATCH(1,(BAREMOS!A:A=A442)*(BAREMOS!B:B=B442)*(BAREMOS!C:C=C442)*(BAREMOS!D:D=D442),0),0),1)
      )
   )
)
,""""))
"),"")</f>
        <v/>
      </c>
      <c r="K442" s="34" t="str">
        <f t="shared" si="1"/>
        <v/>
      </c>
      <c r="L442" s="16"/>
      <c r="M442" s="16"/>
      <c r="N442" s="16"/>
      <c r="O442" s="16"/>
      <c r="P442" s="16"/>
      <c r="Q442" s="16"/>
      <c r="R442" s="16"/>
      <c r="S442" s="16"/>
      <c r="T442" s="16"/>
      <c r="U442" s="16"/>
      <c r="V442" s="16"/>
      <c r="W442" s="16"/>
      <c r="X442" s="16"/>
      <c r="Y442" s="16"/>
      <c r="Z442" s="16"/>
      <c r="AA442" s="16"/>
      <c r="AB442" s="16"/>
      <c r="AC442" s="16"/>
    </row>
    <row r="443">
      <c r="A443" s="22" t="str">
        <f t="array" ref="A443">IF(E443="","",IFERROR(INDEX(CONFIGURACION!C:C,MATCH(E443,CONFIGURACION!E:E,0)),""))
</f>
        <v/>
      </c>
      <c r="B443" s="22" t="str">
        <f t="array" ref="B443">IF(E443="","",IFERROR(INDEX(CONFIGURACION!D:D,MATCH(E443,CONFIGURACION!E:E,0)),""))
</f>
        <v/>
      </c>
      <c r="C443" s="31"/>
      <c r="D443" s="9"/>
      <c r="E443" s="6"/>
      <c r="F443" s="24"/>
      <c r="G443" s="9"/>
      <c r="H443" s="32"/>
      <c r="I443" s="33" t="str">
        <f>IFERROR(__xludf.DUMMYFUNCTION("IF(F443="""","""",LET(
  nombre, TRIM(F443),
  primer, REGEXEXTRACT(nombre, ""^\S+""),
  resto, TRIM(REGEXREPLACE(nombre, ""^\S+\s*"", """")),
  iniciales, IF(
    resto="""",
    """",
    TEXTJOIN("""",1,ARRAYFORMULA(LEFT(SPLIT(resto,"" ""),1) &amp; "".""))"&amp;"
  ),
  UPPER(primer) &amp; "" "" &amp; UPPER(iniciales)
))"),"")</f>
        <v/>
      </c>
      <c r="J443" s="33" t="str">
        <f>IFERROR(__xludf.DUMMYFUNCTION("IF(H443="""","""",IFERROR(
IF(REGEXMATCH(E443,""VELOCIDAD""),
   IF(H443&gt;=MAX(INDEX(BAREMOS!F:X,MATCH(1,(BAREMOS!A:A=A443)*(BAREMOS!B:B=B443)*(BAREMOS!C:C=C443)*(BAREMOS!D:D=D443),0),0)),1,
      IF(H443&lt;=MIN(INDEX(BAREMOS!F:X,MATCH(1,(BAREMOS!A:A=A443)*("&amp;"BAREMOS!B:B=B443)*(BAREMOS!C:C=C443)*(BAREMOS!D:D=D443),0),0)),19,
         MATCH(H443,INDEX(BAREMOS!F:X,MATCH(1,(BAREMOS!A:A=A443)*(BAREMOS!B:B=B443)*(BAREMOS!C:C=C443)*(BAREMOS!D:D=D443),0),0),-1)
      )
   ),
   IF(H443&lt;=MIN(INDEX(BAREMOS!F:X,MATCH(1,"&amp;"(BAREMOS!A:A=A443)*(BAREMOS!B:B=B443)*(BAREMOS!C:C=C443)*(BAREMOS!D:D=D443),0),0)),1,
      IF(H443&gt;=MAX(INDEX(BAREMOS!F:X,MATCH(1,(BAREMOS!A:A=A443)*(BAREMOS!B:B=B443)*(BAREMOS!C:C=C443)*(BAREMOS!D:D=D443),0),0)),19,
         MATCH(H443,INDEX(BAREMOS!F:X"&amp;",MATCH(1,(BAREMOS!A:A=A443)*(BAREMOS!B:B=B443)*(BAREMOS!C:C=C443)*(BAREMOS!D:D=D443),0),0),1)
      )
   )
)
,""""))
"),"")</f>
        <v/>
      </c>
      <c r="K443" s="34" t="str">
        <f t="shared" si="1"/>
        <v/>
      </c>
      <c r="L443" s="16"/>
      <c r="M443" s="16"/>
      <c r="N443" s="16"/>
      <c r="O443" s="16"/>
      <c r="P443" s="16"/>
      <c r="Q443" s="16"/>
      <c r="R443" s="16"/>
      <c r="S443" s="16"/>
      <c r="T443" s="16"/>
      <c r="U443" s="16"/>
      <c r="V443" s="16"/>
      <c r="W443" s="16"/>
      <c r="X443" s="16"/>
      <c r="Y443" s="16"/>
      <c r="Z443" s="16"/>
      <c r="AA443" s="16"/>
      <c r="AB443" s="16"/>
      <c r="AC443" s="16"/>
    </row>
    <row r="444">
      <c r="A444" s="22" t="str">
        <f t="array" ref="A444">IF(E444="","",IFERROR(INDEX(CONFIGURACION!C:C,MATCH(E444,CONFIGURACION!E:E,0)),""))
</f>
        <v/>
      </c>
      <c r="B444" s="22" t="str">
        <f t="array" ref="B444">IF(E444="","",IFERROR(INDEX(CONFIGURACION!D:D,MATCH(E444,CONFIGURACION!E:E,0)),""))
</f>
        <v/>
      </c>
      <c r="C444" s="31"/>
      <c r="D444" s="9"/>
      <c r="E444" s="6"/>
      <c r="F444" s="24"/>
      <c r="G444" s="9"/>
      <c r="H444" s="32"/>
      <c r="I444" s="33" t="str">
        <f>IFERROR(__xludf.DUMMYFUNCTION("IF(F444="""","""",LET(
  nombre, TRIM(F444),
  primer, REGEXEXTRACT(nombre, ""^\S+""),
  resto, TRIM(REGEXREPLACE(nombre, ""^\S+\s*"", """")),
  iniciales, IF(
    resto="""",
    """",
    TEXTJOIN("""",1,ARRAYFORMULA(LEFT(SPLIT(resto,"" ""),1) &amp; "".""))"&amp;"
  ),
  UPPER(primer) &amp; "" "" &amp; UPPER(iniciales)
))"),"")</f>
        <v/>
      </c>
      <c r="J444" s="33" t="str">
        <f>IFERROR(__xludf.DUMMYFUNCTION("IF(H444="""","""",IFERROR(
IF(REGEXMATCH(E444,""VELOCIDAD""),
   IF(H444&gt;=MAX(INDEX(BAREMOS!F:X,MATCH(1,(BAREMOS!A:A=A444)*(BAREMOS!B:B=B444)*(BAREMOS!C:C=C444)*(BAREMOS!D:D=D444),0),0)),1,
      IF(H444&lt;=MIN(INDEX(BAREMOS!F:X,MATCH(1,(BAREMOS!A:A=A444)*("&amp;"BAREMOS!B:B=B444)*(BAREMOS!C:C=C444)*(BAREMOS!D:D=D444),0),0)),19,
         MATCH(H444,INDEX(BAREMOS!F:X,MATCH(1,(BAREMOS!A:A=A444)*(BAREMOS!B:B=B444)*(BAREMOS!C:C=C444)*(BAREMOS!D:D=D444),0),0),-1)
      )
   ),
   IF(H444&lt;=MIN(INDEX(BAREMOS!F:X,MATCH(1,"&amp;"(BAREMOS!A:A=A444)*(BAREMOS!B:B=B444)*(BAREMOS!C:C=C444)*(BAREMOS!D:D=D444),0),0)),1,
      IF(H444&gt;=MAX(INDEX(BAREMOS!F:X,MATCH(1,(BAREMOS!A:A=A444)*(BAREMOS!B:B=B444)*(BAREMOS!C:C=C444)*(BAREMOS!D:D=D444),0),0)),19,
         MATCH(H444,INDEX(BAREMOS!F:X"&amp;",MATCH(1,(BAREMOS!A:A=A444)*(BAREMOS!B:B=B444)*(BAREMOS!C:C=C444)*(BAREMOS!D:D=D444),0),0),1)
      )
   )
)
,""""))
"),"")</f>
        <v/>
      </c>
      <c r="K444" s="34" t="str">
        <f t="shared" si="1"/>
        <v/>
      </c>
      <c r="L444" s="16"/>
      <c r="M444" s="16"/>
      <c r="N444" s="16"/>
      <c r="O444" s="16"/>
      <c r="P444" s="16"/>
      <c r="Q444" s="16"/>
      <c r="R444" s="16"/>
      <c r="S444" s="16"/>
      <c r="T444" s="16"/>
      <c r="U444" s="16"/>
      <c r="V444" s="16"/>
      <c r="W444" s="16"/>
      <c r="X444" s="16"/>
      <c r="Y444" s="16"/>
      <c r="Z444" s="16"/>
      <c r="AA444" s="16"/>
      <c r="AB444" s="16"/>
      <c r="AC444" s="16"/>
    </row>
    <row r="445">
      <c r="A445" s="22" t="str">
        <f t="array" ref="A445">IF(E445="","",IFERROR(INDEX(CONFIGURACION!C:C,MATCH(E445,CONFIGURACION!E:E,0)),""))
</f>
        <v/>
      </c>
      <c r="B445" s="22" t="str">
        <f t="array" ref="B445">IF(E445="","",IFERROR(INDEX(CONFIGURACION!D:D,MATCH(E445,CONFIGURACION!E:E,0)),""))
</f>
        <v/>
      </c>
      <c r="C445" s="31"/>
      <c r="D445" s="9"/>
      <c r="E445" s="6"/>
      <c r="F445" s="24"/>
      <c r="G445" s="9"/>
      <c r="H445" s="32"/>
      <c r="I445" s="33" t="str">
        <f>IFERROR(__xludf.DUMMYFUNCTION("IF(F445="""","""",LET(
  nombre, TRIM(F445),
  primer, REGEXEXTRACT(nombre, ""^\S+""),
  resto, TRIM(REGEXREPLACE(nombre, ""^\S+\s*"", """")),
  iniciales, IF(
    resto="""",
    """",
    TEXTJOIN("""",1,ARRAYFORMULA(LEFT(SPLIT(resto,"" ""),1) &amp; "".""))"&amp;"
  ),
  UPPER(primer) &amp; "" "" &amp; UPPER(iniciales)
))"),"")</f>
        <v/>
      </c>
      <c r="J445" s="33" t="str">
        <f>IFERROR(__xludf.DUMMYFUNCTION("IF(H445="""","""",IFERROR(
IF(REGEXMATCH(E445,""VELOCIDAD""),
   IF(H445&gt;=MAX(INDEX(BAREMOS!F:X,MATCH(1,(BAREMOS!A:A=A445)*(BAREMOS!B:B=B445)*(BAREMOS!C:C=C445)*(BAREMOS!D:D=D445),0),0)),1,
      IF(H445&lt;=MIN(INDEX(BAREMOS!F:X,MATCH(1,(BAREMOS!A:A=A445)*("&amp;"BAREMOS!B:B=B445)*(BAREMOS!C:C=C445)*(BAREMOS!D:D=D445),0),0)),19,
         MATCH(H445,INDEX(BAREMOS!F:X,MATCH(1,(BAREMOS!A:A=A445)*(BAREMOS!B:B=B445)*(BAREMOS!C:C=C445)*(BAREMOS!D:D=D445),0),0),-1)
      )
   ),
   IF(H445&lt;=MIN(INDEX(BAREMOS!F:X,MATCH(1,"&amp;"(BAREMOS!A:A=A445)*(BAREMOS!B:B=B445)*(BAREMOS!C:C=C445)*(BAREMOS!D:D=D445),0),0)),1,
      IF(H445&gt;=MAX(INDEX(BAREMOS!F:X,MATCH(1,(BAREMOS!A:A=A445)*(BAREMOS!B:B=B445)*(BAREMOS!C:C=C445)*(BAREMOS!D:D=D445),0),0)),19,
         MATCH(H445,INDEX(BAREMOS!F:X"&amp;",MATCH(1,(BAREMOS!A:A=A445)*(BAREMOS!B:B=B445)*(BAREMOS!C:C=C445)*(BAREMOS!D:D=D445),0),0),1)
      )
   )
)
,""""))
"),"")</f>
        <v/>
      </c>
      <c r="K445" s="34" t="str">
        <f t="shared" si="1"/>
        <v/>
      </c>
      <c r="L445" s="16"/>
      <c r="M445" s="16"/>
      <c r="N445" s="16"/>
      <c r="O445" s="16"/>
      <c r="P445" s="16"/>
      <c r="Q445" s="16"/>
      <c r="R445" s="16"/>
      <c r="S445" s="16"/>
      <c r="T445" s="16"/>
      <c r="U445" s="16"/>
      <c r="V445" s="16"/>
      <c r="W445" s="16"/>
      <c r="X445" s="16"/>
      <c r="Y445" s="16"/>
      <c r="Z445" s="16"/>
      <c r="AA445" s="16"/>
      <c r="AB445" s="16"/>
      <c r="AC445" s="16"/>
    </row>
    <row r="446">
      <c r="A446" s="22" t="str">
        <f t="array" ref="A446">IF(E446="","",IFERROR(INDEX(CONFIGURACION!C:C,MATCH(E446,CONFIGURACION!E:E,0)),""))
</f>
        <v/>
      </c>
      <c r="B446" s="22" t="str">
        <f t="array" ref="B446">IF(E446="","",IFERROR(INDEX(CONFIGURACION!D:D,MATCH(E446,CONFIGURACION!E:E,0)),""))
</f>
        <v/>
      </c>
      <c r="C446" s="31"/>
      <c r="D446" s="9"/>
      <c r="E446" s="6"/>
      <c r="F446" s="24"/>
      <c r="G446" s="9"/>
      <c r="H446" s="32"/>
      <c r="I446" s="33" t="str">
        <f>IFERROR(__xludf.DUMMYFUNCTION("IF(F446="""","""",LET(
  nombre, TRIM(F446),
  primer, REGEXEXTRACT(nombre, ""^\S+""),
  resto, TRIM(REGEXREPLACE(nombre, ""^\S+\s*"", """")),
  iniciales, IF(
    resto="""",
    """",
    TEXTJOIN("""",1,ARRAYFORMULA(LEFT(SPLIT(resto,"" ""),1) &amp; "".""))"&amp;"
  ),
  UPPER(primer) &amp; "" "" &amp; UPPER(iniciales)
))"),"")</f>
        <v/>
      </c>
      <c r="J446" s="33" t="str">
        <f>IFERROR(__xludf.DUMMYFUNCTION("IF(H446="""","""",IFERROR(
IF(REGEXMATCH(E446,""VELOCIDAD""),
   IF(H446&gt;=MAX(INDEX(BAREMOS!F:X,MATCH(1,(BAREMOS!A:A=A446)*(BAREMOS!B:B=B446)*(BAREMOS!C:C=C446)*(BAREMOS!D:D=D446),0),0)),1,
      IF(H446&lt;=MIN(INDEX(BAREMOS!F:X,MATCH(1,(BAREMOS!A:A=A446)*("&amp;"BAREMOS!B:B=B446)*(BAREMOS!C:C=C446)*(BAREMOS!D:D=D446),0),0)),19,
         MATCH(H446,INDEX(BAREMOS!F:X,MATCH(1,(BAREMOS!A:A=A446)*(BAREMOS!B:B=B446)*(BAREMOS!C:C=C446)*(BAREMOS!D:D=D446),0),0),-1)
      )
   ),
   IF(H446&lt;=MIN(INDEX(BAREMOS!F:X,MATCH(1,"&amp;"(BAREMOS!A:A=A446)*(BAREMOS!B:B=B446)*(BAREMOS!C:C=C446)*(BAREMOS!D:D=D446),0),0)),1,
      IF(H446&gt;=MAX(INDEX(BAREMOS!F:X,MATCH(1,(BAREMOS!A:A=A446)*(BAREMOS!B:B=B446)*(BAREMOS!C:C=C446)*(BAREMOS!D:D=D446),0),0)),19,
         MATCH(H446,INDEX(BAREMOS!F:X"&amp;",MATCH(1,(BAREMOS!A:A=A446)*(BAREMOS!B:B=B446)*(BAREMOS!C:C=C446)*(BAREMOS!D:D=D446),0),0),1)
      )
   )
)
,""""))
"),"")</f>
        <v/>
      </c>
      <c r="K446" s="34" t="str">
        <f t="shared" si="1"/>
        <v/>
      </c>
      <c r="L446" s="16"/>
      <c r="M446" s="16"/>
      <c r="N446" s="16"/>
      <c r="O446" s="16"/>
      <c r="P446" s="16"/>
      <c r="Q446" s="16"/>
      <c r="R446" s="16"/>
      <c r="S446" s="16"/>
      <c r="T446" s="16"/>
      <c r="U446" s="16"/>
      <c r="V446" s="16"/>
      <c r="W446" s="16"/>
      <c r="X446" s="16"/>
      <c r="Y446" s="16"/>
      <c r="Z446" s="16"/>
      <c r="AA446" s="16"/>
      <c r="AB446" s="16"/>
      <c r="AC446" s="16"/>
    </row>
    <row r="447">
      <c r="A447" s="22" t="str">
        <f t="array" ref="A447">IF(E447="","",IFERROR(INDEX(CONFIGURACION!C:C,MATCH(E447,CONFIGURACION!E:E,0)),""))
</f>
        <v/>
      </c>
      <c r="B447" s="22" t="str">
        <f t="array" ref="B447">IF(E447="","",IFERROR(INDEX(CONFIGURACION!D:D,MATCH(E447,CONFIGURACION!E:E,0)),""))
</f>
        <v/>
      </c>
      <c r="C447" s="31"/>
      <c r="D447" s="9"/>
      <c r="E447" s="6"/>
      <c r="F447" s="24"/>
      <c r="G447" s="9"/>
      <c r="H447" s="32"/>
      <c r="I447" s="33" t="str">
        <f>IFERROR(__xludf.DUMMYFUNCTION("IF(F447="""","""",LET(
  nombre, TRIM(F447),
  primer, REGEXEXTRACT(nombre, ""^\S+""),
  resto, TRIM(REGEXREPLACE(nombre, ""^\S+\s*"", """")),
  iniciales, IF(
    resto="""",
    """",
    TEXTJOIN("""",1,ARRAYFORMULA(LEFT(SPLIT(resto,"" ""),1) &amp; "".""))"&amp;"
  ),
  UPPER(primer) &amp; "" "" &amp; UPPER(iniciales)
))"),"")</f>
        <v/>
      </c>
      <c r="J447" s="33" t="str">
        <f>IFERROR(__xludf.DUMMYFUNCTION("IF(H447="""","""",IFERROR(
IF(REGEXMATCH(E447,""VELOCIDAD""),
   IF(H447&gt;=MAX(INDEX(BAREMOS!F:X,MATCH(1,(BAREMOS!A:A=A447)*(BAREMOS!B:B=B447)*(BAREMOS!C:C=C447)*(BAREMOS!D:D=D447),0),0)),1,
      IF(H447&lt;=MIN(INDEX(BAREMOS!F:X,MATCH(1,(BAREMOS!A:A=A447)*("&amp;"BAREMOS!B:B=B447)*(BAREMOS!C:C=C447)*(BAREMOS!D:D=D447),0),0)),19,
         MATCH(H447,INDEX(BAREMOS!F:X,MATCH(1,(BAREMOS!A:A=A447)*(BAREMOS!B:B=B447)*(BAREMOS!C:C=C447)*(BAREMOS!D:D=D447),0),0),-1)
      )
   ),
   IF(H447&lt;=MIN(INDEX(BAREMOS!F:X,MATCH(1,"&amp;"(BAREMOS!A:A=A447)*(BAREMOS!B:B=B447)*(BAREMOS!C:C=C447)*(BAREMOS!D:D=D447),0),0)),1,
      IF(H447&gt;=MAX(INDEX(BAREMOS!F:X,MATCH(1,(BAREMOS!A:A=A447)*(BAREMOS!B:B=B447)*(BAREMOS!C:C=C447)*(BAREMOS!D:D=D447),0),0)),19,
         MATCH(H447,INDEX(BAREMOS!F:X"&amp;",MATCH(1,(BAREMOS!A:A=A447)*(BAREMOS!B:B=B447)*(BAREMOS!C:C=C447)*(BAREMOS!D:D=D447),0),0),1)
      )
   )
)
,""""))
"),"")</f>
        <v/>
      </c>
      <c r="K447" s="34" t="str">
        <f t="shared" si="1"/>
        <v/>
      </c>
      <c r="L447" s="16"/>
      <c r="M447" s="16"/>
      <c r="N447" s="16"/>
      <c r="O447" s="16"/>
      <c r="P447" s="16"/>
      <c r="Q447" s="16"/>
      <c r="R447" s="16"/>
      <c r="S447" s="16"/>
      <c r="T447" s="16"/>
      <c r="U447" s="16"/>
      <c r="V447" s="16"/>
      <c r="W447" s="16"/>
      <c r="X447" s="16"/>
      <c r="Y447" s="16"/>
      <c r="Z447" s="16"/>
      <c r="AA447" s="16"/>
      <c r="AB447" s="16"/>
      <c r="AC447" s="16"/>
    </row>
    <row r="448">
      <c r="A448" s="22" t="str">
        <f t="array" ref="A448">IF(E448="","",IFERROR(INDEX(CONFIGURACION!C:C,MATCH(E448,CONFIGURACION!E:E,0)),""))
</f>
        <v/>
      </c>
      <c r="B448" s="22" t="str">
        <f t="array" ref="B448">IF(E448="","",IFERROR(INDEX(CONFIGURACION!D:D,MATCH(E448,CONFIGURACION!E:E,0)),""))
</f>
        <v/>
      </c>
      <c r="C448" s="31"/>
      <c r="D448" s="9"/>
      <c r="E448" s="6"/>
      <c r="F448" s="24"/>
      <c r="G448" s="9"/>
      <c r="H448" s="32"/>
      <c r="I448" s="33" t="str">
        <f>IFERROR(__xludf.DUMMYFUNCTION("IF(F448="""","""",LET(
  nombre, TRIM(F448),
  primer, REGEXEXTRACT(nombre, ""^\S+""),
  resto, TRIM(REGEXREPLACE(nombre, ""^\S+\s*"", """")),
  iniciales, IF(
    resto="""",
    """",
    TEXTJOIN("""",1,ARRAYFORMULA(LEFT(SPLIT(resto,"" ""),1) &amp; "".""))"&amp;"
  ),
  UPPER(primer) &amp; "" "" &amp; UPPER(iniciales)
))"),"")</f>
        <v/>
      </c>
      <c r="J448" s="33" t="str">
        <f>IFERROR(__xludf.DUMMYFUNCTION("IF(H448="""","""",IFERROR(
IF(REGEXMATCH(E448,""VELOCIDAD""),
   IF(H448&gt;=MAX(INDEX(BAREMOS!F:X,MATCH(1,(BAREMOS!A:A=A448)*(BAREMOS!B:B=B448)*(BAREMOS!C:C=C448)*(BAREMOS!D:D=D448),0),0)),1,
      IF(H448&lt;=MIN(INDEX(BAREMOS!F:X,MATCH(1,(BAREMOS!A:A=A448)*("&amp;"BAREMOS!B:B=B448)*(BAREMOS!C:C=C448)*(BAREMOS!D:D=D448),0),0)),19,
         MATCH(H448,INDEX(BAREMOS!F:X,MATCH(1,(BAREMOS!A:A=A448)*(BAREMOS!B:B=B448)*(BAREMOS!C:C=C448)*(BAREMOS!D:D=D448),0),0),-1)
      )
   ),
   IF(H448&lt;=MIN(INDEX(BAREMOS!F:X,MATCH(1,"&amp;"(BAREMOS!A:A=A448)*(BAREMOS!B:B=B448)*(BAREMOS!C:C=C448)*(BAREMOS!D:D=D448),0),0)),1,
      IF(H448&gt;=MAX(INDEX(BAREMOS!F:X,MATCH(1,(BAREMOS!A:A=A448)*(BAREMOS!B:B=B448)*(BAREMOS!C:C=C448)*(BAREMOS!D:D=D448),0),0)),19,
         MATCH(H448,INDEX(BAREMOS!F:X"&amp;",MATCH(1,(BAREMOS!A:A=A448)*(BAREMOS!B:B=B448)*(BAREMOS!C:C=C448)*(BAREMOS!D:D=D448),0),0),1)
      )
   )
)
,""""))
"),"")</f>
        <v/>
      </c>
      <c r="K448" s="34" t="str">
        <f t="shared" si="1"/>
        <v/>
      </c>
      <c r="L448" s="16"/>
      <c r="M448" s="16"/>
      <c r="N448" s="16"/>
      <c r="O448" s="16"/>
      <c r="P448" s="16"/>
      <c r="Q448" s="16"/>
      <c r="R448" s="16"/>
      <c r="S448" s="16"/>
      <c r="T448" s="16"/>
      <c r="U448" s="16"/>
      <c r="V448" s="16"/>
      <c r="W448" s="16"/>
      <c r="X448" s="16"/>
      <c r="Y448" s="16"/>
      <c r="Z448" s="16"/>
      <c r="AA448" s="16"/>
      <c r="AB448" s="16"/>
      <c r="AC448" s="16"/>
    </row>
    <row r="449">
      <c r="A449" s="22" t="str">
        <f t="array" ref="A449">IF(E449="","",IFERROR(INDEX(CONFIGURACION!C:C,MATCH(E449,CONFIGURACION!E:E,0)),""))
</f>
        <v/>
      </c>
      <c r="B449" s="22" t="str">
        <f t="array" ref="B449">IF(E449="","",IFERROR(INDEX(CONFIGURACION!D:D,MATCH(E449,CONFIGURACION!E:E,0)),""))
</f>
        <v/>
      </c>
      <c r="C449" s="31"/>
      <c r="D449" s="9"/>
      <c r="E449" s="6"/>
      <c r="F449" s="24"/>
      <c r="G449" s="9"/>
      <c r="H449" s="32"/>
      <c r="I449" s="33" t="str">
        <f>IFERROR(__xludf.DUMMYFUNCTION("IF(F449="""","""",LET(
  nombre, TRIM(F449),
  primer, REGEXEXTRACT(nombre, ""^\S+""),
  resto, TRIM(REGEXREPLACE(nombre, ""^\S+\s*"", """")),
  iniciales, IF(
    resto="""",
    """",
    TEXTJOIN("""",1,ARRAYFORMULA(LEFT(SPLIT(resto,"" ""),1) &amp; "".""))"&amp;"
  ),
  UPPER(primer) &amp; "" "" &amp; UPPER(iniciales)
))"),"")</f>
        <v/>
      </c>
      <c r="J449" s="33" t="str">
        <f>IFERROR(__xludf.DUMMYFUNCTION("IF(H449="""","""",IFERROR(
IF(REGEXMATCH(E449,""VELOCIDAD""),
   IF(H449&gt;=MAX(INDEX(BAREMOS!F:X,MATCH(1,(BAREMOS!A:A=A449)*(BAREMOS!B:B=B449)*(BAREMOS!C:C=C449)*(BAREMOS!D:D=D449),0),0)),1,
      IF(H449&lt;=MIN(INDEX(BAREMOS!F:X,MATCH(1,(BAREMOS!A:A=A449)*("&amp;"BAREMOS!B:B=B449)*(BAREMOS!C:C=C449)*(BAREMOS!D:D=D449),0),0)),19,
         MATCH(H449,INDEX(BAREMOS!F:X,MATCH(1,(BAREMOS!A:A=A449)*(BAREMOS!B:B=B449)*(BAREMOS!C:C=C449)*(BAREMOS!D:D=D449),0),0),-1)
      )
   ),
   IF(H449&lt;=MIN(INDEX(BAREMOS!F:X,MATCH(1,"&amp;"(BAREMOS!A:A=A449)*(BAREMOS!B:B=B449)*(BAREMOS!C:C=C449)*(BAREMOS!D:D=D449),0),0)),1,
      IF(H449&gt;=MAX(INDEX(BAREMOS!F:X,MATCH(1,(BAREMOS!A:A=A449)*(BAREMOS!B:B=B449)*(BAREMOS!C:C=C449)*(BAREMOS!D:D=D449),0),0)),19,
         MATCH(H449,INDEX(BAREMOS!F:X"&amp;",MATCH(1,(BAREMOS!A:A=A449)*(BAREMOS!B:B=B449)*(BAREMOS!C:C=C449)*(BAREMOS!D:D=D449),0),0),1)
      )
   )
)
,""""))
"),"")</f>
        <v/>
      </c>
      <c r="K449" s="34" t="str">
        <f t="shared" si="1"/>
        <v/>
      </c>
      <c r="L449" s="16"/>
      <c r="M449" s="16"/>
      <c r="N449" s="16"/>
      <c r="O449" s="16"/>
      <c r="P449" s="16"/>
      <c r="Q449" s="16"/>
      <c r="R449" s="16"/>
      <c r="S449" s="16"/>
      <c r="T449" s="16"/>
      <c r="U449" s="16"/>
      <c r="V449" s="16"/>
      <c r="W449" s="16"/>
      <c r="X449" s="16"/>
      <c r="Y449" s="16"/>
      <c r="Z449" s="16"/>
      <c r="AA449" s="16"/>
      <c r="AB449" s="16"/>
      <c r="AC449" s="16"/>
    </row>
    <row r="450">
      <c r="A450" s="22" t="str">
        <f t="array" ref="A450">IF(E450="","",IFERROR(INDEX(CONFIGURACION!C:C,MATCH(E450,CONFIGURACION!E:E,0)),""))
</f>
        <v/>
      </c>
      <c r="B450" s="22" t="str">
        <f t="array" ref="B450">IF(E450="","",IFERROR(INDEX(CONFIGURACION!D:D,MATCH(E450,CONFIGURACION!E:E,0)),""))
</f>
        <v/>
      </c>
      <c r="C450" s="31"/>
      <c r="D450" s="9"/>
      <c r="E450" s="6"/>
      <c r="F450" s="24"/>
      <c r="G450" s="9"/>
      <c r="H450" s="32"/>
      <c r="I450" s="33" t="str">
        <f>IFERROR(__xludf.DUMMYFUNCTION("IF(F450="""","""",LET(
  nombre, TRIM(F450),
  primer, REGEXEXTRACT(nombre, ""^\S+""),
  resto, TRIM(REGEXREPLACE(nombre, ""^\S+\s*"", """")),
  iniciales, IF(
    resto="""",
    """",
    TEXTJOIN("""",1,ARRAYFORMULA(LEFT(SPLIT(resto,"" ""),1) &amp; "".""))"&amp;"
  ),
  UPPER(primer) &amp; "" "" &amp; UPPER(iniciales)
))"),"")</f>
        <v/>
      </c>
      <c r="J450" s="33" t="str">
        <f>IFERROR(__xludf.DUMMYFUNCTION("IF(H450="""","""",IFERROR(
IF(REGEXMATCH(E450,""VELOCIDAD""),
   IF(H450&gt;=MAX(INDEX(BAREMOS!F:X,MATCH(1,(BAREMOS!A:A=A450)*(BAREMOS!B:B=B450)*(BAREMOS!C:C=C450)*(BAREMOS!D:D=D450),0),0)),1,
      IF(H450&lt;=MIN(INDEX(BAREMOS!F:X,MATCH(1,(BAREMOS!A:A=A450)*("&amp;"BAREMOS!B:B=B450)*(BAREMOS!C:C=C450)*(BAREMOS!D:D=D450),0),0)),19,
         MATCH(H450,INDEX(BAREMOS!F:X,MATCH(1,(BAREMOS!A:A=A450)*(BAREMOS!B:B=B450)*(BAREMOS!C:C=C450)*(BAREMOS!D:D=D450),0),0),-1)
      )
   ),
   IF(H450&lt;=MIN(INDEX(BAREMOS!F:X,MATCH(1,"&amp;"(BAREMOS!A:A=A450)*(BAREMOS!B:B=B450)*(BAREMOS!C:C=C450)*(BAREMOS!D:D=D450),0),0)),1,
      IF(H450&gt;=MAX(INDEX(BAREMOS!F:X,MATCH(1,(BAREMOS!A:A=A450)*(BAREMOS!B:B=B450)*(BAREMOS!C:C=C450)*(BAREMOS!D:D=D450),0),0)),19,
         MATCH(H450,INDEX(BAREMOS!F:X"&amp;",MATCH(1,(BAREMOS!A:A=A450)*(BAREMOS!B:B=B450)*(BAREMOS!C:C=C450)*(BAREMOS!D:D=D450),0),0),1)
      )
   )
)
,""""))
"),"")</f>
        <v/>
      </c>
      <c r="K450" s="34" t="str">
        <f t="shared" si="1"/>
        <v/>
      </c>
      <c r="L450" s="16"/>
      <c r="M450" s="16"/>
      <c r="N450" s="16"/>
      <c r="O450" s="16"/>
      <c r="P450" s="16"/>
      <c r="Q450" s="16"/>
      <c r="R450" s="16"/>
      <c r="S450" s="16"/>
      <c r="T450" s="16"/>
      <c r="U450" s="16"/>
      <c r="V450" s="16"/>
      <c r="W450" s="16"/>
      <c r="X450" s="16"/>
      <c r="Y450" s="16"/>
      <c r="Z450" s="16"/>
      <c r="AA450" s="16"/>
      <c r="AB450" s="16"/>
      <c r="AC450" s="16"/>
    </row>
    <row r="451">
      <c r="A451" s="22" t="str">
        <f t="array" ref="A451">IF(E451="","",IFERROR(INDEX(CONFIGURACION!C:C,MATCH(E451,CONFIGURACION!E:E,0)),""))
</f>
        <v/>
      </c>
      <c r="B451" s="22" t="str">
        <f t="array" ref="B451">IF(E451="","",IFERROR(INDEX(CONFIGURACION!D:D,MATCH(E451,CONFIGURACION!E:E,0)),""))
</f>
        <v/>
      </c>
      <c r="C451" s="31"/>
      <c r="D451" s="9"/>
      <c r="E451" s="6"/>
      <c r="F451" s="24"/>
      <c r="G451" s="9"/>
      <c r="H451" s="32"/>
      <c r="I451" s="33" t="str">
        <f>IFERROR(__xludf.DUMMYFUNCTION("IF(F451="""","""",LET(
  nombre, TRIM(F451),
  primer, REGEXEXTRACT(nombre, ""^\S+""),
  resto, TRIM(REGEXREPLACE(nombre, ""^\S+\s*"", """")),
  iniciales, IF(
    resto="""",
    """",
    TEXTJOIN("""",1,ARRAYFORMULA(LEFT(SPLIT(resto,"" ""),1) &amp; "".""))"&amp;"
  ),
  UPPER(primer) &amp; "" "" &amp; UPPER(iniciales)
))"),"")</f>
        <v/>
      </c>
      <c r="J451" s="33" t="str">
        <f>IFERROR(__xludf.DUMMYFUNCTION("IF(H451="""","""",IFERROR(
IF(REGEXMATCH(E451,""VELOCIDAD""),
   IF(H451&gt;=MAX(INDEX(BAREMOS!F:X,MATCH(1,(BAREMOS!A:A=A451)*(BAREMOS!B:B=B451)*(BAREMOS!C:C=C451)*(BAREMOS!D:D=D451),0),0)),1,
      IF(H451&lt;=MIN(INDEX(BAREMOS!F:X,MATCH(1,(BAREMOS!A:A=A451)*("&amp;"BAREMOS!B:B=B451)*(BAREMOS!C:C=C451)*(BAREMOS!D:D=D451),0),0)),19,
         MATCH(H451,INDEX(BAREMOS!F:X,MATCH(1,(BAREMOS!A:A=A451)*(BAREMOS!B:B=B451)*(BAREMOS!C:C=C451)*(BAREMOS!D:D=D451),0),0),-1)
      )
   ),
   IF(H451&lt;=MIN(INDEX(BAREMOS!F:X,MATCH(1,"&amp;"(BAREMOS!A:A=A451)*(BAREMOS!B:B=B451)*(BAREMOS!C:C=C451)*(BAREMOS!D:D=D451),0),0)),1,
      IF(H451&gt;=MAX(INDEX(BAREMOS!F:X,MATCH(1,(BAREMOS!A:A=A451)*(BAREMOS!B:B=B451)*(BAREMOS!C:C=C451)*(BAREMOS!D:D=D451),0),0)),19,
         MATCH(H451,INDEX(BAREMOS!F:X"&amp;",MATCH(1,(BAREMOS!A:A=A451)*(BAREMOS!B:B=B451)*(BAREMOS!C:C=C451)*(BAREMOS!D:D=D451),0),0),1)
      )
   )
)
,""""))
"),"")</f>
        <v/>
      </c>
      <c r="K451" s="34" t="str">
        <f t="shared" si="1"/>
        <v/>
      </c>
      <c r="L451" s="16"/>
      <c r="M451" s="16"/>
      <c r="N451" s="16"/>
      <c r="O451" s="16"/>
      <c r="P451" s="16"/>
      <c r="Q451" s="16"/>
      <c r="R451" s="16"/>
      <c r="S451" s="16"/>
      <c r="T451" s="16"/>
      <c r="U451" s="16"/>
      <c r="V451" s="16"/>
      <c r="W451" s="16"/>
      <c r="X451" s="16"/>
      <c r="Y451" s="16"/>
      <c r="Z451" s="16"/>
      <c r="AA451" s="16"/>
      <c r="AB451" s="16"/>
      <c r="AC451" s="16"/>
    </row>
    <row r="452">
      <c r="A452" s="22" t="str">
        <f t="array" ref="A452">IF(E452="","",IFERROR(INDEX(CONFIGURACION!C:C,MATCH(E452,CONFIGURACION!E:E,0)),""))
</f>
        <v/>
      </c>
      <c r="B452" s="22" t="str">
        <f t="array" ref="B452">IF(E452="","",IFERROR(INDEX(CONFIGURACION!D:D,MATCH(E452,CONFIGURACION!E:E,0)),""))
</f>
        <v/>
      </c>
      <c r="C452" s="31"/>
      <c r="D452" s="9"/>
      <c r="E452" s="6"/>
      <c r="F452" s="24"/>
      <c r="G452" s="9"/>
      <c r="H452" s="32"/>
      <c r="I452" s="33" t="str">
        <f>IFERROR(__xludf.DUMMYFUNCTION("IF(F452="""","""",LET(
  nombre, TRIM(F452),
  primer, REGEXEXTRACT(nombre, ""^\S+""),
  resto, TRIM(REGEXREPLACE(nombre, ""^\S+\s*"", """")),
  iniciales, IF(
    resto="""",
    """",
    TEXTJOIN("""",1,ARRAYFORMULA(LEFT(SPLIT(resto,"" ""),1) &amp; "".""))"&amp;"
  ),
  UPPER(primer) &amp; "" "" &amp; UPPER(iniciales)
))"),"")</f>
        <v/>
      </c>
      <c r="J452" s="33" t="str">
        <f>IFERROR(__xludf.DUMMYFUNCTION("IF(H452="""","""",IFERROR(
IF(REGEXMATCH(E452,""VELOCIDAD""),
   IF(H452&gt;=MAX(INDEX(BAREMOS!F:X,MATCH(1,(BAREMOS!A:A=A452)*(BAREMOS!B:B=B452)*(BAREMOS!C:C=C452)*(BAREMOS!D:D=D452),0),0)),1,
      IF(H452&lt;=MIN(INDEX(BAREMOS!F:X,MATCH(1,(BAREMOS!A:A=A452)*("&amp;"BAREMOS!B:B=B452)*(BAREMOS!C:C=C452)*(BAREMOS!D:D=D452),0),0)),19,
         MATCH(H452,INDEX(BAREMOS!F:X,MATCH(1,(BAREMOS!A:A=A452)*(BAREMOS!B:B=B452)*(BAREMOS!C:C=C452)*(BAREMOS!D:D=D452),0),0),-1)
      )
   ),
   IF(H452&lt;=MIN(INDEX(BAREMOS!F:X,MATCH(1,"&amp;"(BAREMOS!A:A=A452)*(BAREMOS!B:B=B452)*(BAREMOS!C:C=C452)*(BAREMOS!D:D=D452),0),0)),1,
      IF(H452&gt;=MAX(INDEX(BAREMOS!F:X,MATCH(1,(BAREMOS!A:A=A452)*(BAREMOS!B:B=B452)*(BAREMOS!C:C=C452)*(BAREMOS!D:D=D452),0),0)),19,
         MATCH(H452,INDEX(BAREMOS!F:X"&amp;",MATCH(1,(BAREMOS!A:A=A452)*(BAREMOS!B:B=B452)*(BAREMOS!C:C=C452)*(BAREMOS!D:D=D452),0),0),1)
      )
   )
)
,""""))
"),"")</f>
        <v/>
      </c>
      <c r="K452" s="34" t="str">
        <f t="shared" si="1"/>
        <v/>
      </c>
      <c r="L452" s="16"/>
      <c r="M452" s="16"/>
      <c r="N452" s="16"/>
      <c r="O452" s="16"/>
      <c r="P452" s="16"/>
      <c r="Q452" s="16"/>
      <c r="R452" s="16"/>
      <c r="S452" s="16"/>
      <c r="T452" s="16"/>
      <c r="U452" s="16"/>
      <c r="V452" s="16"/>
      <c r="W452" s="16"/>
      <c r="X452" s="16"/>
      <c r="Y452" s="16"/>
      <c r="Z452" s="16"/>
      <c r="AA452" s="16"/>
      <c r="AB452" s="16"/>
      <c r="AC452" s="16"/>
    </row>
    <row r="453">
      <c r="A453" s="22" t="str">
        <f t="array" ref="A453">IF(E453="","",IFERROR(INDEX(CONFIGURACION!C:C,MATCH(E453,CONFIGURACION!E:E,0)),""))
</f>
        <v/>
      </c>
      <c r="B453" s="22" t="str">
        <f t="array" ref="B453">IF(E453="","",IFERROR(INDEX(CONFIGURACION!D:D,MATCH(E453,CONFIGURACION!E:E,0)),""))
</f>
        <v/>
      </c>
      <c r="C453" s="31"/>
      <c r="D453" s="9"/>
      <c r="E453" s="6"/>
      <c r="F453" s="24"/>
      <c r="G453" s="9"/>
      <c r="H453" s="32"/>
      <c r="I453" s="33" t="str">
        <f>IFERROR(__xludf.DUMMYFUNCTION("IF(F453="""","""",LET(
  nombre, TRIM(F453),
  primer, REGEXEXTRACT(nombre, ""^\S+""),
  resto, TRIM(REGEXREPLACE(nombre, ""^\S+\s*"", """")),
  iniciales, IF(
    resto="""",
    """",
    TEXTJOIN("""",1,ARRAYFORMULA(LEFT(SPLIT(resto,"" ""),1) &amp; "".""))"&amp;"
  ),
  UPPER(primer) &amp; "" "" &amp; UPPER(iniciales)
))"),"")</f>
        <v/>
      </c>
      <c r="J453" s="33" t="str">
        <f>IFERROR(__xludf.DUMMYFUNCTION("IF(H453="""","""",IFERROR(
IF(REGEXMATCH(E453,""VELOCIDAD""),
   IF(H453&gt;=MAX(INDEX(BAREMOS!F:X,MATCH(1,(BAREMOS!A:A=A453)*(BAREMOS!B:B=B453)*(BAREMOS!C:C=C453)*(BAREMOS!D:D=D453),0),0)),1,
      IF(H453&lt;=MIN(INDEX(BAREMOS!F:X,MATCH(1,(BAREMOS!A:A=A453)*("&amp;"BAREMOS!B:B=B453)*(BAREMOS!C:C=C453)*(BAREMOS!D:D=D453),0),0)),19,
         MATCH(H453,INDEX(BAREMOS!F:X,MATCH(1,(BAREMOS!A:A=A453)*(BAREMOS!B:B=B453)*(BAREMOS!C:C=C453)*(BAREMOS!D:D=D453),0),0),-1)
      )
   ),
   IF(H453&lt;=MIN(INDEX(BAREMOS!F:X,MATCH(1,"&amp;"(BAREMOS!A:A=A453)*(BAREMOS!B:B=B453)*(BAREMOS!C:C=C453)*(BAREMOS!D:D=D453),0),0)),1,
      IF(H453&gt;=MAX(INDEX(BAREMOS!F:X,MATCH(1,(BAREMOS!A:A=A453)*(BAREMOS!B:B=B453)*(BAREMOS!C:C=C453)*(BAREMOS!D:D=D453),0),0)),19,
         MATCH(H453,INDEX(BAREMOS!F:X"&amp;",MATCH(1,(BAREMOS!A:A=A453)*(BAREMOS!B:B=B453)*(BAREMOS!C:C=C453)*(BAREMOS!D:D=D453),0),0),1)
      )
   )
)
,""""))
"),"")</f>
        <v/>
      </c>
      <c r="K453" s="34" t="str">
        <f t="shared" si="1"/>
        <v/>
      </c>
      <c r="L453" s="16"/>
      <c r="M453" s="16"/>
      <c r="N453" s="16"/>
      <c r="O453" s="16"/>
      <c r="P453" s="16"/>
      <c r="Q453" s="16"/>
      <c r="R453" s="16"/>
      <c r="S453" s="16"/>
      <c r="T453" s="16"/>
      <c r="U453" s="16"/>
      <c r="V453" s="16"/>
      <c r="W453" s="16"/>
      <c r="X453" s="16"/>
      <c r="Y453" s="16"/>
      <c r="Z453" s="16"/>
      <c r="AA453" s="16"/>
      <c r="AB453" s="16"/>
      <c r="AC453" s="16"/>
    </row>
    <row r="454">
      <c r="A454" s="22" t="str">
        <f t="array" ref="A454">IF(E454="","",IFERROR(INDEX(CONFIGURACION!C:C,MATCH(E454,CONFIGURACION!E:E,0)),""))
</f>
        <v/>
      </c>
      <c r="B454" s="22" t="str">
        <f t="array" ref="B454">IF(E454="","",IFERROR(INDEX(CONFIGURACION!D:D,MATCH(E454,CONFIGURACION!E:E,0)),""))
</f>
        <v/>
      </c>
      <c r="C454" s="31"/>
      <c r="D454" s="9"/>
      <c r="E454" s="6"/>
      <c r="F454" s="24"/>
      <c r="G454" s="9"/>
      <c r="H454" s="32"/>
      <c r="I454" s="33" t="str">
        <f>IFERROR(__xludf.DUMMYFUNCTION("IF(F454="""","""",LET(
  nombre, TRIM(F454),
  primer, REGEXEXTRACT(nombre, ""^\S+""),
  resto, TRIM(REGEXREPLACE(nombre, ""^\S+\s*"", """")),
  iniciales, IF(
    resto="""",
    """",
    TEXTJOIN("""",1,ARRAYFORMULA(LEFT(SPLIT(resto,"" ""),1) &amp; "".""))"&amp;"
  ),
  UPPER(primer) &amp; "" "" &amp; UPPER(iniciales)
))"),"")</f>
        <v/>
      </c>
      <c r="J454" s="33" t="str">
        <f>IFERROR(__xludf.DUMMYFUNCTION("IF(H454="""","""",IFERROR(
IF(REGEXMATCH(E454,""VELOCIDAD""),
   IF(H454&gt;=MAX(INDEX(BAREMOS!F:X,MATCH(1,(BAREMOS!A:A=A454)*(BAREMOS!B:B=B454)*(BAREMOS!C:C=C454)*(BAREMOS!D:D=D454),0),0)),1,
      IF(H454&lt;=MIN(INDEX(BAREMOS!F:X,MATCH(1,(BAREMOS!A:A=A454)*("&amp;"BAREMOS!B:B=B454)*(BAREMOS!C:C=C454)*(BAREMOS!D:D=D454),0),0)),19,
         MATCH(H454,INDEX(BAREMOS!F:X,MATCH(1,(BAREMOS!A:A=A454)*(BAREMOS!B:B=B454)*(BAREMOS!C:C=C454)*(BAREMOS!D:D=D454),0),0),-1)
      )
   ),
   IF(H454&lt;=MIN(INDEX(BAREMOS!F:X,MATCH(1,"&amp;"(BAREMOS!A:A=A454)*(BAREMOS!B:B=B454)*(BAREMOS!C:C=C454)*(BAREMOS!D:D=D454),0),0)),1,
      IF(H454&gt;=MAX(INDEX(BAREMOS!F:X,MATCH(1,(BAREMOS!A:A=A454)*(BAREMOS!B:B=B454)*(BAREMOS!C:C=C454)*(BAREMOS!D:D=D454),0),0)),19,
         MATCH(H454,INDEX(BAREMOS!F:X"&amp;",MATCH(1,(BAREMOS!A:A=A454)*(BAREMOS!B:B=B454)*(BAREMOS!C:C=C454)*(BAREMOS!D:D=D454),0),0),1)
      )
   )
)
,""""))
"),"")</f>
        <v/>
      </c>
      <c r="K454" s="34" t="str">
        <f t="shared" si="1"/>
        <v/>
      </c>
      <c r="L454" s="16"/>
      <c r="M454" s="16"/>
      <c r="N454" s="16"/>
      <c r="O454" s="16"/>
      <c r="P454" s="16"/>
      <c r="Q454" s="16"/>
      <c r="R454" s="16"/>
      <c r="S454" s="16"/>
      <c r="T454" s="16"/>
      <c r="U454" s="16"/>
      <c r="V454" s="16"/>
      <c r="W454" s="16"/>
      <c r="X454" s="16"/>
      <c r="Y454" s="16"/>
      <c r="Z454" s="16"/>
      <c r="AA454" s="16"/>
      <c r="AB454" s="16"/>
      <c r="AC454" s="16"/>
    </row>
    <row r="455">
      <c r="A455" s="22" t="str">
        <f t="array" ref="A455">IF(E455="","",IFERROR(INDEX(CONFIGURACION!C:C,MATCH(E455,CONFIGURACION!E:E,0)),""))
</f>
        <v/>
      </c>
      <c r="B455" s="22" t="str">
        <f t="array" ref="B455">IF(E455="","",IFERROR(INDEX(CONFIGURACION!D:D,MATCH(E455,CONFIGURACION!E:E,0)),""))
</f>
        <v/>
      </c>
      <c r="C455" s="31"/>
      <c r="D455" s="9"/>
      <c r="E455" s="6"/>
      <c r="F455" s="24"/>
      <c r="G455" s="9"/>
      <c r="H455" s="32"/>
      <c r="I455" s="33" t="str">
        <f>IFERROR(__xludf.DUMMYFUNCTION("IF(F455="""","""",LET(
  nombre, TRIM(F455),
  primer, REGEXEXTRACT(nombre, ""^\S+""),
  resto, TRIM(REGEXREPLACE(nombre, ""^\S+\s*"", """")),
  iniciales, IF(
    resto="""",
    """",
    TEXTJOIN("""",1,ARRAYFORMULA(LEFT(SPLIT(resto,"" ""),1) &amp; "".""))"&amp;"
  ),
  UPPER(primer) &amp; "" "" &amp; UPPER(iniciales)
))"),"")</f>
        <v/>
      </c>
      <c r="J455" s="33" t="str">
        <f>IFERROR(__xludf.DUMMYFUNCTION("IF(H455="""","""",IFERROR(
IF(REGEXMATCH(D455,""VELOCIDAD""),
   IF(H455&gt;=MAX(INDEX(BAREMOS!F:X,MATCH(1,(BAREMOS!A:A=A455)*(BAREMOS!B:B=B455)*(BAREMOS!C:C=C455)*(BAREMOS!D:D=D455),0),0)),1,
      IF(H455&lt;=MIN(INDEX(BAREMOS!F:X,MATCH(1,(BAREMOS!A:A=A455)*("&amp;"BAREMOS!B:B=B455)*(BAREMOS!C:C=C455)*(BAREMOS!D:D=D455),0),0)),19,
         MATCH(H455,INDEX(BAREMOS!F:X,MATCH(1,(BAREMOS!A:A=A455)*(BAREMOS!B:B=B455)*(BAREMOS!C:C=C455)*(BAREMOS!D:D=D455),0),0),-1)
      )
   ),
   IF(H455&lt;=MIN(INDEX(BAREMOS!F:X,MATCH(1,"&amp;"(BAREMOS!A:A=A455)*(BAREMOS!B:B=B455)*(BAREMOS!C:C=C455)*(BAREMOS!D:D=D455),0),0)),1,
      IF(H455&gt;=MAX(INDEX(BAREMOS!F:X,MATCH(1,(BAREMOS!A:A=A455)*(BAREMOS!B:B=B455)*(BAREMOS!C:C=C455)*(BAREMOS!D:D=D455),0),0)),19,
         MATCH(H455,INDEX(BAREMOS!F:X"&amp;",MATCH(1,(BAREMOS!A:A=A455)*(BAREMOS!B:B=B455)*(BAREMOS!C:C=C455)*(BAREMOS!D:D=D455),0),0),1)
      )
   )
)
,""""))
"),"")</f>
        <v/>
      </c>
      <c r="K455" s="34" t="str">
        <f t="shared" si="1"/>
        <v/>
      </c>
      <c r="L455" s="16"/>
      <c r="M455" s="16"/>
      <c r="N455" s="16"/>
      <c r="O455" s="16"/>
      <c r="P455" s="16"/>
      <c r="Q455" s="16"/>
      <c r="R455" s="16"/>
      <c r="S455" s="16"/>
      <c r="T455" s="16"/>
      <c r="U455" s="16"/>
      <c r="V455" s="16"/>
      <c r="W455" s="16"/>
      <c r="X455" s="16"/>
      <c r="Y455" s="16"/>
      <c r="Z455" s="16"/>
      <c r="AA455" s="16"/>
      <c r="AB455" s="16"/>
      <c r="AC455" s="16"/>
    </row>
    <row r="456">
      <c r="A456" s="22" t="str">
        <f t="array" ref="A456">IF(E456="","",IFERROR(INDEX(CONFIGURACION!C:C,MATCH(E456,CONFIGURACION!E:E,0)),""))
</f>
        <v/>
      </c>
      <c r="B456" s="22" t="str">
        <f t="array" ref="B456">IF(E456="","",IFERROR(INDEX(CONFIGURACION!D:D,MATCH(E456,CONFIGURACION!E:E,0)),""))
</f>
        <v/>
      </c>
      <c r="C456" s="31"/>
      <c r="D456" s="9"/>
      <c r="E456" s="6"/>
      <c r="F456" s="24"/>
      <c r="G456" s="9"/>
      <c r="H456" s="32"/>
      <c r="I456" s="33" t="str">
        <f>IFERROR(__xludf.DUMMYFUNCTION("IF(F456="""","""",LET(
  nombre, TRIM(F456),
  primer, REGEXEXTRACT(nombre, ""^\S+""),
  resto, TRIM(REGEXREPLACE(nombre, ""^\S+\s*"", """")),
  iniciales, IF(
    resto="""",
    """",
    TEXTJOIN("""",1,ARRAYFORMULA(LEFT(SPLIT(resto,"" ""),1) &amp; "".""))"&amp;"
  ),
  UPPER(primer) &amp; "" "" &amp; UPPER(iniciales)
))"),"")</f>
        <v/>
      </c>
      <c r="J456" s="33" t="str">
        <f>IFERROR(__xludf.DUMMYFUNCTION("IF(H456="""","""",IFERROR(
IF(REGEXMATCH(D456,""VELOCIDAD""),
   IF(H456&gt;=MAX(INDEX(BAREMOS!F:X,MATCH(1,(BAREMOS!A:A=A456)*(BAREMOS!B:B=B456)*(BAREMOS!C:C=C456)*(BAREMOS!D:D=D456),0),0)),1,
      IF(H456&lt;=MIN(INDEX(BAREMOS!F:X,MATCH(1,(BAREMOS!A:A=A456)*("&amp;"BAREMOS!B:B=B456)*(BAREMOS!C:C=C456)*(BAREMOS!D:D=D456),0),0)),19,
         MATCH(H456,INDEX(BAREMOS!F:X,MATCH(1,(BAREMOS!A:A=A456)*(BAREMOS!B:B=B456)*(BAREMOS!C:C=C456)*(BAREMOS!D:D=D456),0),0),-1)
      )
   ),
   IF(H456&lt;=MIN(INDEX(BAREMOS!F:X,MATCH(1,"&amp;"(BAREMOS!A:A=A456)*(BAREMOS!B:B=B456)*(BAREMOS!C:C=C456)*(BAREMOS!D:D=D456),0),0)),1,
      IF(H456&gt;=MAX(INDEX(BAREMOS!F:X,MATCH(1,(BAREMOS!A:A=A456)*(BAREMOS!B:B=B456)*(BAREMOS!C:C=C456)*(BAREMOS!D:D=D456),0),0)),19,
         MATCH(H456,INDEX(BAREMOS!F:X"&amp;",MATCH(1,(BAREMOS!A:A=A456)*(BAREMOS!B:B=B456)*(BAREMOS!C:C=C456)*(BAREMOS!D:D=D456),0),0),1)
      )
   )
)
,""""))
"),"")</f>
        <v/>
      </c>
      <c r="K456" s="34" t="str">
        <f t="shared" si="1"/>
        <v/>
      </c>
      <c r="L456" s="16"/>
      <c r="M456" s="16"/>
      <c r="N456" s="16"/>
      <c r="O456" s="16"/>
      <c r="P456" s="16"/>
      <c r="Q456" s="16"/>
      <c r="R456" s="16"/>
      <c r="S456" s="16"/>
      <c r="T456" s="16"/>
      <c r="U456" s="16"/>
      <c r="V456" s="16"/>
      <c r="W456" s="16"/>
      <c r="X456" s="16"/>
      <c r="Y456" s="16"/>
      <c r="Z456" s="16"/>
      <c r="AA456" s="16"/>
      <c r="AB456" s="16"/>
      <c r="AC456" s="16"/>
    </row>
    <row r="457">
      <c r="A457" s="22" t="str">
        <f t="array" ref="A457">IF(E457="","",IFERROR(INDEX(CONFIGURACION!C:C,MATCH(E457,CONFIGURACION!E:E,0)),""))
</f>
        <v/>
      </c>
      <c r="B457" s="22" t="str">
        <f t="array" ref="B457">IF(E457="","",IFERROR(INDEX(CONFIGURACION!D:D,MATCH(E457,CONFIGURACION!E:E,0)),""))
</f>
        <v/>
      </c>
      <c r="C457" s="31"/>
      <c r="D457" s="9"/>
      <c r="E457" s="6"/>
      <c r="F457" s="24"/>
      <c r="G457" s="9"/>
      <c r="H457" s="32"/>
      <c r="I457" s="33" t="str">
        <f>IFERROR(__xludf.DUMMYFUNCTION("IF(F457="""","""",LET(
  nombre, TRIM(F457),
  primer, REGEXEXTRACT(nombre, ""^\S+""),
  resto, TRIM(REGEXREPLACE(nombre, ""^\S+\s*"", """")),
  iniciales, IF(
    resto="""",
    """",
    TEXTJOIN("""",1,ARRAYFORMULA(LEFT(SPLIT(resto,"" ""),1) &amp; "".""))"&amp;"
  ),
  UPPER(primer) &amp; "" "" &amp; UPPER(iniciales)
))"),"")</f>
        <v/>
      </c>
      <c r="J457" s="33" t="str">
        <f>IFERROR(__xludf.DUMMYFUNCTION("IF(H457="""","""",IFERROR(
IF(REGEXMATCH(D457,""VELOCIDAD""),
   IF(H457&gt;=MAX(INDEX(BAREMOS!F:X,MATCH(1,(BAREMOS!A:A=A457)*(BAREMOS!B:B=B457)*(BAREMOS!C:C=C457)*(BAREMOS!D:D=D457),0),0)),1,
      IF(H457&lt;=MIN(INDEX(BAREMOS!F:X,MATCH(1,(BAREMOS!A:A=A457)*("&amp;"BAREMOS!B:B=B457)*(BAREMOS!C:C=C457)*(BAREMOS!D:D=D457),0),0)),19,
         MATCH(H457,INDEX(BAREMOS!F:X,MATCH(1,(BAREMOS!A:A=A457)*(BAREMOS!B:B=B457)*(BAREMOS!C:C=C457)*(BAREMOS!D:D=D457),0),0),-1)
      )
   ),
   IF(H457&lt;=MIN(INDEX(BAREMOS!F:X,MATCH(1,"&amp;"(BAREMOS!A:A=A457)*(BAREMOS!B:B=B457)*(BAREMOS!C:C=C457)*(BAREMOS!D:D=D457),0),0)),1,
      IF(H457&gt;=MAX(INDEX(BAREMOS!F:X,MATCH(1,(BAREMOS!A:A=A457)*(BAREMOS!B:B=B457)*(BAREMOS!C:C=C457)*(BAREMOS!D:D=D457),0),0)),19,
         MATCH(H457,INDEX(BAREMOS!F:X"&amp;",MATCH(1,(BAREMOS!A:A=A457)*(BAREMOS!B:B=B457)*(BAREMOS!C:C=C457)*(BAREMOS!D:D=D457),0),0),1)
      )
   )
)
,""""))
"),"")</f>
        <v/>
      </c>
      <c r="K457" s="34" t="str">
        <f t="shared" si="1"/>
        <v/>
      </c>
      <c r="L457" s="16"/>
      <c r="M457" s="16"/>
      <c r="N457" s="16"/>
      <c r="O457" s="16"/>
      <c r="P457" s="16"/>
      <c r="Q457" s="16"/>
      <c r="R457" s="16"/>
      <c r="S457" s="16"/>
      <c r="T457" s="16"/>
      <c r="U457" s="16"/>
      <c r="V457" s="16"/>
      <c r="W457" s="16"/>
      <c r="X457" s="16"/>
      <c r="Y457" s="16"/>
      <c r="Z457" s="16"/>
      <c r="AA457" s="16"/>
      <c r="AB457" s="16"/>
      <c r="AC457" s="16"/>
    </row>
    <row r="458">
      <c r="A458" s="22" t="str">
        <f t="array" ref="A458">IF(E458="","",IFERROR(INDEX(CONFIGURACION!C:C,MATCH(E458,CONFIGURACION!E:E,0)),""))
</f>
        <v/>
      </c>
      <c r="B458" s="22" t="str">
        <f t="array" ref="B458">IF(E458="","",IFERROR(INDEX(CONFIGURACION!D:D,MATCH(E458,CONFIGURACION!E:E,0)),""))
</f>
        <v/>
      </c>
      <c r="C458" s="31"/>
      <c r="D458" s="9"/>
      <c r="E458" s="6"/>
      <c r="F458" s="24"/>
      <c r="G458" s="9"/>
      <c r="H458" s="32"/>
      <c r="I458" s="33" t="str">
        <f>IFERROR(__xludf.DUMMYFUNCTION("IF(F458="""","""",LET(
  nombre, TRIM(F458),
  primer, REGEXEXTRACT(nombre, ""^\S+""),
  resto, TRIM(REGEXREPLACE(nombre, ""^\S+\s*"", """")),
  iniciales, IF(
    resto="""",
    """",
    TEXTJOIN("""",1,ARRAYFORMULA(LEFT(SPLIT(resto,"" ""),1) &amp; "".""))"&amp;"
  ),
  UPPER(primer) &amp; "" "" &amp; UPPER(iniciales)
))"),"")</f>
        <v/>
      </c>
      <c r="J458" s="33" t="str">
        <f>IFERROR(__xludf.DUMMYFUNCTION("IF(H458="""","""",IFERROR(
IF(REGEXMATCH(D458,""VELOCIDAD""),
   IF(H458&gt;=MAX(INDEX(BAREMOS!F:X,MATCH(1,(BAREMOS!A:A=A458)*(BAREMOS!B:B=B458)*(BAREMOS!C:C=C458)*(BAREMOS!D:D=D458),0),0)),1,
      IF(H458&lt;=MIN(INDEX(BAREMOS!F:X,MATCH(1,(BAREMOS!A:A=A458)*("&amp;"BAREMOS!B:B=B458)*(BAREMOS!C:C=C458)*(BAREMOS!D:D=D458),0),0)),19,
         MATCH(H458,INDEX(BAREMOS!F:X,MATCH(1,(BAREMOS!A:A=A458)*(BAREMOS!B:B=B458)*(BAREMOS!C:C=C458)*(BAREMOS!D:D=D458),0),0),-1)
      )
   ),
   IF(H458&lt;=MIN(INDEX(BAREMOS!F:X,MATCH(1,"&amp;"(BAREMOS!A:A=A458)*(BAREMOS!B:B=B458)*(BAREMOS!C:C=C458)*(BAREMOS!D:D=D458),0),0)),1,
      IF(H458&gt;=MAX(INDEX(BAREMOS!F:X,MATCH(1,(BAREMOS!A:A=A458)*(BAREMOS!B:B=B458)*(BAREMOS!C:C=C458)*(BAREMOS!D:D=D458),0),0)),19,
         MATCH(H458,INDEX(BAREMOS!F:X"&amp;",MATCH(1,(BAREMOS!A:A=A458)*(BAREMOS!B:B=B458)*(BAREMOS!C:C=C458)*(BAREMOS!D:D=D458),0),0),1)
      )
   )
)
,""""))
"),"")</f>
        <v/>
      </c>
      <c r="K458" s="34" t="str">
        <f t="shared" si="1"/>
        <v/>
      </c>
      <c r="L458" s="16"/>
      <c r="M458" s="16"/>
      <c r="N458" s="16"/>
      <c r="O458" s="16"/>
      <c r="P458" s="16"/>
      <c r="Q458" s="16"/>
      <c r="R458" s="16"/>
      <c r="S458" s="16"/>
      <c r="T458" s="16"/>
      <c r="U458" s="16"/>
      <c r="V458" s="16"/>
      <c r="W458" s="16"/>
      <c r="X458" s="16"/>
      <c r="Y458" s="16"/>
      <c r="Z458" s="16"/>
      <c r="AA458" s="16"/>
      <c r="AB458" s="16"/>
      <c r="AC458" s="16"/>
    </row>
    <row r="459">
      <c r="A459" s="22" t="str">
        <f t="array" ref="A459">IF(E459="","",IFERROR(INDEX(CONFIGURACION!C:C,MATCH(E459,CONFIGURACION!E:E,0)),""))
</f>
        <v/>
      </c>
      <c r="B459" s="22" t="str">
        <f t="array" ref="B459">IF(E459="","",IFERROR(INDEX(CONFIGURACION!D:D,MATCH(E459,CONFIGURACION!E:E,0)),""))
</f>
        <v/>
      </c>
      <c r="C459" s="31"/>
      <c r="D459" s="9"/>
      <c r="E459" s="6"/>
      <c r="F459" s="24"/>
      <c r="G459" s="9"/>
      <c r="H459" s="32"/>
      <c r="I459" s="33" t="str">
        <f>IFERROR(__xludf.DUMMYFUNCTION("IF(F459="""","""",LET(
  nombre, TRIM(F459),
  primer, REGEXEXTRACT(nombre, ""^\S+""),
  resto, TRIM(REGEXREPLACE(nombre, ""^\S+\s*"", """")),
  iniciales, IF(
    resto="""",
    """",
    TEXTJOIN("""",1,ARRAYFORMULA(LEFT(SPLIT(resto,"" ""),1) &amp; "".""))"&amp;"
  ),
  UPPER(primer) &amp; "" "" &amp; UPPER(iniciales)
))"),"")</f>
        <v/>
      </c>
      <c r="J459" s="33" t="str">
        <f>IFERROR(__xludf.DUMMYFUNCTION("IF(H459="""","""",IFERROR(
IF(REGEXMATCH(D459,""VELOCIDAD""),
   IF(H459&gt;=MAX(INDEX(BAREMOS!F:X,MATCH(1,(BAREMOS!A:A=A459)*(BAREMOS!B:B=B459)*(BAREMOS!C:C=C459)*(BAREMOS!D:D=D459),0),0)),1,
      IF(H459&lt;=MIN(INDEX(BAREMOS!F:X,MATCH(1,(BAREMOS!A:A=A459)*("&amp;"BAREMOS!B:B=B459)*(BAREMOS!C:C=C459)*(BAREMOS!D:D=D459),0),0)),19,
         MATCH(H459,INDEX(BAREMOS!F:X,MATCH(1,(BAREMOS!A:A=A459)*(BAREMOS!B:B=B459)*(BAREMOS!C:C=C459)*(BAREMOS!D:D=D459),0),0),-1)
      )
   ),
   IF(H459&lt;=MIN(INDEX(BAREMOS!F:X,MATCH(1,"&amp;"(BAREMOS!A:A=A459)*(BAREMOS!B:B=B459)*(BAREMOS!C:C=C459)*(BAREMOS!D:D=D459),0),0)),1,
      IF(H459&gt;=MAX(INDEX(BAREMOS!F:X,MATCH(1,(BAREMOS!A:A=A459)*(BAREMOS!B:B=B459)*(BAREMOS!C:C=C459)*(BAREMOS!D:D=D459),0),0)),19,
         MATCH(H459,INDEX(BAREMOS!F:X"&amp;",MATCH(1,(BAREMOS!A:A=A459)*(BAREMOS!B:B=B459)*(BAREMOS!C:C=C459)*(BAREMOS!D:D=D459),0),0),1)
      )
   )
)
,""""))
"),"")</f>
        <v/>
      </c>
      <c r="K459" s="34" t="str">
        <f t="shared" si="1"/>
        <v/>
      </c>
      <c r="L459" s="16"/>
      <c r="M459" s="16"/>
      <c r="N459" s="16"/>
      <c r="O459" s="16"/>
      <c r="P459" s="16"/>
      <c r="Q459" s="16"/>
      <c r="R459" s="16"/>
      <c r="S459" s="16"/>
      <c r="T459" s="16"/>
      <c r="U459" s="16"/>
      <c r="V459" s="16"/>
      <c r="W459" s="16"/>
      <c r="X459" s="16"/>
      <c r="Y459" s="16"/>
      <c r="Z459" s="16"/>
      <c r="AA459" s="16"/>
      <c r="AB459" s="16"/>
      <c r="AC459" s="16"/>
    </row>
    <row r="460">
      <c r="A460" s="22" t="str">
        <f t="array" ref="A460">IF(E460="","",IFERROR(INDEX(CONFIGURACION!C:C,MATCH(E460,CONFIGURACION!E:E,0)),""))
</f>
        <v/>
      </c>
      <c r="B460" s="22" t="str">
        <f t="array" ref="B460">IF(E460="","",IFERROR(INDEX(CONFIGURACION!D:D,MATCH(E460,CONFIGURACION!E:E,0)),""))
</f>
        <v/>
      </c>
      <c r="C460" s="31"/>
      <c r="D460" s="9"/>
      <c r="E460" s="6"/>
      <c r="F460" s="24"/>
      <c r="G460" s="9"/>
      <c r="H460" s="32"/>
      <c r="I460" s="33" t="str">
        <f>IFERROR(__xludf.DUMMYFUNCTION("IF(F460="""","""",LET(
  nombre, TRIM(F460),
  primer, REGEXEXTRACT(nombre, ""^\S+""),
  resto, TRIM(REGEXREPLACE(nombre, ""^\S+\s*"", """")),
  iniciales, IF(
    resto="""",
    """",
    TEXTJOIN("""",1,ARRAYFORMULA(LEFT(SPLIT(resto,"" ""),1) &amp; "".""))"&amp;"
  ),
  UPPER(primer) &amp; "" "" &amp; UPPER(iniciales)
))"),"")</f>
        <v/>
      </c>
      <c r="J460" s="33" t="str">
        <f>IFERROR(__xludf.DUMMYFUNCTION("IF(H460="""","""",IFERROR(
IF(REGEXMATCH(D460,""VELOCIDAD""),
   IF(H460&gt;=MAX(INDEX(BAREMOS!F:X,MATCH(1,(BAREMOS!A:A=A460)*(BAREMOS!B:B=B460)*(BAREMOS!C:C=C460)*(BAREMOS!D:D=D460),0),0)),1,
      IF(H460&lt;=MIN(INDEX(BAREMOS!F:X,MATCH(1,(BAREMOS!A:A=A460)*("&amp;"BAREMOS!B:B=B460)*(BAREMOS!C:C=C460)*(BAREMOS!D:D=D460),0),0)),19,
         MATCH(H460,INDEX(BAREMOS!F:X,MATCH(1,(BAREMOS!A:A=A460)*(BAREMOS!B:B=B460)*(BAREMOS!C:C=C460)*(BAREMOS!D:D=D460),0),0),-1)
      )
   ),
   IF(H460&lt;=MIN(INDEX(BAREMOS!F:X,MATCH(1,"&amp;"(BAREMOS!A:A=A460)*(BAREMOS!B:B=B460)*(BAREMOS!C:C=C460)*(BAREMOS!D:D=D460),0),0)),1,
      IF(H460&gt;=MAX(INDEX(BAREMOS!F:X,MATCH(1,(BAREMOS!A:A=A460)*(BAREMOS!B:B=B460)*(BAREMOS!C:C=C460)*(BAREMOS!D:D=D460),0),0)),19,
         MATCH(H460,INDEX(BAREMOS!F:X"&amp;",MATCH(1,(BAREMOS!A:A=A460)*(BAREMOS!B:B=B460)*(BAREMOS!C:C=C460)*(BAREMOS!D:D=D460),0),0),1)
      )
   )
)
,""""))
"),"")</f>
        <v/>
      </c>
      <c r="K460" s="34" t="str">
        <f t="shared" si="1"/>
        <v/>
      </c>
      <c r="L460" s="16"/>
      <c r="M460" s="16"/>
      <c r="N460" s="16"/>
      <c r="O460" s="16"/>
      <c r="P460" s="16"/>
      <c r="Q460" s="16"/>
      <c r="R460" s="16"/>
      <c r="S460" s="16"/>
      <c r="T460" s="16"/>
      <c r="U460" s="16"/>
      <c r="V460" s="16"/>
      <c r="W460" s="16"/>
      <c r="X460" s="16"/>
      <c r="Y460" s="16"/>
      <c r="Z460" s="16"/>
      <c r="AA460" s="16"/>
      <c r="AB460" s="16"/>
      <c r="AC460" s="16"/>
    </row>
    <row r="461">
      <c r="A461" s="22" t="str">
        <f t="array" ref="A461">IF(E461="","",IFERROR(INDEX(CONFIGURACION!C:C,MATCH(E461,CONFIGURACION!E:E,0)),""))
</f>
        <v/>
      </c>
      <c r="B461" s="22" t="str">
        <f t="array" ref="B461">IF(E461="","",IFERROR(INDEX(CONFIGURACION!D:D,MATCH(E461,CONFIGURACION!E:E,0)),""))
</f>
        <v/>
      </c>
      <c r="C461" s="31"/>
      <c r="D461" s="9"/>
      <c r="E461" s="6"/>
      <c r="F461" s="24"/>
      <c r="G461" s="9"/>
      <c r="H461" s="32"/>
      <c r="I461" s="33" t="str">
        <f>IFERROR(__xludf.DUMMYFUNCTION("IF(F461="""","""",LET(
  nombre, TRIM(F461),
  primer, REGEXEXTRACT(nombre, ""^\S+""),
  resto, TRIM(REGEXREPLACE(nombre, ""^\S+\s*"", """")),
  iniciales, IF(
    resto="""",
    """",
    TEXTJOIN("""",1,ARRAYFORMULA(LEFT(SPLIT(resto,"" ""),1) &amp; "".""))"&amp;"
  ),
  UPPER(primer) &amp; "" "" &amp; UPPER(iniciales)
))"),"")</f>
        <v/>
      </c>
      <c r="J461" s="33" t="str">
        <f>IFERROR(__xludf.DUMMYFUNCTION("IF(H461="""","""",IFERROR(
IF(REGEXMATCH(D461,""VELOCIDAD""),
   IF(H461&gt;=MAX(INDEX(BAREMOS!F:X,MATCH(1,(BAREMOS!A:A=A461)*(BAREMOS!B:B=B461)*(BAREMOS!C:C=C461)*(BAREMOS!D:D=D461),0),0)),1,
      IF(H461&lt;=MIN(INDEX(BAREMOS!F:X,MATCH(1,(BAREMOS!A:A=A461)*("&amp;"BAREMOS!B:B=B461)*(BAREMOS!C:C=C461)*(BAREMOS!D:D=D461),0),0)),19,
         MATCH(H461,INDEX(BAREMOS!F:X,MATCH(1,(BAREMOS!A:A=A461)*(BAREMOS!B:B=B461)*(BAREMOS!C:C=C461)*(BAREMOS!D:D=D461),0),0),-1)
      )
   ),
   IF(H461&lt;=MIN(INDEX(BAREMOS!F:X,MATCH(1,"&amp;"(BAREMOS!A:A=A461)*(BAREMOS!B:B=B461)*(BAREMOS!C:C=C461)*(BAREMOS!D:D=D461),0),0)),1,
      IF(H461&gt;=MAX(INDEX(BAREMOS!F:X,MATCH(1,(BAREMOS!A:A=A461)*(BAREMOS!B:B=B461)*(BAREMOS!C:C=C461)*(BAREMOS!D:D=D461),0),0)),19,
         MATCH(H461,INDEX(BAREMOS!F:X"&amp;",MATCH(1,(BAREMOS!A:A=A461)*(BAREMOS!B:B=B461)*(BAREMOS!C:C=C461)*(BAREMOS!D:D=D461),0),0),1)
      )
   )
)
,""""))
"),"")</f>
        <v/>
      </c>
      <c r="K461" s="34" t="str">
        <f t="shared" si="1"/>
        <v/>
      </c>
      <c r="L461" s="16"/>
      <c r="M461" s="16"/>
      <c r="N461" s="16"/>
      <c r="O461" s="16"/>
      <c r="P461" s="16"/>
      <c r="Q461" s="16"/>
      <c r="R461" s="16"/>
      <c r="S461" s="16"/>
      <c r="T461" s="16"/>
      <c r="U461" s="16"/>
      <c r="V461" s="16"/>
      <c r="W461" s="16"/>
      <c r="X461" s="16"/>
      <c r="Y461" s="16"/>
      <c r="Z461" s="16"/>
      <c r="AA461" s="16"/>
      <c r="AB461" s="16"/>
      <c r="AC461" s="16"/>
    </row>
    <row r="462">
      <c r="A462" s="22" t="str">
        <f t="array" ref="A462">IF(E462="","",IFERROR(INDEX(CONFIGURACION!C:C,MATCH(E462,CONFIGURACION!E:E,0)),""))
</f>
        <v/>
      </c>
      <c r="B462" s="22" t="str">
        <f t="array" ref="B462">IF(E462="","",IFERROR(INDEX(CONFIGURACION!D:D,MATCH(E462,CONFIGURACION!E:E,0)),""))
</f>
        <v/>
      </c>
      <c r="C462" s="31"/>
      <c r="D462" s="9"/>
      <c r="E462" s="6"/>
      <c r="F462" s="24"/>
      <c r="G462" s="9"/>
      <c r="H462" s="32"/>
      <c r="I462" s="33" t="str">
        <f>IFERROR(__xludf.DUMMYFUNCTION("IF(F462="""","""",LET(
  nombre, TRIM(F462),
  primer, REGEXEXTRACT(nombre, ""^\S+""),
  resto, TRIM(REGEXREPLACE(nombre, ""^\S+\s*"", """")),
  iniciales, IF(
    resto="""",
    """",
    TEXTJOIN("""",1,ARRAYFORMULA(LEFT(SPLIT(resto,"" ""),1) &amp; "".""))"&amp;"
  ),
  UPPER(primer) &amp; "" "" &amp; UPPER(iniciales)
))"),"")</f>
        <v/>
      </c>
      <c r="J462" s="33" t="str">
        <f>IFERROR(__xludf.DUMMYFUNCTION("IF(H462="""","""",IFERROR(
IF(REGEXMATCH(D462,""VELOCIDAD""),
   IF(H462&gt;=MAX(INDEX(BAREMOS!F:X,MATCH(1,(BAREMOS!A:A=A462)*(BAREMOS!B:B=B462)*(BAREMOS!C:C=C462)*(BAREMOS!D:D=D462),0),0)),1,
      IF(H462&lt;=MIN(INDEX(BAREMOS!F:X,MATCH(1,(BAREMOS!A:A=A462)*("&amp;"BAREMOS!B:B=B462)*(BAREMOS!C:C=C462)*(BAREMOS!D:D=D462),0),0)),19,
         MATCH(H462,INDEX(BAREMOS!F:X,MATCH(1,(BAREMOS!A:A=A462)*(BAREMOS!B:B=B462)*(BAREMOS!C:C=C462)*(BAREMOS!D:D=D462),0),0),-1)
      )
   ),
   IF(H462&lt;=MIN(INDEX(BAREMOS!F:X,MATCH(1,"&amp;"(BAREMOS!A:A=A462)*(BAREMOS!B:B=B462)*(BAREMOS!C:C=C462)*(BAREMOS!D:D=D462),0),0)),1,
      IF(H462&gt;=MAX(INDEX(BAREMOS!F:X,MATCH(1,(BAREMOS!A:A=A462)*(BAREMOS!B:B=B462)*(BAREMOS!C:C=C462)*(BAREMOS!D:D=D462),0),0)),19,
         MATCH(H462,INDEX(BAREMOS!F:X"&amp;",MATCH(1,(BAREMOS!A:A=A462)*(BAREMOS!B:B=B462)*(BAREMOS!C:C=C462)*(BAREMOS!D:D=D462),0),0),1)
      )
   )
)
,""""))
"),"")</f>
        <v/>
      </c>
      <c r="K462" s="34" t="str">
        <f t="shared" si="1"/>
        <v/>
      </c>
      <c r="L462" s="16"/>
      <c r="M462" s="16"/>
      <c r="N462" s="16"/>
      <c r="O462" s="16"/>
      <c r="P462" s="16"/>
      <c r="Q462" s="16"/>
      <c r="R462" s="16"/>
      <c r="S462" s="16"/>
      <c r="T462" s="16"/>
      <c r="U462" s="16"/>
      <c r="V462" s="16"/>
      <c r="W462" s="16"/>
      <c r="X462" s="16"/>
      <c r="Y462" s="16"/>
      <c r="Z462" s="16"/>
      <c r="AA462" s="16"/>
      <c r="AB462" s="16"/>
      <c r="AC462" s="16"/>
    </row>
    <row r="463">
      <c r="A463" s="22" t="str">
        <f t="array" ref="A463">IF(E463="","",IFERROR(INDEX(CONFIGURACION!C:C,MATCH(E463,CONFIGURACION!E:E,0)),""))
</f>
        <v/>
      </c>
      <c r="B463" s="22" t="str">
        <f t="array" ref="B463">IF(E463="","",IFERROR(INDEX(CONFIGURACION!D:D,MATCH(E463,CONFIGURACION!E:E,0)),""))
</f>
        <v/>
      </c>
      <c r="C463" s="31"/>
      <c r="D463" s="9"/>
      <c r="E463" s="6"/>
      <c r="F463" s="24"/>
      <c r="G463" s="9"/>
      <c r="H463" s="32"/>
      <c r="I463" s="33" t="str">
        <f>IFERROR(__xludf.DUMMYFUNCTION("IF(F463="""","""",LET(
  nombre, TRIM(F463),
  primer, REGEXEXTRACT(nombre, ""^\S+""),
  resto, TRIM(REGEXREPLACE(nombre, ""^\S+\s*"", """")),
  iniciales, IF(
    resto="""",
    """",
    TEXTJOIN("""",1,ARRAYFORMULA(LEFT(SPLIT(resto,"" ""),1) &amp; "".""))"&amp;"
  ),
  UPPER(primer) &amp; "" "" &amp; UPPER(iniciales)
))"),"")</f>
        <v/>
      </c>
      <c r="J463" s="33" t="str">
        <f>IFERROR(__xludf.DUMMYFUNCTION("IF(H463="""","""",IFERROR(
IF(REGEXMATCH(D463,""VELOCIDAD""),
   IF(H463&gt;=MAX(INDEX(BAREMOS!F:X,MATCH(1,(BAREMOS!A:A=A463)*(BAREMOS!B:B=B463)*(BAREMOS!C:C=C463)*(BAREMOS!D:D=D463),0),0)),1,
      IF(H463&lt;=MIN(INDEX(BAREMOS!F:X,MATCH(1,(BAREMOS!A:A=A463)*("&amp;"BAREMOS!B:B=B463)*(BAREMOS!C:C=C463)*(BAREMOS!D:D=D463),0),0)),19,
         MATCH(H463,INDEX(BAREMOS!F:X,MATCH(1,(BAREMOS!A:A=A463)*(BAREMOS!B:B=B463)*(BAREMOS!C:C=C463)*(BAREMOS!D:D=D463),0),0),-1)
      )
   ),
   IF(H463&lt;=MIN(INDEX(BAREMOS!F:X,MATCH(1,"&amp;"(BAREMOS!A:A=A463)*(BAREMOS!B:B=B463)*(BAREMOS!C:C=C463)*(BAREMOS!D:D=D463),0),0)),1,
      IF(H463&gt;=MAX(INDEX(BAREMOS!F:X,MATCH(1,(BAREMOS!A:A=A463)*(BAREMOS!B:B=B463)*(BAREMOS!C:C=C463)*(BAREMOS!D:D=D463),0),0)),19,
         MATCH(H463,INDEX(BAREMOS!F:X"&amp;",MATCH(1,(BAREMOS!A:A=A463)*(BAREMOS!B:B=B463)*(BAREMOS!C:C=C463)*(BAREMOS!D:D=D463),0),0),1)
      )
   )
)
,""""))
"),"")</f>
        <v/>
      </c>
      <c r="K463" s="34" t="str">
        <f t="shared" si="1"/>
        <v/>
      </c>
      <c r="L463" s="16"/>
      <c r="M463" s="16"/>
      <c r="N463" s="16"/>
      <c r="O463" s="16"/>
      <c r="P463" s="16"/>
      <c r="Q463" s="16"/>
      <c r="R463" s="16"/>
      <c r="S463" s="16"/>
      <c r="T463" s="16"/>
      <c r="U463" s="16"/>
      <c r="V463" s="16"/>
      <c r="W463" s="16"/>
      <c r="X463" s="16"/>
      <c r="Y463" s="16"/>
      <c r="Z463" s="16"/>
      <c r="AA463" s="16"/>
      <c r="AB463" s="16"/>
      <c r="AC463" s="16"/>
    </row>
    <row r="464">
      <c r="A464" s="22" t="str">
        <f t="array" ref="A464">IF(E464="","",IFERROR(INDEX(CONFIGURACION!C:C,MATCH(E464,CONFIGURACION!E:E,0)),""))
</f>
        <v/>
      </c>
      <c r="B464" s="22" t="str">
        <f t="array" ref="B464">IF(E464="","",IFERROR(INDEX(CONFIGURACION!D:D,MATCH(E464,CONFIGURACION!E:E,0)),""))
</f>
        <v/>
      </c>
      <c r="C464" s="31"/>
      <c r="D464" s="9"/>
      <c r="E464" s="6"/>
      <c r="F464" s="24"/>
      <c r="G464" s="9"/>
      <c r="H464" s="32"/>
      <c r="I464" s="33" t="str">
        <f>IFERROR(__xludf.DUMMYFUNCTION("IF(F464="""","""",LET(
  nombre, TRIM(F464),
  primer, REGEXEXTRACT(nombre, ""^\S+""),
  resto, TRIM(REGEXREPLACE(nombre, ""^\S+\s*"", """")),
  iniciales, IF(
    resto="""",
    """",
    TEXTJOIN("""",1,ARRAYFORMULA(LEFT(SPLIT(resto,"" ""),1) &amp; "".""))"&amp;"
  ),
  UPPER(primer) &amp; "" "" &amp; UPPER(iniciales)
))"),"")</f>
        <v/>
      </c>
      <c r="J464" s="33" t="str">
        <f>IFERROR(__xludf.DUMMYFUNCTION("IF(H464="""","""",IFERROR(
IF(REGEXMATCH(D464,""VELOCIDAD""),
   IF(H464&gt;=MAX(INDEX(BAREMOS!F:X,MATCH(1,(BAREMOS!A:A=A464)*(BAREMOS!B:B=B464)*(BAREMOS!C:C=C464)*(BAREMOS!D:D=D464),0),0)),1,
      IF(H464&lt;=MIN(INDEX(BAREMOS!F:X,MATCH(1,(BAREMOS!A:A=A464)*("&amp;"BAREMOS!B:B=B464)*(BAREMOS!C:C=C464)*(BAREMOS!D:D=D464),0),0)),19,
         MATCH(H464,INDEX(BAREMOS!F:X,MATCH(1,(BAREMOS!A:A=A464)*(BAREMOS!B:B=B464)*(BAREMOS!C:C=C464)*(BAREMOS!D:D=D464),0),0),-1)
      )
   ),
   IF(H464&lt;=MIN(INDEX(BAREMOS!F:X,MATCH(1,"&amp;"(BAREMOS!A:A=A464)*(BAREMOS!B:B=B464)*(BAREMOS!C:C=C464)*(BAREMOS!D:D=D464),0),0)),1,
      IF(H464&gt;=MAX(INDEX(BAREMOS!F:X,MATCH(1,(BAREMOS!A:A=A464)*(BAREMOS!B:B=B464)*(BAREMOS!C:C=C464)*(BAREMOS!D:D=D464),0),0)),19,
         MATCH(H464,INDEX(BAREMOS!F:X"&amp;",MATCH(1,(BAREMOS!A:A=A464)*(BAREMOS!B:B=B464)*(BAREMOS!C:C=C464)*(BAREMOS!D:D=D464),0),0),1)
      )
   )
)
,""""))
"),"")</f>
        <v/>
      </c>
      <c r="K464" s="34" t="str">
        <f t="shared" si="1"/>
        <v/>
      </c>
      <c r="L464" s="16"/>
      <c r="M464" s="16"/>
      <c r="N464" s="16"/>
      <c r="O464" s="16"/>
      <c r="P464" s="16"/>
      <c r="Q464" s="16"/>
      <c r="R464" s="16"/>
      <c r="S464" s="16"/>
      <c r="T464" s="16"/>
      <c r="U464" s="16"/>
      <c r="V464" s="16"/>
      <c r="W464" s="16"/>
      <c r="X464" s="16"/>
      <c r="Y464" s="16"/>
      <c r="Z464" s="16"/>
      <c r="AA464" s="16"/>
      <c r="AB464" s="16"/>
      <c r="AC464" s="16"/>
    </row>
    <row r="465">
      <c r="A465" s="22" t="str">
        <f t="array" ref="A465">IF(E465="","",IFERROR(INDEX(CONFIGURACION!C:C,MATCH(E465,CONFIGURACION!E:E,0)),""))
</f>
        <v/>
      </c>
      <c r="B465" s="22" t="str">
        <f t="array" ref="B465">IF(E465="","",IFERROR(INDEX(CONFIGURACION!D:D,MATCH(E465,CONFIGURACION!E:E,0)),""))
</f>
        <v/>
      </c>
      <c r="C465" s="31"/>
      <c r="D465" s="9"/>
      <c r="E465" s="6"/>
      <c r="F465" s="24"/>
      <c r="G465" s="9"/>
      <c r="H465" s="32"/>
      <c r="I465" s="33" t="str">
        <f>IFERROR(__xludf.DUMMYFUNCTION("IF(F465="""","""",LET(
  nombre, TRIM(F465),
  primer, REGEXEXTRACT(nombre, ""^\S+""),
  resto, TRIM(REGEXREPLACE(nombre, ""^\S+\s*"", """")),
  iniciales, IF(
    resto="""",
    """",
    TEXTJOIN("""",1,ARRAYFORMULA(LEFT(SPLIT(resto,"" ""),1) &amp; "".""))"&amp;"
  ),
  UPPER(primer) &amp; "" "" &amp; UPPER(iniciales)
))"),"")</f>
        <v/>
      </c>
      <c r="J465" s="33" t="str">
        <f>IFERROR(__xludf.DUMMYFUNCTION("IF(H465="""","""",IFERROR(
IF(REGEXMATCH(D465,""VELOCIDAD""),
   IF(H465&gt;=MAX(INDEX(BAREMOS!F:X,MATCH(1,(BAREMOS!A:A=A465)*(BAREMOS!B:B=B465)*(BAREMOS!C:C=C465)*(BAREMOS!D:D=D465),0),0)),1,
      IF(H465&lt;=MIN(INDEX(BAREMOS!F:X,MATCH(1,(BAREMOS!A:A=A465)*("&amp;"BAREMOS!B:B=B465)*(BAREMOS!C:C=C465)*(BAREMOS!D:D=D465),0),0)),19,
         MATCH(H465,INDEX(BAREMOS!F:X,MATCH(1,(BAREMOS!A:A=A465)*(BAREMOS!B:B=B465)*(BAREMOS!C:C=C465)*(BAREMOS!D:D=D465),0),0),-1)
      )
   ),
   IF(H465&lt;=MIN(INDEX(BAREMOS!F:X,MATCH(1,"&amp;"(BAREMOS!A:A=A465)*(BAREMOS!B:B=B465)*(BAREMOS!C:C=C465)*(BAREMOS!D:D=D465),0),0)),1,
      IF(H465&gt;=MAX(INDEX(BAREMOS!F:X,MATCH(1,(BAREMOS!A:A=A465)*(BAREMOS!B:B=B465)*(BAREMOS!C:C=C465)*(BAREMOS!D:D=D465),0),0)),19,
         MATCH(H465,INDEX(BAREMOS!F:X"&amp;",MATCH(1,(BAREMOS!A:A=A465)*(BAREMOS!B:B=B465)*(BAREMOS!C:C=C465)*(BAREMOS!D:D=D465),0),0),1)
      )
   )
)
,""""))
"),"")</f>
        <v/>
      </c>
      <c r="K465" s="34" t="str">
        <f t="shared" si="1"/>
        <v/>
      </c>
      <c r="L465" s="16"/>
      <c r="M465" s="16"/>
      <c r="N465" s="16"/>
      <c r="O465" s="16"/>
      <c r="P465" s="16"/>
      <c r="Q465" s="16"/>
      <c r="R465" s="16"/>
      <c r="S465" s="16"/>
      <c r="T465" s="16"/>
      <c r="U465" s="16"/>
      <c r="V465" s="16"/>
      <c r="W465" s="16"/>
      <c r="X465" s="16"/>
      <c r="Y465" s="16"/>
      <c r="Z465" s="16"/>
      <c r="AA465" s="16"/>
      <c r="AB465" s="16"/>
      <c r="AC465" s="16"/>
    </row>
    <row r="466">
      <c r="A466" s="22" t="str">
        <f t="array" ref="A466">IF(E466="","",IFERROR(INDEX(CONFIGURACION!C:C,MATCH(E466,CONFIGURACION!E:E,0)),""))
</f>
        <v/>
      </c>
      <c r="B466" s="22" t="str">
        <f t="array" ref="B466">IF(E466="","",IFERROR(INDEX(CONFIGURACION!D:D,MATCH(E466,CONFIGURACION!E:E,0)),""))
</f>
        <v/>
      </c>
      <c r="C466" s="31"/>
      <c r="D466" s="9"/>
      <c r="E466" s="6"/>
      <c r="F466" s="24"/>
      <c r="G466" s="9"/>
      <c r="H466" s="32"/>
      <c r="I466" s="33" t="str">
        <f>IFERROR(__xludf.DUMMYFUNCTION("IF(F466="""","""",LET(
  nombre, TRIM(F466),
  primer, REGEXEXTRACT(nombre, ""^\S+""),
  resto, TRIM(REGEXREPLACE(nombre, ""^\S+\s*"", """")),
  iniciales, IF(
    resto="""",
    """",
    TEXTJOIN("""",1,ARRAYFORMULA(LEFT(SPLIT(resto,"" ""),1) &amp; "".""))"&amp;"
  ),
  UPPER(primer) &amp; "" "" &amp; UPPER(iniciales)
))"),"")</f>
        <v/>
      </c>
      <c r="J466" s="33" t="str">
        <f>IFERROR(__xludf.DUMMYFUNCTION("IF(H466="""","""",IFERROR(
IF(REGEXMATCH(D466,""VELOCIDAD""),
   IF(H466&gt;=MAX(INDEX(BAREMOS!F:X,MATCH(1,(BAREMOS!A:A=A466)*(BAREMOS!B:B=B466)*(BAREMOS!C:C=C466)*(BAREMOS!D:D=D466),0),0)),1,
      IF(H466&lt;=MIN(INDEX(BAREMOS!F:X,MATCH(1,(BAREMOS!A:A=A466)*("&amp;"BAREMOS!B:B=B466)*(BAREMOS!C:C=C466)*(BAREMOS!D:D=D466),0),0)),19,
         MATCH(H466,INDEX(BAREMOS!F:X,MATCH(1,(BAREMOS!A:A=A466)*(BAREMOS!B:B=B466)*(BAREMOS!C:C=C466)*(BAREMOS!D:D=D466),0),0),-1)
      )
   ),
   IF(H466&lt;=MIN(INDEX(BAREMOS!F:X,MATCH(1,"&amp;"(BAREMOS!A:A=A466)*(BAREMOS!B:B=B466)*(BAREMOS!C:C=C466)*(BAREMOS!D:D=D466),0),0)),1,
      IF(H466&gt;=MAX(INDEX(BAREMOS!F:X,MATCH(1,(BAREMOS!A:A=A466)*(BAREMOS!B:B=B466)*(BAREMOS!C:C=C466)*(BAREMOS!D:D=D466),0),0)),19,
         MATCH(H466,INDEX(BAREMOS!F:X"&amp;",MATCH(1,(BAREMOS!A:A=A466)*(BAREMOS!B:B=B466)*(BAREMOS!C:C=C466)*(BAREMOS!D:D=D466),0),0),1)
      )
   )
)
,""""))
"),"")</f>
        <v/>
      </c>
      <c r="K466" s="34" t="str">
        <f t="shared" si="1"/>
        <v/>
      </c>
      <c r="L466" s="16"/>
      <c r="M466" s="16"/>
      <c r="N466" s="16"/>
      <c r="O466" s="16"/>
      <c r="P466" s="16"/>
      <c r="Q466" s="16"/>
      <c r="R466" s="16"/>
      <c r="S466" s="16"/>
      <c r="T466" s="16"/>
      <c r="U466" s="16"/>
      <c r="V466" s="16"/>
      <c r="W466" s="16"/>
      <c r="X466" s="16"/>
      <c r="Y466" s="16"/>
      <c r="Z466" s="16"/>
      <c r="AA466" s="16"/>
      <c r="AB466" s="16"/>
      <c r="AC466" s="16"/>
    </row>
    <row r="467">
      <c r="A467" s="22" t="str">
        <f t="array" ref="A467">IF(E467="","",IFERROR(INDEX(CONFIGURACION!C:C,MATCH(E467,CONFIGURACION!E:E,0)),""))
</f>
        <v/>
      </c>
      <c r="B467" s="22" t="str">
        <f t="array" ref="B467">IF(E467="","",IFERROR(INDEX(CONFIGURACION!D:D,MATCH(E467,CONFIGURACION!E:E,0)),""))
</f>
        <v/>
      </c>
      <c r="C467" s="31"/>
      <c r="D467" s="9"/>
      <c r="E467" s="6"/>
      <c r="F467" s="24"/>
      <c r="G467" s="9"/>
      <c r="H467" s="32"/>
      <c r="I467" s="33" t="str">
        <f>IFERROR(__xludf.DUMMYFUNCTION("IF(F467="""","""",LET(
  nombre, TRIM(F467),
  primer, REGEXEXTRACT(nombre, ""^\S+""),
  resto, TRIM(REGEXREPLACE(nombre, ""^\S+\s*"", """")),
  iniciales, IF(
    resto="""",
    """",
    TEXTJOIN("""",1,ARRAYFORMULA(LEFT(SPLIT(resto,"" ""),1) &amp; "".""))"&amp;"
  ),
  UPPER(primer) &amp; "" "" &amp; UPPER(iniciales)
))"),"")</f>
        <v/>
      </c>
      <c r="J467" s="33" t="str">
        <f>IFERROR(__xludf.DUMMYFUNCTION("IF(H467="""","""",IFERROR(
IF(REGEXMATCH(D467,""VELOCIDAD""),
   IF(H467&gt;=MAX(INDEX(BAREMOS!F:X,MATCH(1,(BAREMOS!A:A=A467)*(BAREMOS!B:B=B467)*(BAREMOS!C:C=C467)*(BAREMOS!D:D=D467),0),0)),1,
      IF(H467&lt;=MIN(INDEX(BAREMOS!F:X,MATCH(1,(BAREMOS!A:A=A467)*("&amp;"BAREMOS!B:B=B467)*(BAREMOS!C:C=C467)*(BAREMOS!D:D=D467),0),0)),19,
         MATCH(H467,INDEX(BAREMOS!F:X,MATCH(1,(BAREMOS!A:A=A467)*(BAREMOS!B:B=B467)*(BAREMOS!C:C=C467)*(BAREMOS!D:D=D467),0),0),-1)
      )
   ),
   IF(H467&lt;=MIN(INDEX(BAREMOS!F:X,MATCH(1,"&amp;"(BAREMOS!A:A=A467)*(BAREMOS!B:B=B467)*(BAREMOS!C:C=C467)*(BAREMOS!D:D=D467),0),0)),1,
      IF(H467&gt;=MAX(INDEX(BAREMOS!F:X,MATCH(1,(BAREMOS!A:A=A467)*(BAREMOS!B:B=B467)*(BAREMOS!C:C=C467)*(BAREMOS!D:D=D467),0),0)),19,
         MATCH(H467,INDEX(BAREMOS!F:X"&amp;",MATCH(1,(BAREMOS!A:A=A467)*(BAREMOS!B:B=B467)*(BAREMOS!C:C=C467)*(BAREMOS!D:D=D467),0),0),1)
      )
   )
)
,""""))
"),"")</f>
        <v/>
      </c>
      <c r="K467" s="34" t="str">
        <f t="shared" si="1"/>
        <v/>
      </c>
      <c r="L467" s="16"/>
      <c r="M467" s="16"/>
      <c r="N467" s="16"/>
      <c r="O467" s="16"/>
      <c r="P467" s="16"/>
      <c r="Q467" s="16"/>
      <c r="R467" s="16"/>
      <c r="S467" s="16"/>
      <c r="T467" s="16"/>
      <c r="U467" s="16"/>
      <c r="V467" s="16"/>
      <c r="W467" s="16"/>
      <c r="X467" s="16"/>
      <c r="Y467" s="16"/>
      <c r="Z467" s="16"/>
      <c r="AA467" s="16"/>
      <c r="AB467" s="16"/>
      <c r="AC467" s="16"/>
    </row>
    <row r="468">
      <c r="A468" s="22" t="str">
        <f t="array" ref="A468">IF(E468="","",IFERROR(INDEX(CONFIGURACION!C:C,MATCH(E468,CONFIGURACION!E:E,0)),""))
</f>
        <v/>
      </c>
      <c r="B468" s="22" t="str">
        <f t="array" ref="B468">IF(E468="","",IFERROR(INDEX(CONFIGURACION!D:D,MATCH(E468,CONFIGURACION!E:E,0)),""))
</f>
        <v/>
      </c>
      <c r="C468" s="31"/>
      <c r="D468" s="9"/>
      <c r="E468" s="6"/>
      <c r="F468" s="24"/>
      <c r="G468" s="9"/>
      <c r="H468" s="32"/>
      <c r="I468" s="33" t="str">
        <f>IFERROR(__xludf.DUMMYFUNCTION("IF(F468="""","""",LET(
  nombre, TRIM(F468),
  primer, REGEXEXTRACT(nombre, ""^\S+""),
  resto, TRIM(REGEXREPLACE(nombre, ""^\S+\s*"", """")),
  iniciales, IF(
    resto="""",
    """",
    TEXTJOIN("""",1,ARRAYFORMULA(LEFT(SPLIT(resto,"" ""),1) &amp; "".""))"&amp;"
  ),
  UPPER(primer) &amp; "" "" &amp; UPPER(iniciales)
))"),"")</f>
        <v/>
      </c>
      <c r="J468" s="33" t="str">
        <f>IFERROR(__xludf.DUMMYFUNCTION("IF(H468="""","""",IFERROR(
IF(REGEXMATCH(D468,""VELOCIDAD""),
   IF(H468&gt;=MAX(INDEX(BAREMOS!F:X,MATCH(1,(BAREMOS!A:A=A468)*(BAREMOS!B:B=B468)*(BAREMOS!C:C=C468)*(BAREMOS!D:D=D468),0),0)),1,
      IF(H468&lt;=MIN(INDEX(BAREMOS!F:X,MATCH(1,(BAREMOS!A:A=A468)*("&amp;"BAREMOS!B:B=B468)*(BAREMOS!C:C=C468)*(BAREMOS!D:D=D468),0),0)),19,
         MATCH(H468,INDEX(BAREMOS!F:X,MATCH(1,(BAREMOS!A:A=A468)*(BAREMOS!B:B=B468)*(BAREMOS!C:C=C468)*(BAREMOS!D:D=D468),0),0),-1)
      )
   ),
   IF(H468&lt;=MIN(INDEX(BAREMOS!F:X,MATCH(1,"&amp;"(BAREMOS!A:A=A468)*(BAREMOS!B:B=B468)*(BAREMOS!C:C=C468)*(BAREMOS!D:D=D468),0),0)),1,
      IF(H468&gt;=MAX(INDEX(BAREMOS!F:X,MATCH(1,(BAREMOS!A:A=A468)*(BAREMOS!B:B=B468)*(BAREMOS!C:C=C468)*(BAREMOS!D:D=D468),0),0)),19,
         MATCH(H468,INDEX(BAREMOS!F:X"&amp;",MATCH(1,(BAREMOS!A:A=A468)*(BAREMOS!B:B=B468)*(BAREMOS!C:C=C468)*(BAREMOS!D:D=D468),0),0),1)
      )
   )
)
,""""))
"),"")</f>
        <v/>
      </c>
      <c r="K468" s="34" t="str">
        <f t="shared" si="1"/>
        <v/>
      </c>
      <c r="L468" s="16"/>
      <c r="M468" s="16"/>
      <c r="N468" s="16"/>
      <c r="O468" s="16"/>
      <c r="P468" s="16"/>
      <c r="Q468" s="16"/>
      <c r="R468" s="16"/>
      <c r="S468" s="16"/>
      <c r="T468" s="16"/>
      <c r="U468" s="16"/>
      <c r="V468" s="16"/>
      <c r="W468" s="16"/>
      <c r="X468" s="16"/>
      <c r="Y468" s="16"/>
      <c r="Z468" s="16"/>
      <c r="AA468" s="16"/>
      <c r="AB468" s="16"/>
      <c r="AC468" s="16"/>
    </row>
    <row r="469">
      <c r="A469" s="22" t="str">
        <f t="array" ref="A469">IF(E469="","",IFERROR(INDEX(CONFIGURACION!C:C,MATCH(E469,CONFIGURACION!E:E,0)),""))
</f>
        <v/>
      </c>
      <c r="B469" s="22" t="str">
        <f t="array" ref="B469">IF(E469="","",IFERROR(INDEX(CONFIGURACION!D:D,MATCH(E469,CONFIGURACION!E:E,0)),""))
</f>
        <v/>
      </c>
      <c r="C469" s="31"/>
      <c r="D469" s="9"/>
      <c r="E469" s="6"/>
      <c r="F469" s="24"/>
      <c r="G469" s="9"/>
      <c r="H469" s="32"/>
      <c r="I469" s="33" t="str">
        <f>IFERROR(__xludf.DUMMYFUNCTION("IF(F469="""","""",LET(
  nombre, TRIM(F469),
  primer, REGEXEXTRACT(nombre, ""^\S+""),
  resto, TRIM(REGEXREPLACE(nombre, ""^\S+\s*"", """")),
  iniciales, IF(
    resto="""",
    """",
    TEXTJOIN("""",1,ARRAYFORMULA(LEFT(SPLIT(resto,"" ""),1) &amp; "".""))"&amp;"
  ),
  UPPER(primer) &amp; "" "" &amp; UPPER(iniciales)
))"),"")</f>
        <v/>
      </c>
      <c r="J469" s="33" t="str">
        <f>IFERROR(__xludf.DUMMYFUNCTION("IF(H469="""","""",IFERROR(
IF(REGEXMATCH(D469,""VELOCIDAD""),
   IF(H469&gt;=MAX(INDEX(BAREMOS!F:X,MATCH(1,(BAREMOS!A:A=A469)*(BAREMOS!B:B=B469)*(BAREMOS!C:C=C469)*(BAREMOS!D:D=D469),0),0)),1,
      IF(H469&lt;=MIN(INDEX(BAREMOS!F:X,MATCH(1,(BAREMOS!A:A=A469)*("&amp;"BAREMOS!B:B=B469)*(BAREMOS!C:C=C469)*(BAREMOS!D:D=D469),0),0)),19,
         MATCH(H469,INDEX(BAREMOS!F:X,MATCH(1,(BAREMOS!A:A=A469)*(BAREMOS!B:B=B469)*(BAREMOS!C:C=C469)*(BAREMOS!D:D=D469),0),0),-1)
      )
   ),
   IF(H469&lt;=MIN(INDEX(BAREMOS!F:X,MATCH(1,"&amp;"(BAREMOS!A:A=A469)*(BAREMOS!B:B=B469)*(BAREMOS!C:C=C469)*(BAREMOS!D:D=D469),0),0)),1,
      IF(H469&gt;=MAX(INDEX(BAREMOS!F:X,MATCH(1,(BAREMOS!A:A=A469)*(BAREMOS!B:B=B469)*(BAREMOS!C:C=C469)*(BAREMOS!D:D=D469),0),0)),19,
         MATCH(H469,INDEX(BAREMOS!F:X"&amp;",MATCH(1,(BAREMOS!A:A=A469)*(BAREMOS!B:B=B469)*(BAREMOS!C:C=C469)*(BAREMOS!D:D=D469),0),0),1)
      )
   )
)
,""""))
"),"")</f>
        <v/>
      </c>
      <c r="K469" s="34" t="str">
        <f t="shared" si="1"/>
        <v/>
      </c>
      <c r="L469" s="16"/>
      <c r="M469" s="16"/>
      <c r="N469" s="16"/>
      <c r="O469" s="16"/>
      <c r="P469" s="16"/>
      <c r="Q469" s="16"/>
      <c r="R469" s="16"/>
      <c r="S469" s="16"/>
      <c r="T469" s="16"/>
      <c r="U469" s="16"/>
      <c r="V469" s="16"/>
      <c r="W469" s="16"/>
      <c r="X469" s="16"/>
      <c r="Y469" s="16"/>
      <c r="Z469" s="16"/>
      <c r="AA469" s="16"/>
      <c r="AB469" s="16"/>
      <c r="AC469" s="16"/>
    </row>
    <row r="470">
      <c r="A470" s="22" t="str">
        <f t="array" ref="A470">IF(E470="","",IFERROR(INDEX(CONFIGURACION!C:C,MATCH(E470,CONFIGURACION!E:E,0)),""))
</f>
        <v/>
      </c>
      <c r="B470" s="22" t="str">
        <f t="array" ref="B470">IF(E470="","",IFERROR(INDEX(CONFIGURACION!D:D,MATCH(E470,CONFIGURACION!E:E,0)),""))
</f>
        <v/>
      </c>
      <c r="C470" s="31"/>
      <c r="D470" s="9"/>
      <c r="E470" s="6"/>
      <c r="F470" s="24"/>
      <c r="G470" s="9"/>
      <c r="H470" s="32"/>
      <c r="I470" s="33" t="str">
        <f>IFERROR(__xludf.DUMMYFUNCTION("IF(F470="""","""",LET(
  nombre, TRIM(F470),
  primer, REGEXEXTRACT(nombre, ""^\S+""),
  resto, TRIM(REGEXREPLACE(nombre, ""^\S+\s*"", """")),
  iniciales, IF(
    resto="""",
    """",
    TEXTJOIN("""",1,ARRAYFORMULA(LEFT(SPLIT(resto,"" ""),1) &amp; "".""))"&amp;"
  ),
  UPPER(primer) &amp; "" "" &amp; UPPER(iniciales)
))"),"")</f>
        <v/>
      </c>
      <c r="J470" s="33" t="str">
        <f>IFERROR(__xludf.DUMMYFUNCTION("IF(H470="""","""",IFERROR(
IF(REGEXMATCH(D470,""VELOCIDAD""),
   IF(H470&gt;=MAX(INDEX(BAREMOS!F:X,MATCH(1,(BAREMOS!A:A=A470)*(BAREMOS!B:B=B470)*(BAREMOS!C:C=C470)*(BAREMOS!D:D=D470),0),0)),1,
      IF(H470&lt;=MIN(INDEX(BAREMOS!F:X,MATCH(1,(BAREMOS!A:A=A470)*("&amp;"BAREMOS!B:B=B470)*(BAREMOS!C:C=C470)*(BAREMOS!D:D=D470),0),0)),19,
         MATCH(H470,INDEX(BAREMOS!F:X,MATCH(1,(BAREMOS!A:A=A470)*(BAREMOS!B:B=B470)*(BAREMOS!C:C=C470)*(BAREMOS!D:D=D470),0),0),-1)
      )
   ),
   IF(H470&lt;=MIN(INDEX(BAREMOS!F:X,MATCH(1,"&amp;"(BAREMOS!A:A=A470)*(BAREMOS!B:B=B470)*(BAREMOS!C:C=C470)*(BAREMOS!D:D=D470),0),0)),1,
      IF(H470&gt;=MAX(INDEX(BAREMOS!F:X,MATCH(1,(BAREMOS!A:A=A470)*(BAREMOS!B:B=B470)*(BAREMOS!C:C=C470)*(BAREMOS!D:D=D470),0),0)),19,
         MATCH(H470,INDEX(BAREMOS!F:X"&amp;",MATCH(1,(BAREMOS!A:A=A470)*(BAREMOS!B:B=B470)*(BAREMOS!C:C=C470)*(BAREMOS!D:D=D470),0),0),1)
      )
   )
)
,""""))
"),"")</f>
        <v/>
      </c>
      <c r="K470" s="34" t="str">
        <f t="shared" si="1"/>
        <v/>
      </c>
      <c r="L470" s="16"/>
      <c r="M470" s="16"/>
      <c r="N470" s="16"/>
      <c r="O470" s="16"/>
      <c r="P470" s="16"/>
      <c r="Q470" s="16"/>
      <c r="R470" s="16"/>
      <c r="S470" s="16"/>
      <c r="T470" s="16"/>
      <c r="U470" s="16"/>
      <c r="V470" s="16"/>
      <c r="W470" s="16"/>
      <c r="X470" s="16"/>
      <c r="Y470" s="16"/>
      <c r="Z470" s="16"/>
      <c r="AA470" s="16"/>
      <c r="AB470" s="16"/>
      <c r="AC470" s="16"/>
    </row>
    <row r="471">
      <c r="A471" s="22" t="str">
        <f t="array" ref="A471">IF(E471="","",IFERROR(INDEX(CONFIGURACION!C:C,MATCH(E471,CONFIGURACION!E:E,0)),""))
</f>
        <v/>
      </c>
      <c r="B471" s="22" t="str">
        <f t="array" ref="B471">IF(E471="","",IFERROR(INDEX(CONFIGURACION!D:D,MATCH(E471,CONFIGURACION!E:E,0)),""))
</f>
        <v/>
      </c>
      <c r="C471" s="31"/>
      <c r="D471" s="9"/>
      <c r="E471" s="6"/>
      <c r="F471" s="24"/>
      <c r="G471" s="9"/>
      <c r="H471" s="32"/>
      <c r="I471" s="33" t="str">
        <f>IFERROR(__xludf.DUMMYFUNCTION("IF(F471="""","""",LET(
  nombre, TRIM(F471),
  primer, REGEXEXTRACT(nombre, ""^\S+""),
  resto, TRIM(REGEXREPLACE(nombre, ""^\S+\s*"", """")),
  iniciales, IF(
    resto="""",
    """",
    TEXTJOIN("""",1,ARRAYFORMULA(LEFT(SPLIT(resto,"" ""),1) &amp; "".""))"&amp;"
  ),
  UPPER(primer) &amp; "" "" &amp; UPPER(iniciales)
))"),"")</f>
        <v/>
      </c>
      <c r="J471" s="33" t="str">
        <f>IFERROR(__xludf.DUMMYFUNCTION("IF(H471="""","""",IFERROR(
IF(REGEXMATCH(D471,""VELOCIDAD""),
   IF(H471&gt;=MAX(INDEX(BAREMOS!F:X,MATCH(1,(BAREMOS!A:A=A471)*(BAREMOS!B:B=B471)*(BAREMOS!C:C=C471)*(BAREMOS!D:D=D471),0),0)),1,
      IF(H471&lt;=MIN(INDEX(BAREMOS!F:X,MATCH(1,(BAREMOS!A:A=A471)*("&amp;"BAREMOS!B:B=B471)*(BAREMOS!C:C=C471)*(BAREMOS!D:D=D471),0),0)),19,
         MATCH(H471,INDEX(BAREMOS!F:X,MATCH(1,(BAREMOS!A:A=A471)*(BAREMOS!B:B=B471)*(BAREMOS!C:C=C471)*(BAREMOS!D:D=D471),0),0),-1)
      )
   ),
   IF(H471&lt;=MIN(INDEX(BAREMOS!F:X,MATCH(1,"&amp;"(BAREMOS!A:A=A471)*(BAREMOS!B:B=B471)*(BAREMOS!C:C=C471)*(BAREMOS!D:D=D471),0),0)),1,
      IF(H471&gt;=MAX(INDEX(BAREMOS!F:X,MATCH(1,(BAREMOS!A:A=A471)*(BAREMOS!B:B=B471)*(BAREMOS!C:C=C471)*(BAREMOS!D:D=D471),0),0)),19,
         MATCH(H471,INDEX(BAREMOS!F:X"&amp;",MATCH(1,(BAREMOS!A:A=A471)*(BAREMOS!B:B=B471)*(BAREMOS!C:C=C471)*(BAREMOS!D:D=D471),0),0),1)
      )
   )
)
,""""))
"),"")</f>
        <v/>
      </c>
      <c r="K471" s="34" t="str">
        <f t="shared" si="1"/>
        <v/>
      </c>
      <c r="L471" s="16"/>
      <c r="M471" s="16"/>
      <c r="N471" s="16"/>
      <c r="O471" s="16"/>
      <c r="P471" s="16"/>
      <c r="Q471" s="16"/>
      <c r="R471" s="16"/>
      <c r="S471" s="16"/>
      <c r="T471" s="16"/>
      <c r="U471" s="16"/>
      <c r="V471" s="16"/>
      <c r="W471" s="16"/>
      <c r="X471" s="16"/>
      <c r="Y471" s="16"/>
      <c r="Z471" s="16"/>
      <c r="AA471" s="16"/>
      <c r="AB471" s="16"/>
      <c r="AC471" s="16"/>
    </row>
    <row r="472">
      <c r="A472" s="22" t="str">
        <f t="array" ref="A472">IF(E472="","",IFERROR(INDEX(CONFIGURACION!C:C,MATCH(E472,CONFIGURACION!E:E,0)),""))
</f>
        <v/>
      </c>
      <c r="B472" s="22" t="str">
        <f t="array" ref="B472">IF(E472="","",IFERROR(INDEX(CONFIGURACION!D:D,MATCH(E472,CONFIGURACION!E:E,0)),""))
</f>
        <v/>
      </c>
      <c r="C472" s="31"/>
      <c r="D472" s="9"/>
      <c r="E472" s="6"/>
      <c r="F472" s="24"/>
      <c r="G472" s="9"/>
      <c r="H472" s="32"/>
      <c r="I472" s="33" t="str">
        <f>IFERROR(__xludf.DUMMYFUNCTION("IF(F472="""","""",LET(
  nombre, TRIM(F472),
  primer, REGEXEXTRACT(nombre, ""^\S+""),
  resto, TRIM(REGEXREPLACE(nombre, ""^\S+\s*"", """")),
  iniciales, IF(
    resto="""",
    """",
    TEXTJOIN("""",1,ARRAYFORMULA(LEFT(SPLIT(resto,"" ""),1) &amp; "".""))"&amp;"
  ),
  UPPER(primer) &amp; "" "" &amp; UPPER(iniciales)
))"),"")</f>
        <v/>
      </c>
      <c r="J472" s="33" t="str">
        <f>IFERROR(__xludf.DUMMYFUNCTION("IF(H472="""","""",IFERROR(
IF(REGEXMATCH(D472,""VELOCIDAD""),
   IF(H472&gt;=MAX(INDEX(BAREMOS!F:X,MATCH(1,(BAREMOS!A:A=A472)*(BAREMOS!B:B=B472)*(BAREMOS!C:C=C472)*(BAREMOS!D:D=D472),0),0)),1,
      IF(H472&lt;=MIN(INDEX(BAREMOS!F:X,MATCH(1,(BAREMOS!A:A=A472)*("&amp;"BAREMOS!B:B=B472)*(BAREMOS!C:C=C472)*(BAREMOS!D:D=D472),0),0)),19,
         MATCH(H472,INDEX(BAREMOS!F:X,MATCH(1,(BAREMOS!A:A=A472)*(BAREMOS!B:B=B472)*(BAREMOS!C:C=C472)*(BAREMOS!D:D=D472),0),0),-1)
      )
   ),
   IF(H472&lt;=MIN(INDEX(BAREMOS!F:X,MATCH(1,"&amp;"(BAREMOS!A:A=A472)*(BAREMOS!B:B=B472)*(BAREMOS!C:C=C472)*(BAREMOS!D:D=D472),0),0)),1,
      IF(H472&gt;=MAX(INDEX(BAREMOS!F:X,MATCH(1,(BAREMOS!A:A=A472)*(BAREMOS!B:B=B472)*(BAREMOS!C:C=C472)*(BAREMOS!D:D=D472),0),0)),19,
         MATCH(H472,INDEX(BAREMOS!F:X"&amp;",MATCH(1,(BAREMOS!A:A=A472)*(BAREMOS!B:B=B472)*(BAREMOS!C:C=C472)*(BAREMOS!D:D=D472),0),0),1)
      )
   )
)
,""""))
"),"")</f>
        <v/>
      </c>
      <c r="K472" s="34" t="str">
        <f t="shared" si="1"/>
        <v/>
      </c>
      <c r="L472" s="16"/>
      <c r="M472" s="16"/>
      <c r="N472" s="16"/>
      <c r="O472" s="16"/>
      <c r="P472" s="16"/>
      <c r="Q472" s="16"/>
      <c r="R472" s="16"/>
      <c r="S472" s="16"/>
      <c r="T472" s="16"/>
      <c r="U472" s="16"/>
      <c r="V472" s="16"/>
      <c r="W472" s="16"/>
      <c r="X472" s="16"/>
      <c r="Y472" s="16"/>
      <c r="Z472" s="16"/>
      <c r="AA472" s="16"/>
      <c r="AB472" s="16"/>
      <c r="AC472" s="16"/>
    </row>
    <row r="473">
      <c r="A473" s="22" t="str">
        <f t="array" ref="A473">IF(E473="","",IFERROR(INDEX(CONFIGURACION!C:C,MATCH(E473,CONFIGURACION!E:E,0)),""))
</f>
        <v/>
      </c>
      <c r="B473" s="22" t="str">
        <f t="array" ref="B473">IF(E473="","",IFERROR(INDEX(CONFIGURACION!D:D,MATCH(E473,CONFIGURACION!E:E,0)),""))
</f>
        <v/>
      </c>
      <c r="C473" s="31"/>
      <c r="D473" s="9"/>
      <c r="E473" s="6"/>
      <c r="F473" s="24"/>
      <c r="G473" s="9"/>
      <c r="H473" s="32"/>
      <c r="I473" s="33" t="str">
        <f>IFERROR(__xludf.DUMMYFUNCTION("IF(F473="""","""",LET(
  nombre, TRIM(F473),
  primer, REGEXEXTRACT(nombre, ""^\S+""),
  resto, TRIM(REGEXREPLACE(nombre, ""^\S+\s*"", """")),
  iniciales, IF(
    resto="""",
    """",
    TEXTJOIN("""",1,ARRAYFORMULA(LEFT(SPLIT(resto,"" ""),1) &amp; "".""))"&amp;"
  ),
  UPPER(primer) &amp; "" "" &amp; UPPER(iniciales)
))"),"")</f>
        <v/>
      </c>
      <c r="J473" s="33" t="str">
        <f>IFERROR(__xludf.DUMMYFUNCTION("IF(H473="""","""",IFERROR(
IF(REGEXMATCH(D473,""VELOCIDAD""),
   IF(H473&gt;=MAX(INDEX(BAREMOS!F:X,MATCH(1,(BAREMOS!A:A=A473)*(BAREMOS!B:B=B473)*(BAREMOS!C:C=C473)*(BAREMOS!D:D=D473),0),0)),1,
      IF(H473&lt;=MIN(INDEX(BAREMOS!F:X,MATCH(1,(BAREMOS!A:A=A473)*("&amp;"BAREMOS!B:B=B473)*(BAREMOS!C:C=C473)*(BAREMOS!D:D=D473),0),0)),19,
         MATCH(H473,INDEX(BAREMOS!F:X,MATCH(1,(BAREMOS!A:A=A473)*(BAREMOS!B:B=B473)*(BAREMOS!C:C=C473)*(BAREMOS!D:D=D473),0),0),-1)
      )
   ),
   IF(H473&lt;=MIN(INDEX(BAREMOS!F:X,MATCH(1,"&amp;"(BAREMOS!A:A=A473)*(BAREMOS!B:B=B473)*(BAREMOS!C:C=C473)*(BAREMOS!D:D=D473),0),0)),1,
      IF(H473&gt;=MAX(INDEX(BAREMOS!F:X,MATCH(1,(BAREMOS!A:A=A473)*(BAREMOS!B:B=B473)*(BAREMOS!C:C=C473)*(BAREMOS!D:D=D473),0),0)),19,
         MATCH(H473,INDEX(BAREMOS!F:X"&amp;",MATCH(1,(BAREMOS!A:A=A473)*(BAREMOS!B:B=B473)*(BAREMOS!C:C=C473)*(BAREMOS!D:D=D473),0),0),1)
      )
   )
)
,""""))
"),"")</f>
        <v/>
      </c>
      <c r="K473" s="34" t="str">
        <f t="shared" si="1"/>
        <v/>
      </c>
      <c r="L473" s="16"/>
      <c r="M473" s="16"/>
      <c r="N473" s="16"/>
      <c r="O473" s="16"/>
      <c r="P473" s="16"/>
      <c r="Q473" s="16"/>
      <c r="R473" s="16"/>
      <c r="S473" s="16"/>
      <c r="T473" s="16"/>
      <c r="U473" s="16"/>
      <c r="V473" s="16"/>
      <c r="W473" s="16"/>
      <c r="X473" s="16"/>
      <c r="Y473" s="16"/>
      <c r="Z473" s="16"/>
      <c r="AA473" s="16"/>
      <c r="AB473" s="16"/>
      <c r="AC473" s="16"/>
    </row>
    <row r="474">
      <c r="A474" s="22" t="str">
        <f t="array" ref="A474">IF(E474="","",IFERROR(INDEX(CONFIGURACION!C:C,MATCH(E474,CONFIGURACION!E:E,0)),""))
</f>
        <v/>
      </c>
      <c r="B474" s="22" t="str">
        <f t="array" ref="B474">IF(E474="","",IFERROR(INDEX(CONFIGURACION!D:D,MATCH(E474,CONFIGURACION!E:E,0)),""))
</f>
        <v/>
      </c>
      <c r="C474" s="31"/>
      <c r="D474" s="9"/>
      <c r="E474" s="6"/>
      <c r="F474" s="24"/>
      <c r="G474" s="9"/>
      <c r="H474" s="32"/>
      <c r="I474" s="33" t="str">
        <f>IFERROR(__xludf.DUMMYFUNCTION("IF(F474="""","""",LET(
  nombre, TRIM(F474),
  primer, REGEXEXTRACT(nombre, ""^\S+""),
  resto, TRIM(REGEXREPLACE(nombre, ""^\S+\s*"", """")),
  iniciales, IF(
    resto="""",
    """",
    TEXTJOIN("""",1,ARRAYFORMULA(LEFT(SPLIT(resto,"" ""),1) &amp; "".""))"&amp;"
  ),
  UPPER(primer) &amp; "" "" &amp; UPPER(iniciales)
))"),"")</f>
        <v/>
      </c>
      <c r="J474" s="33" t="str">
        <f>IFERROR(__xludf.DUMMYFUNCTION("IF(H474="""","""",IFERROR(
IF(REGEXMATCH(D474,""VELOCIDAD""),
   IF(H474&gt;=MAX(INDEX(BAREMOS!F:X,MATCH(1,(BAREMOS!A:A=A474)*(BAREMOS!B:B=B474)*(BAREMOS!C:C=C474)*(BAREMOS!D:D=D474),0),0)),1,
      IF(H474&lt;=MIN(INDEX(BAREMOS!F:X,MATCH(1,(BAREMOS!A:A=A474)*("&amp;"BAREMOS!B:B=B474)*(BAREMOS!C:C=C474)*(BAREMOS!D:D=D474),0),0)),19,
         MATCH(H474,INDEX(BAREMOS!F:X,MATCH(1,(BAREMOS!A:A=A474)*(BAREMOS!B:B=B474)*(BAREMOS!C:C=C474)*(BAREMOS!D:D=D474),0),0),-1)
      )
   ),
   IF(H474&lt;=MIN(INDEX(BAREMOS!F:X,MATCH(1,"&amp;"(BAREMOS!A:A=A474)*(BAREMOS!B:B=B474)*(BAREMOS!C:C=C474)*(BAREMOS!D:D=D474),0),0)),1,
      IF(H474&gt;=MAX(INDEX(BAREMOS!F:X,MATCH(1,(BAREMOS!A:A=A474)*(BAREMOS!B:B=B474)*(BAREMOS!C:C=C474)*(BAREMOS!D:D=D474),0),0)),19,
         MATCH(H474,INDEX(BAREMOS!F:X"&amp;",MATCH(1,(BAREMOS!A:A=A474)*(BAREMOS!B:B=B474)*(BAREMOS!C:C=C474)*(BAREMOS!D:D=D474),0),0),1)
      )
   )
)
,""""))
"),"")</f>
        <v/>
      </c>
      <c r="K474" s="34" t="str">
        <f t="shared" si="1"/>
        <v/>
      </c>
      <c r="L474" s="16"/>
      <c r="M474" s="16"/>
      <c r="N474" s="16"/>
      <c r="O474" s="16"/>
      <c r="P474" s="16"/>
      <c r="Q474" s="16"/>
      <c r="R474" s="16"/>
      <c r="S474" s="16"/>
      <c r="T474" s="16"/>
      <c r="U474" s="16"/>
      <c r="V474" s="16"/>
      <c r="W474" s="16"/>
      <c r="X474" s="16"/>
      <c r="Y474" s="16"/>
      <c r="Z474" s="16"/>
      <c r="AA474" s="16"/>
      <c r="AB474" s="16"/>
      <c r="AC474" s="16"/>
    </row>
    <row r="475">
      <c r="A475" s="22" t="str">
        <f t="array" ref="A475">IF(E475="","",IFERROR(INDEX(CONFIGURACION!C:C,MATCH(E475,CONFIGURACION!E:E,0)),""))
</f>
        <v/>
      </c>
      <c r="B475" s="22" t="str">
        <f t="array" ref="B475">IF(E475="","",IFERROR(INDEX(CONFIGURACION!D:D,MATCH(E475,CONFIGURACION!E:E,0)),""))
</f>
        <v/>
      </c>
      <c r="C475" s="31"/>
      <c r="D475" s="9"/>
      <c r="E475" s="6"/>
      <c r="F475" s="24"/>
      <c r="G475" s="9"/>
      <c r="H475" s="32"/>
      <c r="I475" s="33" t="str">
        <f>IFERROR(__xludf.DUMMYFUNCTION("IF(F475="""","""",LET(
  nombre, TRIM(F475),
  primer, REGEXEXTRACT(nombre, ""^\S+""),
  resto, TRIM(REGEXREPLACE(nombre, ""^\S+\s*"", """")),
  iniciales, IF(
    resto="""",
    """",
    TEXTJOIN("""",1,ARRAYFORMULA(LEFT(SPLIT(resto,"" ""),1) &amp; "".""))"&amp;"
  ),
  UPPER(primer) &amp; "" "" &amp; UPPER(iniciales)
))"),"")</f>
        <v/>
      </c>
      <c r="J475" s="33" t="str">
        <f>IFERROR(__xludf.DUMMYFUNCTION("IF(H475="""","""",IFERROR(
IF(REGEXMATCH(D475,""VELOCIDAD""),
   IF(H475&gt;=MAX(INDEX(BAREMOS!F:X,MATCH(1,(BAREMOS!A:A=A475)*(BAREMOS!B:B=B475)*(BAREMOS!C:C=C475)*(BAREMOS!D:D=D475),0),0)),1,
      IF(H475&lt;=MIN(INDEX(BAREMOS!F:X,MATCH(1,(BAREMOS!A:A=A475)*("&amp;"BAREMOS!B:B=B475)*(BAREMOS!C:C=C475)*(BAREMOS!D:D=D475),0),0)),19,
         MATCH(H475,INDEX(BAREMOS!F:X,MATCH(1,(BAREMOS!A:A=A475)*(BAREMOS!B:B=B475)*(BAREMOS!C:C=C475)*(BAREMOS!D:D=D475),0),0),-1)
      )
   ),
   IF(H475&lt;=MIN(INDEX(BAREMOS!F:X,MATCH(1,"&amp;"(BAREMOS!A:A=A475)*(BAREMOS!B:B=B475)*(BAREMOS!C:C=C475)*(BAREMOS!D:D=D475),0),0)),1,
      IF(H475&gt;=MAX(INDEX(BAREMOS!F:X,MATCH(1,(BAREMOS!A:A=A475)*(BAREMOS!B:B=B475)*(BAREMOS!C:C=C475)*(BAREMOS!D:D=D475),0),0)),19,
         MATCH(H475,INDEX(BAREMOS!F:X"&amp;",MATCH(1,(BAREMOS!A:A=A475)*(BAREMOS!B:B=B475)*(BAREMOS!C:C=C475)*(BAREMOS!D:D=D475),0),0),1)
      )
   )
)
,""""))
"),"")</f>
        <v/>
      </c>
      <c r="K475" s="34" t="str">
        <f t="shared" si="1"/>
        <v/>
      </c>
      <c r="L475" s="16"/>
      <c r="M475" s="16"/>
      <c r="N475" s="16"/>
      <c r="O475" s="16"/>
      <c r="P475" s="16"/>
      <c r="Q475" s="16"/>
      <c r="R475" s="16"/>
      <c r="S475" s="16"/>
      <c r="T475" s="16"/>
      <c r="U475" s="16"/>
      <c r="V475" s="16"/>
      <c r="W475" s="16"/>
      <c r="X475" s="16"/>
      <c r="Y475" s="16"/>
      <c r="Z475" s="16"/>
      <c r="AA475" s="16"/>
      <c r="AB475" s="16"/>
      <c r="AC475" s="16"/>
    </row>
    <row r="476">
      <c r="A476" s="22" t="str">
        <f t="array" ref="A476">IF(E476="","",IFERROR(INDEX(CONFIGURACION!C:C,MATCH(E476,CONFIGURACION!E:E,0)),""))
</f>
        <v/>
      </c>
      <c r="B476" s="22" t="str">
        <f t="array" ref="B476">IF(E476="","",IFERROR(INDEX(CONFIGURACION!D:D,MATCH(E476,CONFIGURACION!E:E,0)),""))
</f>
        <v/>
      </c>
      <c r="C476" s="31"/>
      <c r="D476" s="9"/>
      <c r="E476" s="6"/>
      <c r="F476" s="24"/>
      <c r="G476" s="9"/>
      <c r="H476" s="32"/>
      <c r="I476" s="33" t="str">
        <f>IFERROR(__xludf.DUMMYFUNCTION("IF(F476="""","""",LET(
  nombre, TRIM(F476),
  primer, REGEXEXTRACT(nombre, ""^\S+""),
  resto, TRIM(REGEXREPLACE(nombre, ""^\S+\s*"", """")),
  iniciales, IF(
    resto="""",
    """",
    TEXTJOIN("""",1,ARRAYFORMULA(LEFT(SPLIT(resto,"" ""),1) &amp; "".""))"&amp;"
  ),
  UPPER(primer) &amp; "" "" &amp; UPPER(iniciales)
))"),"")</f>
        <v/>
      </c>
      <c r="J476" s="33" t="str">
        <f>IFERROR(__xludf.DUMMYFUNCTION("IF(H476="""","""",IFERROR(
IF(REGEXMATCH(D476,""VELOCIDAD""),
   IF(H476&gt;=MAX(INDEX(BAREMOS!F:X,MATCH(1,(BAREMOS!A:A=A476)*(BAREMOS!B:B=B476)*(BAREMOS!C:C=C476)*(BAREMOS!D:D=D476),0),0)),1,
      IF(H476&lt;=MIN(INDEX(BAREMOS!F:X,MATCH(1,(BAREMOS!A:A=A476)*("&amp;"BAREMOS!B:B=B476)*(BAREMOS!C:C=C476)*(BAREMOS!D:D=D476),0),0)),19,
         MATCH(H476,INDEX(BAREMOS!F:X,MATCH(1,(BAREMOS!A:A=A476)*(BAREMOS!B:B=B476)*(BAREMOS!C:C=C476)*(BAREMOS!D:D=D476),0),0),-1)
      )
   ),
   IF(H476&lt;=MIN(INDEX(BAREMOS!F:X,MATCH(1,"&amp;"(BAREMOS!A:A=A476)*(BAREMOS!B:B=B476)*(BAREMOS!C:C=C476)*(BAREMOS!D:D=D476),0),0)),1,
      IF(H476&gt;=MAX(INDEX(BAREMOS!F:X,MATCH(1,(BAREMOS!A:A=A476)*(BAREMOS!B:B=B476)*(BAREMOS!C:C=C476)*(BAREMOS!D:D=D476),0),0)),19,
         MATCH(H476,INDEX(BAREMOS!F:X"&amp;",MATCH(1,(BAREMOS!A:A=A476)*(BAREMOS!B:B=B476)*(BAREMOS!C:C=C476)*(BAREMOS!D:D=D476),0),0),1)
      )
   )
)
,""""))
"),"")</f>
        <v/>
      </c>
      <c r="K476" s="34" t="str">
        <f t="shared" si="1"/>
        <v/>
      </c>
      <c r="L476" s="16"/>
      <c r="M476" s="16"/>
      <c r="N476" s="16"/>
      <c r="O476" s="16"/>
      <c r="P476" s="16"/>
      <c r="Q476" s="16"/>
      <c r="R476" s="16"/>
      <c r="S476" s="16"/>
      <c r="T476" s="16"/>
      <c r="U476" s="16"/>
      <c r="V476" s="16"/>
      <c r="W476" s="16"/>
      <c r="X476" s="16"/>
      <c r="Y476" s="16"/>
      <c r="Z476" s="16"/>
      <c r="AA476" s="16"/>
      <c r="AB476" s="16"/>
      <c r="AC476" s="16"/>
    </row>
    <row r="477">
      <c r="A477" s="22" t="str">
        <f t="array" ref="A477">IF(E477="","",IFERROR(INDEX(CONFIGURACION!C:C,MATCH(E477,CONFIGURACION!E:E,0)),""))
</f>
        <v/>
      </c>
      <c r="B477" s="22" t="str">
        <f t="array" ref="B477">IF(E477="","",IFERROR(INDEX(CONFIGURACION!D:D,MATCH(E477,CONFIGURACION!E:E,0)),""))
</f>
        <v/>
      </c>
      <c r="C477" s="31"/>
      <c r="D477" s="9"/>
      <c r="E477" s="6"/>
      <c r="F477" s="24"/>
      <c r="G477" s="9"/>
      <c r="H477" s="32"/>
      <c r="I477" s="33" t="str">
        <f>IFERROR(__xludf.DUMMYFUNCTION("IF(F477="""","""",LET(
  nombre, TRIM(F477),
  primer, REGEXEXTRACT(nombre, ""^\S+""),
  resto, TRIM(REGEXREPLACE(nombre, ""^\S+\s*"", """")),
  iniciales, IF(
    resto="""",
    """",
    TEXTJOIN("""",1,ARRAYFORMULA(LEFT(SPLIT(resto,"" ""),1) &amp; "".""))"&amp;"
  ),
  UPPER(primer) &amp; "" "" &amp; UPPER(iniciales)
))"),"")</f>
        <v/>
      </c>
      <c r="J477" s="33" t="str">
        <f>IFERROR(__xludf.DUMMYFUNCTION("IF(H477="""","""",IFERROR(
IF(REGEXMATCH(D477,""VELOCIDAD""),
   IF(H477&gt;=MAX(INDEX(BAREMOS!F:X,MATCH(1,(BAREMOS!A:A=A477)*(BAREMOS!B:B=B477)*(BAREMOS!C:C=C477)*(BAREMOS!D:D=D477),0),0)),1,
      IF(H477&lt;=MIN(INDEX(BAREMOS!F:X,MATCH(1,(BAREMOS!A:A=A477)*("&amp;"BAREMOS!B:B=B477)*(BAREMOS!C:C=C477)*(BAREMOS!D:D=D477),0),0)),19,
         MATCH(H477,INDEX(BAREMOS!F:X,MATCH(1,(BAREMOS!A:A=A477)*(BAREMOS!B:B=B477)*(BAREMOS!C:C=C477)*(BAREMOS!D:D=D477),0),0),-1)
      )
   ),
   IF(H477&lt;=MIN(INDEX(BAREMOS!F:X,MATCH(1,"&amp;"(BAREMOS!A:A=A477)*(BAREMOS!B:B=B477)*(BAREMOS!C:C=C477)*(BAREMOS!D:D=D477),0),0)),1,
      IF(H477&gt;=MAX(INDEX(BAREMOS!F:X,MATCH(1,(BAREMOS!A:A=A477)*(BAREMOS!B:B=B477)*(BAREMOS!C:C=C477)*(BAREMOS!D:D=D477),0),0)),19,
         MATCH(H477,INDEX(BAREMOS!F:X"&amp;",MATCH(1,(BAREMOS!A:A=A477)*(BAREMOS!B:B=B477)*(BAREMOS!C:C=C477)*(BAREMOS!D:D=D477),0),0),1)
      )
   )
)
,""""))
"),"")</f>
        <v/>
      </c>
      <c r="K477" s="34" t="str">
        <f t="shared" si="1"/>
        <v/>
      </c>
      <c r="L477" s="16"/>
      <c r="M477" s="16"/>
      <c r="N477" s="16"/>
      <c r="O477" s="16"/>
      <c r="P477" s="16"/>
      <c r="Q477" s="16"/>
      <c r="R477" s="16"/>
      <c r="S477" s="16"/>
      <c r="T477" s="16"/>
      <c r="U477" s="16"/>
      <c r="V477" s="16"/>
      <c r="W477" s="16"/>
      <c r="X477" s="16"/>
      <c r="Y477" s="16"/>
      <c r="Z477" s="16"/>
      <c r="AA477" s="16"/>
      <c r="AB477" s="16"/>
      <c r="AC477" s="16"/>
    </row>
    <row r="478">
      <c r="A478" s="22" t="str">
        <f t="array" ref="A478">IF(E478="","",IFERROR(INDEX(CONFIGURACION!C:C,MATCH(E478,CONFIGURACION!E:E,0)),""))
</f>
        <v/>
      </c>
      <c r="B478" s="22" t="str">
        <f t="array" ref="B478">IF(E478="","",IFERROR(INDEX(CONFIGURACION!D:D,MATCH(E478,CONFIGURACION!E:E,0)),""))
</f>
        <v/>
      </c>
      <c r="C478" s="31"/>
      <c r="D478" s="9"/>
      <c r="E478" s="6"/>
      <c r="F478" s="24"/>
      <c r="G478" s="9"/>
      <c r="H478" s="32"/>
      <c r="I478" s="33" t="str">
        <f>IFERROR(__xludf.DUMMYFUNCTION("IF(F478="""","""",LET(
  nombre, TRIM(F478),
  primer, REGEXEXTRACT(nombre, ""^\S+""),
  resto, TRIM(REGEXREPLACE(nombre, ""^\S+\s*"", """")),
  iniciales, IF(
    resto="""",
    """",
    TEXTJOIN("""",1,ARRAYFORMULA(LEFT(SPLIT(resto,"" ""),1) &amp; "".""))"&amp;"
  ),
  UPPER(primer) &amp; "" "" &amp; UPPER(iniciales)
))"),"")</f>
        <v/>
      </c>
      <c r="J478" s="33" t="str">
        <f>IFERROR(__xludf.DUMMYFUNCTION("IF(H478="""","""",IFERROR(
IF(REGEXMATCH(D478,""VELOCIDAD""),
   IF(H478&gt;=MAX(INDEX(BAREMOS!F:X,MATCH(1,(BAREMOS!A:A=A478)*(BAREMOS!B:B=B478)*(BAREMOS!C:C=C478)*(BAREMOS!D:D=D478),0),0)),1,
      IF(H478&lt;=MIN(INDEX(BAREMOS!F:X,MATCH(1,(BAREMOS!A:A=A478)*("&amp;"BAREMOS!B:B=B478)*(BAREMOS!C:C=C478)*(BAREMOS!D:D=D478),0),0)),19,
         MATCH(H478,INDEX(BAREMOS!F:X,MATCH(1,(BAREMOS!A:A=A478)*(BAREMOS!B:B=B478)*(BAREMOS!C:C=C478)*(BAREMOS!D:D=D478),0),0),-1)
      )
   ),
   IF(H478&lt;=MIN(INDEX(BAREMOS!F:X,MATCH(1,"&amp;"(BAREMOS!A:A=A478)*(BAREMOS!B:B=B478)*(BAREMOS!C:C=C478)*(BAREMOS!D:D=D478),0),0)),1,
      IF(H478&gt;=MAX(INDEX(BAREMOS!F:X,MATCH(1,(BAREMOS!A:A=A478)*(BAREMOS!B:B=B478)*(BAREMOS!C:C=C478)*(BAREMOS!D:D=D478),0),0)),19,
         MATCH(H478,INDEX(BAREMOS!F:X"&amp;",MATCH(1,(BAREMOS!A:A=A478)*(BAREMOS!B:B=B478)*(BAREMOS!C:C=C478)*(BAREMOS!D:D=D478),0),0),1)
      )
   )
)
,""""))
"),"")</f>
        <v/>
      </c>
      <c r="K478" s="34" t="str">
        <f t="shared" si="1"/>
        <v/>
      </c>
      <c r="L478" s="16"/>
      <c r="M478" s="16"/>
      <c r="N478" s="16"/>
      <c r="O478" s="16"/>
      <c r="P478" s="16"/>
      <c r="Q478" s="16"/>
      <c r="R478" s="16"/>
      <c r="S478" s="16"/>
      <c r="T478" s="16"/>
      <c r="U478" s="16"/>
      <c r="V478" s="16"/>
      <c r="W478" s="16"/>
      <c r="X478" s="16"/>
      <c r="Y478" s="16"/>
      <c r="Z478" s="16"/>
      <c r="AA478" s="16"/>
      <c r="AB478" s="16"/>
      <c r="AC478" s="16"/>
    </row>
    <row r="479">
      <c r="A479" s="22" t="str">
        <f t="array" ref="A479">IF(E479="","",IFERROR(INDEX(CONFIGURACION!C:C,MATCH(E479,CONFIGURACION!E:E,0)),""))
</f>
        <v/>
      </c>
      <c r="B479" s="22" t="str">
        <f t="array" ref="B479">IF(E479="","",IFERROR(INDEX(CONFIGURACION!D:D,MATCH(E479,CONFIGURACION!E:E,0)),""))
</f>
        <v/>
      </c>
      <c r="C479" s="31"/>
      <c r="D479" s="9"/>
      <c r="E479" s="6"/>
      <c r="F479" s="24"/>
      <c r="G479" s="9"/>
      <c r="H479" s="32"/>
      <c r="I479" s="33" t="str">
        <f>IFERROR(__xludf.DUMMYFUNCTION("IF(F479="""","""",LET(
  nombre, TRIM(F479),
  primer, REGEXEXTRACT(nombre, ""^\S+""),
  resto, TRIM(REGEXREPLACE(nombre, ""^\S+\s*"", """")),
  iniciales, IF(
    resto="""",
    """",
    TEXTJOIN("""",1,ARRAYFORMULA(LEFT(SPLIT(resto,"" ""),1) &amp; "".""))"&amp;"
  ),
  UPPER(primer) &amp; "" "" &amp; UPPER(iniciales)
))"),"")</f>
        <v/>
      </c>
      <c r="J479" s="33" t="str">
        <f>IFERROR(__xludf.DUMMYFUNCTION("IF(H479="""","""",IFERROR(
IF(REGEXMATCH(D479,""VELOCIDAD""),
   IF(H479&gt;=MAX(INDEX(BAREMOS!F:X,MATCH(1,(BAREMOS!A:A=A479)*(BAREMOS!B:B=B479)*(BAREMOS!C:C=C479)*(BAREMOS!D:D=D479),0),0)),1,
      IF(H479&lt;=MIN(INDEX(BAREMOS!F:X,MATCH(1,(BAREMOS!A:A=A479)*("&amp;"BAREMOS!B:B=B479)*(BAREMOS!C:C=C479)*(BAREMOS!D:D=D479),0),0)),19,
         MATCH(H479,INDEX(BAREMOS!F:X,MATCH(1,(BAREMOS!A:A=A479)*(BAREMOS!B:B=B479)*(BAREMOS!C:C=C479)*(BAREMOS!D:D=D479),0),0),-1)
      )
   ),
   IF(H479&lt;=MIN(INDEX(BAREMOS!F:X,MATCH(1,"&amp;"(BAREMOS!A:A=A479)*(BAREMOS!B:B=B479)*(BAREMOS!C:C=C479)*(BAREMOS!D:D=D479),0),0)),1,
      IF(H479&gt;=MAX(INDEX(BAREMOS!F:X,MATCH(1,(BAREMOS!A:A=A479)*(BAREMOS!B:B=B479)*(BAREMOS!C:C=C479)*(BAREMOS!D:D=D479),0),0)),19,
         MATCH(H479,INDEX(BAREMOS!F:X"&amp;",MATCH(1,(BAREMOS!A:A=A479)*(BAREMOS!B:B=B479)*(BAREMOS!C:C=C479)*(BAREMOS!D:D=D479),0),0),1)
      )
   )
)
,""""))
"),"")</f>
        <v/>
      </c>
      <c r="K479" s="34" t="str">
        <f t="shared" si="1"/>
        <v/>
      </c>
      <c r="L479" s="16"/>
      <c r="M479" s="16"/>
      <c r="N479" s="16"/>
      <c r="O479" s="16"/>
      <c r="P479" s="16"/>
      <c r="Q479" s="16"/>
      <c r="R479" s="16"/>
      <c r="S479" s="16"/>
      <c r="T479" s="16"/>
      <c r="U479" s="16"/>
      <c r="V479" s="16"/>
      <c r="W479" s="16"/>
      <c r="X479" s="16"/>
      <c r="Y479" s="16"/>
      <c r="Z479" s="16"/>
      <c r="AA479" s="16"/>
      <c r="AB479" s="16"/>
      <c r="AC479" s="16"/>
    </row>
    <row r="480">
      <c r="A480" s="22" t="str">
        <f t="array" ref="A480">IF(E480="","",IFERROR(INDEX(CONFIGURACION!C:C,MATCH(E480,CONFIGURACION!E:E,0)),""))
</f>
        <v/>
      </c>
      <c r="B480" s="22" t="str">
        <f t="array" ref="B480">IF(E480="","",IFERROR(INDEX(CONFIGURACION!D:D,MATCH(E480,CONFIGURACION!E:E,0)),""))
</f>
        <v/>
      </c>
      <c r="C480" s="31"/>
      <c r="D480" s="9"/>
      <c r="E480" s="6"/>
      <c r="F480" s="24"/>
      <c r="G480" s="9"/>
      <c r="H480" s="32"/>
      <c r="I480" s="33" t="str">
        <f>IFERROR(__xludf.DUMMYFUNCTION("IF(F480="""","""",LET(
  nombre, TRIM(F480),
  primer, REGEXEXTRACT(nombre, ""^\S+""),
  resto, TRIM(REGEXREPLACE(nombre, ""^\S+\s*"", """")),
  iniciales, IF(
    resto="""",
    """",
    TEXTJOIN("""",1,ARRAYFORMULA(LEFT(SPLIT(resto,"" ""),1) &amp; "".""))"&amp;"
  ),
  UPPER(primer) &amp; "" "" &amp; UPPER(iniciales)
))"),"")</f>
        <v/>
      </c>
      <c r="J480" s="33" t="str">
        <f>IFERROR(__xludf.DUMMYFUNCTION("IF(H480="""","""",IFERROR(
IF(REGEXMATCH(D480,""VELOCIDAD""),
   IF(H480&gt;=MAX(INDEX(BAREMOS!F:X,MATCH(1,(BAREMOS!A:A=A480)*(BAREMOS!B:B=B480)*(BAREMOS!C:C=C480)*(BAREMOS!D:D=D480),0),0)),1,
      IF(H480&lt;=MIN(INDEX(BAREMOS!F:X,MATCH(1,(BAREMOS!A:A=A480)*("&amp;"BAREMOS!B:B=B480)*(BAREMOS!C:C=C480)*(BAREMOS!D:D=D480),0),0)),19,
         MATCH(H480,INDEX(BAREMOS!F:X,MATCH(1,(BAREMOS!A:A=A480)*(BAREMOS!B:B=B480)*(BAREMOS!C:C=C480)*(BAREMOS!D:D=D480),0),0),-1)
      )
   ),
   IF(H480&lt;=MIN(INDEX(BAREMOS!F:X,MATCH(1,"&amp;"(BAREMOS!A:A=A480)*(BAREMOS!B:B=B480)*(BAREMOS!C:C=C480)*(BAREMOS!D:D=D480),0),0)),1,
      IF(H480&gt;=MAX(INDEX(BAREMOS!F:X,MATCH(1,(BAREMOS!A:A=A480)*(BAREMOS!B:B=B480)*(BAREMOS!C:C=C480)*(BAREMOS!D:D=D480),0),0)),19,
         MATCH(H480,INDEX(BAREMOS!F:X"&amp;",MATCH(1,(BAREMOS!A:A=A480)*(BAREMOS!B:B=B480)*(BAREMOS!C:C=C480)*(BAREMOS!D:D=D480),0),0),1)
      )
   )
)
,""""))
"),"")</f>
        <v/>
      </c>
      <c r="K480" s="34" t="str">
        <f t="shared" si="1"/>
        <v/>
      </c>
      <c r="L480" s="16"/>
      <c r="M480" s="16"/>
      <c r="N480" s="16"/>
      <c r="O480" s="16"/>
      <c r="P480" s="16"/>
      <c r="Q480" s="16"/>
      <c r="R480" s="16"/>
      <c r="S480" s="16"/>
      <c r="T480" s="16"/>
      <c r="U480" s="16"/>
      <c r="V480" s="16"/>
      <c r="W480" s="16"/>
      <c r="X480" s="16"/>
      <c r="Y480" s="16"/>
      <c r="Z480" s="16"/>
      <c r="AA480" s="16"/>
      <c r="AB480" s="16"/>
      <c r="AC480" s="16"/>
    </row>
    <row r="481">
      <c r="A481" s="22" t="str">
        <f t="array" ref="A481">IF(E481="","",IFERROR(INDEX(CONFIGURACION!C:C,MATCH(E481,CONFIGURACION!E:E,0)),""))
</f>
        <v/>
      </c>
      <c r="B481" s="22" t="str">
        <f t="array" ref="B481">IF(E481="","",IFERROR(INDEX(CONFIGURACION!D:D,MATCH(E481,CONFIGURACION!E:E,0)),""))
</f>
        <v/>
      </c>
      <c r="C481" s="31"/>
      <c r="D481" s="9"/>
      <c r="E481" s="6"/>
      <c r="F481" s="24"/>
      <c r="G481" s="9"/>
      <c r="H481" s="32"/>
      <c r="I481" s="33" t="str">
        <f>IFERROR(__xludf.DUMMYFUNCTION("IF(F481="""","""",LET(
  nombre, TRIM(F481),
  primer, REGEXEXTRACT(nombre, ""^\S+""),
  resto, TRIM(REGEXREPLACE(nombre, ""^\S+\s*"", """")),
  iniciales, IF(
    resto="""",
    """",
    TEXTJOIN("""",1,ARRAYFORMULA(LEFT(SPLIT(resto,"" ""),1) &amp; "".""))"&amp;"
  ),
  UPPER(primer) &amp; "" "" &amp; UPPER(iniciales)
))"),"")</f>
        <v/>
      </c>
      <c r="J481" s="33" t="str">
        <f>IFERROR(__xludf.DUMMYFUNCTION("IF(H481="""","""",IFERROR(
IF(REGEXMATCH(D481,""VELOCIDAD""),
   IF(H481&gt;=MAX(INDEX(BAREMOS!F:X,MATCH(1,(BAREMOS!A:A=A481)*(BAREMOS!B:B=B481)*(BAREMOS!C:C=C481)*(BAREMOS!D:D=D481),0),0)),1,
      IF(H481&lt;=MIN(INDEX(BAREMOS!F:X,MATCH(1,(BAREMOS!A:A=A481)*("&amp;"BAREMOS!B:B=B481)*(BAREMOS!C:C=C481)*(BAREMOS!D:D=D481),0),0)),19,
         MATCH(H481,INDEX(BAREMOS!F:X,MATCH(1,(BAREMOS!A:A=A481)*(BAREMOS!B:B=B481)*(BAREMOS!C:C=C481)*(BAREMOS!D:D=D481),0),0),-1)
      )
   ),
   IF(H481&lt;=MIN(INDEX(BAREMOS!F:X,MATCH(1,"&amp;"(BAREMOS!A:A=A481)*(BAREMOS!B:B=B481)*(BAREMOS!C:C=C481)*(BAREMOS!D:D=D481),0),0)),1,
      IF(H481&gt;=MAX(INDEX(BAREMOS!F:X,MATCH(1,(BAREMOS!A:A=A481)*(BAREMOS!B:B=B481)*(BAREMOS!C:C=C481)*(BAREMOS!D:D=D481),0),0)),19,
         MATCH(H481,INDEX(BAREMOS!F:X"&amp;",MATCH(1,(BAREMOS!A:A=A481)*(BAREMOS!B:B=B481)*(BAREMOS!C:C=C481)*(BAREMOS!D:D=D481),0),0),1)
      )
   )
)
,""""))
"),"")</f>
        <v/>
      </c>
      <c r="K481" s="34" t="str">
        <f t="shared" si="1"/>
        <v/>
      </c>
      <c r="L481" s="16"/>
      <c r="M481" s="16"/>
      <c r="N481" s="16"/>
      <c r="O481" s="16"/>
      <c r="P481" s="16"/>
      <c r="Q481" s="16"/>
      <c r="R481" s="16"/>
      <c r="S481" s="16"/>
      <c r="T481" s="16"/>
      <c r="U481" s="16"/>
      <c r="V481" s="16"/>
      <c r="W481" s="16"/>
      <c r="X481" s="16"/>
      <c r="Y481" s="16"/>
      <c r="Z481" s="16"/>
      <c r="AA481" s="16"/>
      <c r="AB481" s="16"/>
      <c r="AC481" s="16"/>
    </row>
    <row r="482">
      <c r="A482" s="22" t="str">
        <f t="array" ref="A482">IF(E482="","",IFERROR(INDEX(CONFIGURACION!C:C,MATCH(E482,CONFIGURACION!E:E,0)),""))
</f>
        <v/>
      </c>
      <c r="B482" s="22" t="str">
        <f t="array" ref="B482">IF(E482="","",IFERROR(INDEX(CONFIGURACION!D:D,MATCH(E482,CONFIGURACION!E:E,0)),""))
</f>
        <v/>
      </c>
      <c r="C482" s="31"/>
      <c r="D482" s="9"/>
      <c r="E482" s="6"/>
      <c r="F482" s="24"/>
      <c r="G482" s="9"/>
      <c r="H482" s="32"/>
      <c r="I482" s="33" t="str">
        <f>IFERROR(__xludf.DUMMYFUNCTION("IF(F482="""","""",LET(
  nombre, TRIM(F482),
  primer, REGEXEXTRACT(nombre, ""^\S+""),
  resto, TRIM(REGEXREPLACE(nombre, ""^\S+\s*"", """")),
  iniciales, IF(
    resto="""",
    """",
    TEXTJOIN("""",1,ARRAYFORMULA(LEFT(SPLIT(resto,"" ""),1) &amp; "".""))"&amp;"
  ),
  UPPER(primer) &amp; "" "" &amp; UPPER(iniciales)
))"),"")</f>
        <v/>
      </c>
      <c r="J482" s="33" t="str">
        <f>IFERROR(__xludf.DUMMYFUNCTION("IF(H482="""","""",IFERROR(
IF(REGEXMATCH(D482,""VELOCIDAD""),
   IF(H482&gt;=MAX(INDEX(BAREMOS!F:X,MATCH(1,(BAREMOS!A:A=A482)*(BAREMOS!B:B=B482)*(BAREMOS!C:C=C482)*(BAREMOS!D:D=D482),0),0)),1,
      IF(H482&lt;=MIN(INDEX(BAREMOS!F:X,MATCH(1,(BAREMOS!A:A=A482)*("&amp;"BAREMOS!B:B=B482)*(BAREMOS!C:C=C482)*(BAREMOS!D:D=D482),0),0)),19,
         MATCH(H482,INDEX(BAREMOS!F:X,MATCH(1,(BAREMOS!A:A=A482)*(BAREMOS!B:B=B482)*(BAREMOS!C:C=C482)*(BAREMOS!D:D=D482),0),0),-1)
      )
   ),
   IF(H482&lt;=MIN(INDEX(BAREMOS!F:X,MATCH(1,"&amp;"(BAREMOS!A:A=A482)*(BAREMOS!B:B=B482)*(BAREMOS!C:C=C482)*(BAREMOS!D:D=D482),0),0)),1,
      IF(H482&gt;=MAX(INDEX(BAREMOS!F:X,MATCH(1,(BAREMOS!A:A=A482)*(BAREMOS!B:B=B482)*(BAREMOS!C:C=C482)*(BAREMOS!D:D=D482),0),0)),19,
         MATCH(H482,INDEX(BAREMOS!F:X"&amp;",MATCH(1,(BAREMOS!A:A=A482)*(BAREMOS!B:B=B482)*(BAREMOS!C:C=C482)*(BAREMOS!D:D=D482),0),0),1)
      )
   )
)
,""""))
"),"")</f>
        <v/>
      </c>
      <c r="K482" s="34" t="str">
        <f t="shared" si="1"/>
        <v/>
      </c>
      <c r="L482" s="16"/>
      <c r="M482" s="16"/>
      <c r="N482" s="16"/>
      <c r="O482" s="16"/>
      <c r="P482" s="16"/>
      <c r="Q482" s="16"/>
      <c r="R482" s="16"/>
      <c r="S482" s="16"/>
      <c r="T482" s="16"/>
      <c r="U482" s="16"/>
      <c r="V482" s="16"/>
      <c r="W482" s="16"/>
      <c r="X482" s="16"/>
      <c r="Y482" s="16"/>
      <c r="Z482" s="16"/>
      <c r="AA482" s="16"/>
      <c r="AB482" s="16"/>
      <c r="AC482" s="16"/>
    </row>
    <row r="483">
      <c r="A483" s="22" t="str">
        <f t="array" ref="A483">IF(E483="","",IFERROR(INDEX(CONFIGURACION!C:C,MATCH(E483,CONFIGURACION!E:E,0)),""))
</f>
        <v/>
      </c>
      <c r="B483" s="22" t="str">
        <f t="array" ref="B483">IF(E483="","",IFERROR(INDEX(CONFIGURACION!D:D,MATCH(E483,CONFIGURACION!E:E,0)),""))
</f>
        <v/>
      </c>
      <c r="C483" s="31"/>
      <c r="D483" s="9"/>
      <c r="E483" s="6"/>
      <c r="F483" s="24"/>
      <c r="G483" s="9"/>
      <c r="H483" s="32"/>
      <c r="I483" s="33" t="str">
        <f>IFERROR(__xludf.DUMMYFUNCTION("IF(F483="""","""",LET(
  nombre, TRIM(F483),
  primer, REGEXEXTRACT(nombre, ""^\S+""),
  resto, TRIM(REGEXREPLACE(nombre, ""^\S+\s*"", """")),
  iniciales, IF(
    resto="""",
    """",
    TEXTJOIN("""",1,ARRAYFORMULA(LEFT(SPLIT(resto,"" ""),1) &amp; "".""))"&amp;"
  ),
  UPPER(primer) &amp; "" "" &amp; UPPER(iniciales)
))"),"")</f>
        <v/>
      </c>
      <c r="J483" s="33" t="str">
        <f>IFERROR(__xludf.DUMMYFUNCTION("IF(H483="""","""",IFERROR(
IF(REGEXMATCH(D483,""VELOCIDAD""),
   IF(H483&gt;=MAX(INDEX(BAREMOS!F:X,MATCH(1,(BAREMOS!A:A=A483)*(BAREMOS!B:B=B483)*(BAREMOS!C:C=C483)*(BAREMOS!D:D=D483),0),0)),1,
      IF(H483&lt;=MIN(INDEX(BAREMOS!F:X,MATCH(1,(BAREMOS!A:A=A483)*("&amp;"BAREMOS!B:B=B483)*(BAREMOS!C:C=C483)*(BAREMOS!D:D=D483),0),0)),19,
         MATCH(H483,INDEX(BAREMOS!F:X,MATCH(1,(BAREMOS!A:A=A483)*(BAREMOS!B:B=B483)*(BAREMOS!C:C=C483)*(BAREMOS!D:D=D483),0),0),-1)
      )
   ),
   IF(H483&lt;=MIN(INDEX(BAREMOS!F:X,MATCH(1,"&amp;"(BAREMOS!A:A=A483)*(BAREMOS!B:B=B483)*(BAREMOS!C:C=C483)*(BAREMOS!D:D=D483),0),0)),1,
      IF(H483&gt;=MAX(INDEX(BAREMOS!F:X,MATCH(1,(BAREMOS!A:A=A483)*(BAREMOS!B:B=B483)*(BAREMOS!C:C=C483)*(BAREMOS!D:D=D483),0),0)),19,
         MATCH(H483,INDEX(BAREMOS!F:X"&amp;",MATCH(1,(BAREMOS!A:A=A483)*(BAREMOS!B:B=B483)*(BAREMOS!C:C=C483)*(BAREMOS!D:D=D483),0),0),1)
      )
   )
)
,""""))
"),"")</f>
        <v/>
      </c>
      <c r="K483" s="34" t="str">
        <f t="shared" si="1"/>
        <v/>
      </c>
      <c r="L483" s="16"/>
      <c r="M483" s="16"/>
      <c r="N483" s="16"/>
      <c r="O483" s="16"/>
      <c r="P483" s="16"/>
      <c r="Q483" s="16"/>
      <c r="R483" s="16"/>
      <c r="S483" s="16"/>
      <c r="T483" s="16"/>
      <c r="U483" s="16"/>
      <c r="V483" s="16"/>
      <c r="W483" s="16"/>
      <c r="X483" s="16"/>
      <c r="Y483" s="16"/>
      <c r="Z483" s="16"/>
      <c r="AA483" s="16"/>
      <c r="AB483" s="16"/>
      <c r="AC483" s="16"/>
    </row>
    <row r="484">
      <c r="A484" s="22" t="str">
        <f t="array" ref="A484">IF(E484="","",IFERROR(INDEX(CONFIGURACION!C:C,MATCH(E484,CONFIGURACION!E:E,0)),""))
</f>
        <v/>
      </c>
      <c r="B484" s="22" t="str">
        <f t="array" ref="B484">IF(E484="","",IFERROR(INDEX(CONFIGURACION!D:D,MATCH(E484,CONFIGURACION!E:E,0)),""))
</f>
        <v/>
      </c>
      <c r="C484" s="31"/>
      <c r="D484" s="9"/>
      <c r="E484" s="6"/>
      <c r="F484" s="24"/>
      <c r="G484" s="9"/>
      <c r="H484" s="32"/>
      <c r="I484" s="33" t="str">
        <f>IFERROR(__xludf.DUMMYFUNCTION("IF(F484="""","""",LET(
  nombre, TRIM(F484),
  primer, REGEXEXTRACT(nombre, ""^\S+""),
  resto, TRIM(REGEXREPLACE(nombre, ""^\S+\s*"", """")),
  iniciales, IF(
    resto="""",
    """",
    TEXTJOIN("""",1,ARRAYFORMULA(LEFT(SPLIT(resto,"" ""),1) &amp; "".""))"&amp;"
  ),
  UPPER(primer) &amp; "" "" &amp; UPPER(iniciales)
))"),"")</f>
        <v/>
      </c>
      <c r="J484" s="33" t="str">
        <f>IFERROR(__xludf.DUMMYFUNCTION("IF(H484="""","""",IFERROR(
IF(REGEXMATCH(D484,""VELOCIDAD""),
   IF(H484&gt;=MAX(INDEX(BAREMOS!F:X,MATCH(1,(BAREMOS!A:A=A484)*(BAREMOS!B:B=B484)*(BAREMOS!C:C=C484)*(BAREMOS!D:D=D484),0),0)),1,
      IF(H484&lt;=MIN(INDEX(BAREMOS!F:X,MATCH(1,(BAREMOS!A:A=A484)*("&amp;"BAREMOS!B:B=B484)*(BAREMOS!C:C=C484)*(BAREMOS!D:D=D484),0),0)),19,
         MATCH(H484,INDEX(BAREMOS!F:X,MATCH(1,(BAREMOS!A:A=A484)*(BAREMOS!B:B=B484)*(BAREMOS!C:C=C484)*(BAREMOS!D:D=D484),0),0),-1)
      )
   ),
   IF(H484&lt;=MIN(INDEX(BAREMOS!F:X,MATCH(1,"&amp;"(BAREMOS!A:A=A484)*(BAREMOS!B:B=B484)*(BAREMOS!C:C=C484)*(BAREMOS!D:D=D484),0),0)),1,
      IF(H484&gt;=MAX(INDEX(BAREMOS!F:X,MATCH(1,(BAREMOS!A:A=A484)*(BAREMOS!B:B=B484)*(BAREMOS!C:C=C484)*(BAREMOS!D:D=D484),0),0)),19,
         MATCH(H484,INDEX(BAREMOS!F:X"&amp;",MATCH(1,(BAREMOS!A:A=A484)*(BAREMOS!B:B=B484)*(BAREMOS!C:C=C484)*(BAREMOS!D:D=D484),0),0),1)
      )
   )
)
,""""))
"),"")</f>
        <v/>
      </c>
      <c r="K484" s="34" t="str">
        <f t="shared" si="1"/>
        <v/>
      </c>
      <c r="L484" s="16"/>
      <c r="M484" s="16"/>
      <c r="N484" s="16"/>
      <c r="O484" s="16"/>
      <c r="P484" s="16"/>
      <c r="Q484" s="16"/>
      <c r="R484" s="16"/>
      <c r="S484" s="16"/>
      <c r="T484" s="16"/>
      <c r="U484" s="16"/>
      <c r="V484" s="16"/>
      <c r="W484" s="16"/>
      <c r="X484" s="16"/>
      <c r="Y484" s="16"/>
      <c r="Z484" s="16"/>
      <c r="AA484" s="16"/>
      <c r="AB484" s="16"/>
      <c r="AC484" s="16"/>
    </row>
    <row r="485">
      <c r="A485" s="22" t="str">
        <f t="array" ref="A485">IF(E485="","",IFERROR(INDEX(CONFIGURACION!C:C,MATCH(E485,CONFIGURACION!E:E,0)),""))
</f>
        <v/>
      </c>
      <c r="B485" s="22" t="str">
        <f t="array" ref="B485">IF(E485="","",IFERROR(INDEX(CONFIGURACION!D:D,MATCH(E485,CONFIGURACION!E:E,0)),""))
</f>
        <v/>
      </c>
      <c r="C485" s="31"/>
      <c r="D485" s="9"/>
      <c r="E485" s="6"/>
      <c r="F485" s="24"/>
      <c r="G485" s="9"/>
      <c r="H485" s="32"/>
      <c r="I485" s="33" t="str">
        <f>IFERROR(__xludf.DUMMYFUNCTION("IF(F485="""","""",LET(
  nombre, TRIM(F485),
  primer, REGEXEXTRACT(nombre, ""^\S+""),
  resto, TRIM(REGEXREPLACE(nombre, ""^\S+\s*"", """")),
  iniciales, IF(
    resto="""",
    """",
    TEXTJOIN("""",1,ARRAYFORMULA(LEFT(SPLIT(resto,"" ""),1) &amp; "".""))"&amp;"
  ),
  UPPER(primer) &amp; "" "" &amp; UPPER(iniciales)
))"),"")</f>
        <v/>
      </c>
      <c r="J485" s="33" t="str">
        <f>IFERROR(__xludf.DUMMYFUNCTION("IF(H485="""","""",IFERROR(
IF(REGEXMATCH(D485,""VELOCIDAD""),
   IF(H485&gt;=MAX(INDEX(BAREMOS!F:X,MATCH(1,(BAREMOS!A:A=A485)*(BAREMOS!B:B=B485)*(BAREMOS!C:C=C485)*(BAREMOS!D:D=D485),0),0)),1,
      IF(H485&lt;=MIN(INDEX(BAREMOS!F:X,MATCH(1,(BAREMOS!A:A=A485)*("&amp;"BAREMOS!B:B=B485)*(BAREMOS!C:C=C485)*(BAREMOS!D:D=D485),0),0)),19,
         MATCH(H485,INDEX(BAREMOS!F:X,MATCH(1,(BAREMOS!A:A=A485)*(BAREMOS!B:B=B485)*(BAREMOS!C:C=C485)*(BAREMOS!D:D=D485),0),0),-1)
      )
   ),
   IF(H485&lt;=MIN(INDEX(BAREMOS!F:X,MATCH(1,"&amp;"(BAREMOS!A:A=A485)*(BAREMOS!B:B=B485)*(BAREMOS!C:C=C485)*(BAREMOS!D:D=D485),0),0)),1,
      IF(H485&gt;=MAX(INDEX(BAREMOS!F:X,MATCH(1,(BAREMOS!A:A=A485)*(BAREMOS!B:B=B485)*(BAREMOS!C:C=C485)*(BAREMOS!D:D=D485),0),0)),19,
         MATCH(H485,INDEX(BAREMOS!F:X"&amp;",MATCH(1,(BAREMOS!A:A=A485)*(BAREMOS!B:B=B485)*(BAREMOS!C:C=C485)*(BAREMOS!D:D=D485),0),0),1)
      )
   )
)
,""""))
"),"")</f>
        <v/>
      </c>
      <c r="K485" s="34" t="str">
        <f t="shared" si="1"/>
        <v/>
      </c>
      <c r="L485" s="16"/>
      <c r="M485" s="16"/>
      <c r="N485" s="16"/>
      <c r="O485" s="16"/>
      <c r="P485" s="16"/>
      <c r="Q485" s="16"/>
      <c r="R485" s="16"/>
      <c r="S485" s="16"/>
      <c r="T485" s="16"/>
      <c r="U485" s="16"/>
      <c r="V485" s="16"/>
      <c r="W485" s="16"/>
      <c r="X485" s="16"/>
      <c r="Y485" s="16"/>
      <c r="Z485" s="16"/>
      <c r="AA485" s="16"/>
      <c r="AB485" s="16"/>
      <c r="AC485" s="16"/>
    </row>
    <row r="486">
      <c r="A486" s="22" t="str">
        <f t="array" ref="A486">IF(E486="","",IFERROR(INDEX(CONFIGURACION!C:C,MATCH(E486,CONFIGURACION!E:E,0)),""))
</f>
        <v/>
      </c>
      <c r="B486" s="22" t="str">
        <f t="array" ref="B486">IF(E486="","",IFERROR(INDEX(CONFIGURACION!D:D,MATCH(E486,CONFIGURACION!E:E,0)),""))
</f>
        <v/>
      </c>
      <c r="C486" s="31"/>
      <c r="D486" s="9"/>
      <c r="E486" s="6"/>
      <c r="F486" s="24"/>
      <c r="G486" s="9"/>
      <c r="H486" s="32"/>
      <c r="I486" s="33" t="str">
        <f>IFERROR(__xludf.DUMMYFUNCTION("IF(F486="""","""",LET(
  nombre, TRIM(F486),
  primer, REGEXEXTRACT(nombre, ""^\S+""),
  resto, TRIM(REGEXREPLACE(nombre, ""^\S+\s*"", """")),
  iniciales, IF(
    resto="""",
    """",
    TEXTJOIN("""",1,ARRAYFORMULA(LEFT(SPLIT(resto,"" ""),1) &amp; "".""))"&amp;"
  ),
  UPPER(primer) &amp; "" "" &amp; UPPER(iniciales)
))"),"")</f>
        <v/>
      </c>
      <c r="J486" s="33" t="str">
        <f>IFERROR(__xludf.DUMMYFUNCTION("IF(H486="""","""",IFERROR(
IF(REGEXMATCH(D486,""VELOCIDAD""),
   IF(H486&gt;=MAX(INDEX(BAREMOS!F:X,MATCH(1,(BAREMOS!A:A=A486)*(BAREMOS!B:B=B486)*(BAREMOS!C:C=C486)*(BAREMOS!D:D=D486),0),0)),1,
      IF(H486&lt;=MIN(INDEX(BAREMOS!F:X,MATCH(1,(BAREMOS!A:A=A486)*("&amp;"BAREMOS!B:B=B486)*(BAREMOS!C:C=C486)*(BAREMOS!D:D=D486),0),0)),19,
         MATCH(H486,INDEX(BAREMOS!F:X,MATCH(1,(BAREMOS!A:A=A486)*(BAREMOS!B:B=B486)*(BAREMOS!C:C=C486)*(BAREMOS!D:D=D486),0),0),-1)
      )
   ),
   IF(H486&lt;=MIN(INDEX(BAREMOS!F:X,MATCH(1,"&amp;"(BAREMOS!A:A=A486)*(BAREMOS!B:B=B486)*(BAREMOS!C:C=C486)*(BAREMOS!D:D=D486),0),0)),1,
      IF(H486&gt;=MAX(INDEX(BAREMOS!F:X,MATCH(1,(BAREMOS!A:A=A486)*(BAREMOS!B:B=B486)*(BAREMOS!C:C=C486)*(BAREMOS!D:D=D486),0),0)),19,
         MATCH(H486,INDEX(BAREMOS!F:X"&amp;",MATCH(1,(BAREMOS!A:A=A486)*(BAREMOS!B:B=B486)*(BAREMOS!C:C=C486)*(BAREMOS!D:D=D486),0),0),1)
      )
   )
)
,""""))
"),"")</f>
        <v/>
      </c>
      <c r="K486" s="34" t="str">
        <f t="shared" si="1"/>
        <v/>
      </c>
      <c r="L486" s="16"/>
      <c r="M486" s="16"/>
      <c r="N486" s="16"/>
      <c r="O486" s="16"/>
      <c r="P486" s="16"/>
      <c r="Q486" s="16"/>
      <c r="R486" s="16"/>
      <c r="S486" s="16"/>
      <c r="T486" s="16"/>
      <c r="U486" s="16"/>
      <c r="V486" s="16"/>
      <c r="W486" s="16"/>
      <c r="X486" s="16"/>
      <c r="Y486" s="16"/>
      <c r="Z486" s="16"/>
      <c r="AA486" s="16"/>
      <c r="AB486" s="16"/>
      <c r="AC486" s="16"/>
    </row>
    <row r="487">
      <c r="A487" s="22" t="str">
        <f t="array" ref="A487">IF(E487="","",IFERROR(INDEX(CONFIGURACION!C:C,MATCH(E487,CONFIGURACION!E:E,0)),""))
</f>
        <v/>
      </c>
      <c r="B487" s="22" t="str">
        <f t="array" ref="B487">IF(E487="","",IFERROR(INDEX(CONFIGURACION!D:D,MATCH(E487,CONFIGURACION!E:E,0)),""))
</f>
        <v/>
      </c>
      <c r="C487" s="31"/>
      <c r="D487" s="9"/>
      <c r="E487" s="6"/>
      <c r="F487" s="24"/>
      <c r="G487" s="9"/>
      <c r="H487" s="32"/>
      <c r="I487" s="33" t="str">
        <f>IFERROR(__xludf.DUMMYFUNCTION("IF(F487="""","""",LET(
  nombre, TRIM(F487),
  primer, REGEXEXTRACT(nombre, ""^\S+""),
  resto, TRIM(REGEXREPLACE(nombre, ""^\S+\s*"", """")),
  iniciales, IF(
    resto="""",
    """",
    TEXTJOIN("""",1,ARRAYFORMULA(LEFT(SPLIT(resto,"" ""),1) &amp; "".""))"&amp;"
  ),
  UPPER(primer) &amp; "" "" &amp; UPPER(iniciales)
))"),"")</f>
        <v/>
      </c>
      <c r="J487" s="33" t="str">
        <f>IFERROR(__xludf.DUMMYFUNCTION("IF(H487="""","""",IFERROR(
IF(REGEXMATCH(D487,""VELOCIDAD""),
   IF(H487&gt;=MAX(INDEX(BAREMOS!F:X,MATCH(1,(BAREMOS!A:A=A487)*(BAREMOS!B:B=B487)*(BAREMOS!C:C=C487)*(BAREMOS!D:D=D487),0),0)),1,
      IF(H487&lt;=MIN(INDEX(BAREMOS!F:X,MATCH(1,(BAREMOS!A:A=A487)*("&amp;"BAREMOS!B:B=B487)*(BAREMOS!C:C=C487)*(BAREMOS!D:D=D487),0),0)),19,
         MATCH(H487,INDEX(BAREMOS!F:X,MATCH(1,(BAREMOS!A:A=A487)*(BAREMOS!B:B=B487)*(BAREMOS!C:C=C487)*(BAREMOS!D:D=D487),0),0),-1)
      )
   ),
   IF(H487&lt;=MIN(INDEX(BAREMOS!F:X,MATCH(1,"&amp;"(BAREMOS!A:A=A487)*(BAREMOS!B:B=B487)*(BAREMOS!C:C=C487)*(BAREMOS!D:D=D487),0),0)),1,
      IF(H487&gt;=MAX(INDEX(BAREMOS!F:X,MATCH(1,(BAREMOS!A:A=A487)*(BAREMOS!B:B=B487)*(BAREMOS!C:C=C487)*(BAREMOS!D:D=D487),0),0)),19,
         MATCH(H487,INDEX(BAREMOS!F:X"&amp;",MATCH(1,(BAREMOS!A:A=A487)*(BAREMOS!B:B=B487)*(BAREMOS!C:C=C487)*(BAREMOS!D:D=D487),0),0),1)
      )
   )
)
,""""))
"),"")</f>
        <v/>
      </c>
      <c r="K487" s="34" t="str">
        <f t="shared" si="1"/>
        <v/>
      </c>
      <c r="L487" s="16"/>
      <c r="M487" s="16"/>
      <c r="N487" s="16"/>
      <c r="O487" s="16"/>
      <c r="P487" s="16"/>
      <c r="Q487" s="16"/>
      <c r="R487" s="16"/>
      <c r="S487" s="16"/>
      <c r="T487" s="16"/>
      <c r="U487" s="16"/>
      <c r="V487" s="16"/>
      <c r="W487" s="16"/>
      <c r="X487" s="16"/>
      <c r="Y487" s="16"/>
      <c r="Z487" s="16"/>
      <c r="AA487" s="16"/>
      <c r="AB487" s="16"/>
      <c r="AC487" s="16"/>
    </row>
    <row r="488">
      <c r="A488" s="22" t="str">
        <f t="array" ref="A488">IF(E488="","",IFERROR(INDEX(CONFIGURACION!C:C,MATCH(E488,CONFIGURACION!E:E,0)),""))
</f>
        <v/>
      </c>
      <c r="B488" s="22" t="str">
        <f t="array" ref="B488">IF(E488="","",IFERROR(INDEX(CONFIGURACION!D:D,MATCH(E488,CONFIGURACION!E:E,0)),""))
</f>
        <v/>
      </c>
      <c r="C488" s="31"/>
      <c r="D488" s="9"/>
      <c r="E488" s="6"/>
      <c r="F488" s="24"/>
      <c r="G488" s="9"/>
      <c r="H488" s="32"/>
      <c r="I488" s="33" t="str">
        <f>IFERROR(__xludf.DUMMYFUNCTION("IF(F488="""","""",LET(
  nombre, TRIM(F488),
  primer, REGEXEXTRACT(nombre, ""^\S+""),
  resto, TRIM(REGEXREPLACE(nombre, ""^\S+\s*"", """")),
  iniciales, IF(
    resto="""",
    """",
    TEXTJOIN("""",1,ARRAYFORMULA(LEFT(SPLIT(resto,"" ""),1) &amp; "".""))"&amp;"
  ),
  UPPER(primer) &amp; "" "" &amp; UPPER(iniciales)
))"),"")</f>
        <v/>
      </c>
      <c r="J488" s="33" t="str">
        <f>IFERROR(__xludf.DUMMYFUNCTION("IF(H488="""","""",IFERROR(
IF(REGEXMATCH(D488,""VELOCIDAD""),
   IF(H488&gt;=MAX(INDEX(BAREMOS!F:X,MATCH(1,(BAREMOS!A:A=A488)*(BAREMOS!B:B=B488)*(BAREMOS!C:C=C488)*(BAREMOS!D:D=D488),0),0)),1,
      IF(H488&lt;=MIN(INDEX(BAREMOS!F:X,MATCH(1,(BAREMOS!A:A=A488)*("&amp;"BAREMOS!B:B=B488)*(BAREMOS!C:C=C488)*(BAREMOS!D:D=D488),0),0)),19,
         MATCH(H488,INDEX(BAREMOS!F:X,MATCH(1,(BAREMOS!A:A=A488)*(BAREMOS!B:B=B488)*(BAREMOS!C:C=C488)*(BAREMOS!D:D=D488),0),0),-1)
      )
   ),
   IF(H488&lt;=MIN(INDEX(BAREMOS!F:X,MATCH(1,"&amp;"(BAREMOS!A:A=A488)*(BAREMOS!B:B=B488)*(BAREMOS!C:C=C488)*(BAREMOS!D:D=D488),0),0)),1,
      IF(H488&gt;=MAX(INDEX(BAREMOS!F:X,MATCH(1,(BAREMOS!A:A=A488)*(BAREMOS!B:B=B488)*(BAREMOS!C:C=C488)*(BAREMOS!D:D=D488),0),0)),19,
         MATCH(H488,INDEX(BAREMOS!F:X"&amp;",MATCH(1,(BAREMOS!A:A=A488)*(BAREMOS!B:B=B488)*(BAREMOS!C:C=C488)*(BAREMOS!D:D=D488),0),0),1)
      )
   )
)
,""""))
"),"")</f>
        <v/>
      </c>
      <c r="K488" s="34" t="str">
        <f t="shared" si="1"/>
        <v/>
      </c>
      <c r="L488" s="16"/>
      <c r="M488" s="16"/>
      <c r="N488" s="16"/>
      <c r="O488" s="16"/>
      <c r="P488" s="16"/>
      <c r="Q488" s="16"/>
      <c r="R488" s="16"/>
      <c r="S488" s="16"/>
      <c r="T488" s="16"/>
      <c r="U488" s="16"/>
      <c r="V488" s="16"/>
      <c r="W488" s="16"/>
      <c r="X488" s="16"/>
      <c r="Y488" s="16"/>
      <c r="Z488" s="16"/>
      <c r="AA488" s="16"/>
      <c r="AB488" s="16"/>
      <c r="AC488" s="16"/>
    </row>
    <row r="489">
      <c r="A489" s="22" t="str">
        <f t="array" ref="A489">IF(E489="","",IFERROR(INDEX(CONFIGURACION!C:C,MATCH(E489,CONFIGURACION!E:E,0)),""))
</f>
        <v/>
      </c>
      <c r="B489" s="22" t="str">
        <f t="array" ref="B489">IF(E489="","",IFERROR(INDEX(CONFIGURACION!D:D,MATCH(E489,CONFIGURACION!E:E,0)),""))
</f>
        <v/>
      </c>
      <c r="C489" s="31"/>
      <c r="D489" s="9"/>
      <c r="E489" s="6"/>
      <c r="F489" s="24"/>
      <c r="G489" s="9"/>
      <c r="H489" s="32"/>
      <c r="I489" s="33" t="str">
        <f>IFERROR(__xludf.DUMMYFUNCTION("IF(F489="""","""",LET(
  nombre, TRIM(F489),
  primer, REGEXEXTRACT(nombre, ""^\S+""),
  resto, TRIM(REGEXREPLACE(nombre, ""^\S+\s*"", """")),
  iniciales, IF(
    resto="""",
    """",
    TEXTJOIN("""",1,ARRAYFORMULA(LEFT(SPLIT(resto,"" ""),1) &amp; "".""))"&amp;"
  ),
  UPPER(primer) &amp; "" "" &amp; UPPER(iniciales)
))"),"")</f>
        <v/>
      </c>
      <c r="J489" s="33" t="str">
        <f>IFERROR(__xludf.DUMMYFUNCTION("IF(H489="""","""",IFERROR(
IF(REGEXMATCH(D489,""VELOCIDAD""),
   IF(H489&gt;=MAX(INDEX(BAREMOS!F:X,MATCH(1,(BAREMOS!A:A=A489)*(BAREMOS!B:B=B489)*(BAREMOS!C:C=C489)*(BAREMOS!D:D=D489),0),0)),1,
      IF(H489&lt;=MIN(INDEX(BAREMOS!F:X,MATCH(1,(BAREMOS!A:A=A489)*("&amp;"BAREMOS!B:B=B489)*(BAREMOS!C:C=C489)*(BAREMOS!D:D=D489),0),0)),19,
         MATCH(H489,INDEX(BAREMOS!F:X,MATCH(1,(BAREMOS!A:A=A489)*(BAREMOS!B:B=B489)*(BAREMOS!C:C=C489)*(BAREMOS!D:D=D489),0),0),-1)
      )
   ),
   IF(H489&lt;=MIN(INDEX(BAREMOS!F:X,MATCH(1,"&amp;"(BAREMOS!A:A=A489)*(BAREMOS!B:B=B489)*(BAREMOS!C:C=C489)*(BAREMOS!D:D=D489),0),0)),1,
      IF(H489&gt;=MAX(INDEX(BAREMOS!F:X,MATCH(1,(BAREMOS!A:A=A489)*(BAREMOS!B:B=B489)*(BAREMOS!C:C=C489)*(BAREMOS!D:D=D489),0),0)),19,
         MATCH(H489,INDEX(BAREMOS!F:X"&amp;",MATCH(1,(BAREMOS!A:A=A489)*(BAREMOS!B:B=B489)*(BAREMOS!C:C=C489)*(BAREMOS!D:D=D489),0),0),1)
      )
   )
)
,""""))
"),"")</f>
        <v/>
      </c>
      <c r="K489" s="34" t="str">
        <f t="shared" si="1"/>
        <v/>
      </c>
      <c r="L489" s="16"/>
      <c r="M489" s="16"/>
      <c r="N489" s="16"/>
      <c r="O489" s="16"/>
      <c r="P489" s="16"/>
      <c r="Q489" s="16"/>
      <c r="R489" s="16"/>
      <c r="S489" s="16"/>
      <c r="T489" s="16"/>
      <c r="U489" s="16"/>
      <c r="V489" s="16"/>
      <c r="W489" s="16"/>
      <c r="X489" s="16"/>
      <c r="Y489" s="16"/>
      <c r="Z489" s="16"/>
      <c r="AA489" s="16"/>
      <c r="AB489" s="16"/>
      <c r="AC489" s="16"/>
    </row>
    <row r="490">
      <c r="A490" s="22" t="str">
        <f t="array" ref="A490">IF(E490="","",IFERROR(INDEX(CONFIGURACION!C:C,MATCH(E490,CONFIGURACION!E:E,0)),""))
</f>
        <v/>
      </c>
      <c r="B490" s="22" t="str">
        <f t="array" ref="B490">IF(E490="","",IFERROR(INDEX(CONFIGURACION!D:D,MATCH(E490,CONFIGURACION!E:E,0)),""))
</f>
        <v/>
      </c>
      <c r="C490" s="31"/>
      <c r="D490" s="9"/>
      <c r="E490" s="6"/>
      <c r="F490" s="24"/>
      <c r="G490" s="9"/>
      <c r="H490" s="32"/>
      <c r="I490" s="33" t="str">
        <f>IFERROR(__xludf.DUMMYFUNCTION("IF(F490="""","""",LET(
  nombre, TRIM(F490),
  primer, REGEXEXTRACT(nombre, ""^\S+""),
  resto, TRIM(REGEXREPLACE(nombre, ""^\S+\s*"", """")),
  iniciales, IF(
    resto="""",
    """",
    TEXTJOIN("""",1,ARRAYFORMULA(LEFT(SPLIT(resto,"" ""),1) &amp; "".""))"&amp;"
  ),
  UPPER(primer) &amp; "" "" &amp; UPPER(iniciales)
))"),"")</f>
        <v/>
      </c>
      <c r="J490" s="33" t="str">
        <f>IFERROR(__xludf.DUMMYFUNCTION("IF(H490="""","""",IFERROR(
IF(REGEXMATCH(D490,""VELOCIDAD""),
   IF(H490&gt;=MAX(INDEX(BAREMOS!F:X,MATCH(1,(BAREMOS!A:A=A490)*(BAREMOS!B:B=B490)*(BAREMOS!C:C=C490)*(BAREMOS!D:D=D490),0),0)),1,
      IF(H490&lt;=MIN(INDEX(BAREMOS!F:X,MATCH(1,(BAREMOS!A:A=A490)*("&amp;"BAREMOS!B:B=B490)*(BAREMOS!C:C=C490)*(BAREMOS!D:D=D490),0),0)),19,
         MATCH(H490,INDEX(BAREMOS!F:X,MATCH(1,(BAREMOS!A:A=A490)*(BAREMOS!B:B=B490)*(BAREMOS!C:C=C490)*(BAREMOS!D:D=D490),0),0),-1)
      )
   ),
   IF(H490&lt;=MIN(INDEX(BAREMOS!F:X,MATCH(1,"&amp;"(BAREMOS!A:A=A490)*(BAREMOS!B:B=B490)*(BAREMOS!C:C=C490)*(BAREMOS!D:D=D490),0),0)),1,
      IF(H490&gt;=MAX(INDEX(BAREMOS!F:X,MATCH(1,(BAREMOS!A:A=A490)*(BAREMOS!B:B=B490)*(BAREMOS!C:C=C490)*(BAREMOS!D:D=D490),0),0)),19,
         MATCH(H490,INDEX(BAREMOS!F:X"&amp;",MATCH(1,(BAREMOS!A:A=A490)*(BAREMOS!B:B=B490)*(BAREMOS!C:C=C490)*(BAREMOS!D:D=D490),0),0),1)
      )
   )
)
,""""))
"),"")</f>
        <v/>
      </c>
      <c r="K490" s="34" t="str">
        <f t="shared" si="1"/>
        <v/>
      </c>
      <c r="L490" s="16"/>
      <c r="M490" s="16"/>
      <c r="N490" s="16"/>
      <c r="O490" s="16"/>
      <c r="P490" s="16"/>
      <c r="Q490" s="16"/>
      <c r="R490" s="16"/>
      <c r="S490" s="16"/>
      <c r="T490" s="16"/>
      <c r="U490" s="16"/>
      <c r="V490" s="16"/>
      <c r="W490" s="16"/>
      <c r="X490" s="16"/>
      <c r="Y490" s="16"/>
      <c r="Z490" s="16"/>
      <c r="AA490" s="16"/>
      <c r="AB490" s="16"/>
      <c r="AC490" s="16"/>
    </row>
    <row r="491">
      <c r="A491" s="22" t="str">
        <f t="array" ref="A491">IF(E491="","",IFERROR(INDEX(CONFIGURACION!C:C,MATCH(E491,CONFIGURACION!E:E,0)),""))
</f>
        <v/>
      </c>
      <c r="B491" s="22" t="str">
        <f t="array" ref="B491">IF(E491="","",IFERROR(INDEX(CONFIGURACION!D:D,MATCH(E491,CONFIGURACION!E:E,0)),""))
</f>
        <v/>
      </c>
      <c r="C491" s="31"/>
      <c r="D491" s="9"/>
      <c r="E491" s="6"/>
      <c r="F491" s="24"/>
      <c r="G491" s="9"/>
      <c r="H491" s="32"/>
      <c r="I491" s="33" t="str">
        <f>IFERROR(__xludf.DUMMYFUNCTION("IF(F491="""","""",LET(
  nombre, TRIM(F491),
  primer, REGEXEXTRACT(nombre, ""^\S+""),
  resto, TRIM(REGEXREPLACE(nombre, ""^\S+\s*"", """")),
  iniciales, IF(
    resto="""",
    """",
    TEXTJOIN("""",1,ARRAYFORMULA(LEFT(SPLIT(resto,"" ""),1) &amp; "".""))"&amp;"
  ),
  UPPER(primer) &amp; "" "" &amp; UPPER(iniciales)
))"),"")</f>
        <v/>
      </c>
      <c r="J491" s="33" t="str">
        <f>IFERROR(__xludf.DUMMYFUNCTION("IF(H491="""","""",IFERROR(
IF(REGEXMATCH(D491,""VELOCIDAD""),
   IF(H491&gt;=MAX(INDEX(BAREMOS!F:X,MATCH(1,(BAREMOS!A:A=A491)*(BAREMOS!B:B=B491)*(BAREMOS!C:C=C491)*(BAREMOS!D:D=D491),0),0)),1,
      IF(H491&lt;=MIN(INDEX(BAREMOS!F:X,MATCH(1,(BAREMOS!A:A=A491)*("&amp;"BAREMOS!B:B=B491)*(BAREMOS!C:C=C491)*(BAREMOS!D:D=D491),0),0)),19,
         MATCH(H491,INDEX(BAREMOS!F:X,MATCH(1,(BAREMOS!A:A=A491)*(BAREMOS!B:B=B491)*(BAREMOS!C:C=C491)*(BAREMOS!D:D=D491),0),0),-1)
      )
   ),
   IF(H491&lt;=MIN(INDEX(BAREMOS!F:X,MATCH(1,"&amp;"(BAREMOS!A:A=A491)*(BAREMOS!B:B=B491)*(BAREMOS!C:C=C491)*(BAREMOS!D:D=D491),0),0)),1,
      IF(H491&gt;=MAX(INDEX(BAREMOS!F:X,MATCH(1,(BAREMOS!A:A=A491)*(BAREMOS!B:B=B491)*(BAREMOS!C:C=C491)*(BAREMOS!D:D=D491),0),0)),19,
         MATCH(H491,INDEX(BAREMOS!F:X"&amp;",MATCH(1,(BAREMOS!A:A=A491)*(BAREMOS!B:B=B491)*(BAREMOS!C:C=C491)*(BAREMOS!D:D=D491),0),0),1)
      )
   )
)
,""""))
"),"")</f>
        <v/>
      </c>
      <c r="K491" s="34" t="str">
        <f t="shared" si="1"/>
        <v/>
      </c>
      <c r="L491" s="16"/>
      <c r="M491" s="16"/>
      <c r="N491" s="16"/>
      <c r="O491" s="16"/>
      <c r="P491" s="16"/>
      <c r="Q491" s="16"/>
      <c r="R491" s="16"/>
      <c r="S491" s="16"/>
      <c r="T491" s="16"/>
      <c r="U491" s="16"/>
      <c r="V491" s="16"/>
      <c r="W491" s="16"/>
      <c r="X491" s="16"/>
      <c r="Y491" s="16"/>
      <c r="Z491" s="16"/>
      <c r="AA491" s="16"/>
      <c r="AB491" s="16"/>
      <c r="AC491" s="16"/>
    </row>
    <row r="492">
      <c r="A492" s="22" t="str">
        <f t="array" ref="A492">IF(E492="","",IFERROR(INDEX(CONFIGURACION!C:C,MATCH(E492,CONFIGURACION!E:E,0)),""))
</f>
        <v/>
      </c>
      <c r="B492" s="22" t="str">
        <f t="array" ref="B492">IF(E492="","",IFERROR(INDEX(CONFIGURACION!D:D,MATCH(E492,CONFIGURACION!E:E,0)),""))
</f>
        <v/>
      </c>
      <c r="C492" s="31"/>
      <c r="D492" s="9"/>
      <c r="E492" s="6"/>
      <c r="F492" s="24"/>
      <c r="G492" s="9"/>
      <c r="H492" s="32"/>
      <c r="I492" s="33" t="str">
        <f>IFERROR(__xludf.DUMMYFUNCTION("IF(F492="""","""",LET(
  nombre, TRIM(F492),
  primer, REGEXEXTRACT(nombre, ""^\S+""),
  resto, TRIM(REGEXREPLACE(nombre, ""^\S+\s*"", """")),
  iniciales, IF(
    resto="""",
    """",
    TEXTJOIN("""",1,ARRAYFORMULA(LEFT(SPLIT(resto,"" ""),1) &amp; "".""))"&amp;"
  ),
  UPPER(primer) &amp; "" "" &amp; UPPER(iniciales)
))"),"")</f>
        <v/>
      </c>
      <c r="J492" s="33" t="str">
        <f>IFERROR(__xludf.DUMMYFUNCTION("IF(H492="""","""",IFERROR(
IF(REGEXMATCH(D492,""VELOCIDAD""),
   IF(H492&gt;=MAX(INDEX(BAREMOS!F:X,MATCH(1,(BAREMOS!A:A=A492)*(BAREMOS!B:B=B492)*(BAREMOS!C:C=C492)*(BAREMOS!D:D=D492),0),0)),1,
      IF(H492&lt;=MIN(INDEX(BAREMOS!F:X,MATCH(1,(BAREMOS!A:A=A492)*("&amp;"BAREMOS!B:B=B492)*(BAREMOS!C:C=C492)*(BAREMOS!D:D=D492),0),0)),19,
         MATCH(H492,INDEX(BAREMOS!F:X,MATCH(1,(BAREMOS!A:A=A492)*(BAREMOS!B:B=B492)*(BAREMOS!C:C=C492)*(BAREMOS!D:D=D492),0),0),-1)
      )
   ),
   IF(H492&lt;=MIN(INDEX(BAREMOS!F:X,MATCH(1,"&amp;"(BAREMOS!A:A=A492)*(BAREMOS!B:B=B492)*(BAREMOS!C:C=C492)*(BAREMOS!D:D=D492),0),0)),1,
      IF(H492&gt;=MAX(INDEX(BAREMOS!F:X,MATCH(1,(BAREMOS!A:A=A492)*(BAREMOS!B:B=B492)*(BAREMOS!C:C=C492)*(BAREMOS!D:D=D492),0),0)),19,
         MATCH(H492,INDEX(BAREMOS!F:X"&amp;",MATCH(1,(BAREMOS!A:A=A492)*(BAREMOS!B:B=B492)*(BAREMOS!C:C=C492)*(BAREMOS!D:D=D492),0),0),1)
      )
   )
)
,""""))
"),"")</f>
        <v/>
      </c>
      <c r="K492" s="34" t="str">
        <f t="shared" si="1"/>
        <v/>
      </c>
      <c r="L492" s="16"/>
      <c r="M492" s="16"/>
      <c r="N492" s="16"/>
      <c r="O492" s="16"/>
      <c r="P492" s="16"/>
      <c r="Q492" s="16"/>
      <c r="R492" s="16"/>
      <c r="S492" s="16"/>
      <c r="T492" s="16"/>
      <c r="U492" s="16"/>
      <c r="V492" s="16"/>
      <c r="W492" s="16"/>
      <c r="X492" s="16"/>
      <c r="Y492" s="16"/>
      <c r="Z492" s="16"/>
      <c r="AA492" s="16"/>
      <c r="AB492" s="16"/>
      <c r="AC492" s="16"/>
    </row>
    <row r="493">
      <c r="A493" s="22" t="str">
        <f t="array" ref="A493">IF(E493="","",IFERROR(INDEX(CONFIGURACION!C:C,MATCH(E493,CONFIGURACION!E:E,0)),""))
</f>
        <v/>
      </c>
      <c r="B493" s="22" t="str">
        <f t="array" ref="B493">IF(E493="","",IFERROR(INDEX(CONFIGURACION!D:D,MATCH(E493,CONFIGURACION!E:E,0)),""))
</f>
        <v/>
      </c>
      <c r="C493" s="31"/>
      <c r="D493" s="9"/>
      <c r="E493" s="6"/>
      <c r="F493" s="24"/>
      <c r="G493" s="9"/>
      <c r="H493" s="32"/>
      <c r="I493" s="33" t="str">
        <f>IFERROR(__xludf.DUMMYFUNCTION("IF(F493="""","""",LET(
  nombre, TRIM(F493),
  primer, REGEXEXTRACT(nombre, ""^\S+""),
  resto, TRIM(REGEXREPLACE(nombre, ""^\S+\s*"", """")),
  iniciales, IF(
    resto="""",
    """",
    TEXTJOIN("""",1,ARRAYFORMULA(LEFT(SPLIT(resto,"" ""),1) &amp; "".""))"&amp;"
  ),
  UPPER(primer) &amp; "" "" &amp; UPPER(iniciales)
))"),"")</f>
        <v/>
      </c>
      <c r="J493" s="33" t="str">
        <f>IFERROR(__xludf.DUMMYFUNCTION("IF(H493="""","""",IFERROR(
IF(REGEXMATCH(D493,""VELOCIDAD""),
   IF(H493&gt;=MAX(INDEX(BAREMOS!F:X,MATCH(1,(BAREMOS!A:A=A493)*(BAREMOS!B:B=B493)*(BAREMOS!C:C=C493)*(BAREMOS!D:D=D493),0),0)),1,
      IF(H493&lt;=MIN(INDEX(BAREMOS!F:X,MATCH(1,(BAREMOS!A:A=A493)*("&amp;"BAREMOS!B:B=B493)*(BAREMOS!C:C=C493)*(BAREMOS!D:D=D493),0),0)),19,
         MATCH(H493,INDEX(BAREMOS!F:X,MATCH(1,(BAREMOS!A:A=A493)*(BAREMOS!B:B=B493)*(BAREMOS!C:C=C493)*(BAREMOS!D:D=D493),0),0),-1)
      )
   ),
   IF(H493&lt;=MIN(INDEX(BAREMOS!F:X,MATCH(1,"&amp;"(BAREMOS!A:A=A493)*(BAREMOS!B:B=B493)*(BAREMOS!C:C=C493)*(BAREMOS!D:D=D493),0),0)),1,
      IF(H493&gt;=MAX(INDEX(BAREMOS!F:X,MATCH(1,(BAREMOS!A:A=A493)*(BAREMOS!B:B=B493)*(BAREMOS!C:C=C493)*(BAREMOS!D:D=D493),0),0)),19,
         MATCH(H493,INDEX(BAREMOS!F:X"&amp;",MATCH(1,(BAREMOS!A:A=A493)*(BAREMOS!B:B=B493)*(BAREMOS!C:C=C493)*(BAREMOS!D:D=D493),0),0),1)
      )
   )
)
,""""))
"),"")</f>
        <v/>
      </c>
      <c r="K493" s="34" t="str">
        <f t="shared" si="1"/>
        <v/>
      </c>
      <c r="L493" s="16"/>
      <c r="M493" s="16"/>
      <c r="N493" s="16"/>
      <c r="O493" s="16"/>
      <c r="P493" s="16"/>
      <c r="Q493" s="16"/>
      <c r="R493" s="16"/>
      <c r="S493" s="16"/>
      <c r="T493" s="16"/>
      <c r="U493" s="16"/>
      <c r="V493" s="16"/>
      <c r="W493" s="16"/>
      <c r="X493" s="16"/>
      <c r="Y493" s="16"/>
      <c r="Z493" s="16"/>
      <c r="AA493" s="16"/>
      <c r="AB493" s="16"/>
      <c r="AC493" s="16"/>
    </row>
    <row r="494">
      <c r="A494" s="22" t="str">
        <f t="array" ref="A494">IF(E494="","",IFERROR(INDEX(CONFIGURACION!C:C,MATCH(E494,CONFIGURACION!E:E,0)),""))
</f>
        <v/>
      </c>
      <c r="B494" s="22" t="str">
        <f t="array" ref="B494">IF(E494="","",IFERROR(INDEX(CONFIGURACION!D:D,MATCH(E494,CONFIGURACION!E:E,0)),""))
</f>
        <v/>
      </c>
      <c r="C494" s="31"/>
      <c r="D494" s="9"/>
      <c r="E494" s="6"/>
      <c r="F494" s="24"/>
      <c r="G494" s="9"/>
      <c r="H494" s="32"/>
      <c r="I494" s="33" t="str">
        <f>IFERROR(__xludf.DUMMYFUNCTION("IF(F494="""","""",LET(
  nombre, TRIM(F494),
  primer, REGEXEXTRACT(nombre, ""^\S+""),
  resto, TRIM(REGEXREPLACE(nombre, ""^\S+\s*"", """")),
  iniciales, IF(
    resto="""",
    """",
    TEXTJOIN("""",1,ARRAYFORMULA(LEFT(SPLIT(resto,"" ""),1) &amp; "".""))"&amp;"
  ),
  UPPER(primer) &amp; "" "" &amp; UPPER(iniciales)
))"),"")</f>
        <v/>
      </c>
      <c r="J494" s="33" t="str">
        <f>IFERROR(__xludf.DUMMYFUNCTION("IF(H494="""","""",IFERROR(
IF(REGEXMATCH(D494,""VELOCIDAD""),
   IF(H494&gt;=MAX(INDEX(BAREMOS!F:X,MATCH(1,(BAREMOS!A:A=A494)*(BAREMOS!B:B=B494)*(BAREMOS!C:C=C494)*(BAREMOS!D:D=D494),0),0)),1,
      IF(H494&lt;=MIN(INDEX(BAREMOS!F:X,MATCH(1,(BAREMOS!A:A=A494)*("&amp;"BAREMOS!B:B=B494)*(BAREMOS!C:C=C494)*(BAREMOS!D:D=D494),0),0)),19,
         MATCH(H494,INDEX(BAREMOS!F:X,MATCH(1,(BAREMOS!A:A=A494)*(BAREMOS!B:B=B494)*(BAREMOS!C:C=C494)*(BAREMOS!D:D=D494),0),0),-1)
      )
   ),
   IF(H494&lt;=MIN(INDEX(BAREMOS!F:X,MATCH(1,"&amp;"(BAREMOS!A:A=A494)*(BAREMOS!B:B=B494)*(BAREMOS!C:C=C494)*(BAREMOS!D:D=D494),0),0)),1,
      IF(H494&gt;=MAX(INDEX(BAREMOS!F:X,MATCH(1,(BAREMOS!A:A=A494)*(BAREMOS!B:B=B494)*(BAREMOS!C:C=C494)*(BAREMOS!D:D=D494),0),0)),19,
         MATCH(H494,INDEX(BAREMOS!F:X"&amp;",MATCH(1,(BAREMOS!A:A=A494)*(BAREMOS!B:B=B494)*(BAREMOS!C:C=C494)*(BAREMOS!D:D=D494),0),0),1)
      )
   )
)
,""""))
"),"")</f>
        <v/>
      </c>
      <c r="K494" s="34" t="str">
        <f t="shared" si="1"/>
        <v/>
      </c>
      <c r="L494" s="16"/>
      <c r="M494" s="16"/>
      <c r="N494" s="16"/>
      <c r="O494" s="16"/>
      <c r="P494" s="16"/>
      <c r="Q494" s="16"/>
      <c r="R494" s="16"/>
      <c r="S494" s="16"/>
      <c r="T494" s="16"/>
      <c r="U494" s="16"/>
      <c r="V494" s="16"/>
      <c r="W494" s="16"/>
      <c r="X494" s="16"/>
      <c r="Y494" s="16"/>
      <c r="Z494" s="16"/>
      <c r="AA494" s="16"/>
      <c r="AB494" s="16"/>
      <c r="AC494" s="16"/>
    </row>
    <row r="495">
      <c r="A495" s="22" t="str">
        <f t="array" ref="A495">IF(E495="","",IFERROR(INDEX(CONFIGURACION!C:C,MATCH(E495,CONFIGURACION!E:E,0)),""))
</f>
        <v/>
      </c>
      <c r="B495" s="22" t="str">
        <f t="array" ref="B495">IF(E495="","",IFERROR(INDEX(CONFIGURACION!D:D,MATCH(E495,CONFIGURACION!E:E,0)),""))
</f>
        <v/>
      </c>
      <c r="C495" s="31"/>
      <c r="D495" s="9"/>
      <c r="E495" s="6"/>
      <c r="F495" s="24"/>
      <c r="G495" s="9"/>
      <c r="H495" s="32"/>
      <c r="I495" s="33" t="str">
        <f>IFERROR(__xludf.DUMMYFUNCTION("IF(F495="""","""",LET(
  nombre, TRIM(F495),
  primer, REGEXEXTRACT(nombre, ""^\S+""),
  resto, TRIM(REGEXREPLACE(nombre, ""^\S+\s*"", """")),
  iniciales, IF(
    resto="""",
    """",
    TEXTJOIN("""",1,ARRAYFORMULA(LEFT(SPLIT(resto,"" ""),1) &amp; "".""))"&amp;"
  ),
  UPPER(primer) &amp; "" "" &amp; UPPER(iniciales)
))"),"")</f>
        <v/>
      </c>
      <c r="J495" s="33" t="str">
        <f>IFERROR(__xludf.DUMMYFUNCTION("IF(H495="""","""",IFERROR(
IF(REGEXMATCH(D495,""VELOCIDAD""),
   IF(H495&gt;=MAX(INDEX(BAREMOS!F:X,MATCH(1,(BAREMOS!A:A=A495)*(BAREMOS!B:B=B495)*(BAREMOS!C:C=C495)*(BAREMOS!D:D=D495),0),0)),1,
      IF(H495&lt;=MIN(INDEX(BAREMOS!F:X,MATCH(1,(BAREMOS!A:A=A495)*("&amp;"BAREMOS!B:B=B495)*(BAREMOS!C:C=C495)*(BAREMOS!D:D=D495),0),0)),19,
         MATCH(H495,INDEX(BAREMOS!F:X,MATCH(1,(BAREMOS!A:A=A495)*(BAREMOS!B:B=B495)*(BAREMOS!C:C=C495)*(BAREMOS!D:D=D495),0),0),-1)
      )
   ),
   IF(H495&lt;=MIN(INDEX(BAREMOS!F:X,MATCH(1,"&amp;"(BAREMOS!A:A=A495)*(BAREMOS!B:B=B495)*(BAREMOS!C:C=C495)*(BAREMOS!D:D=D495),0),0)),1,
      IF(H495&gt;=MAX(INDEX(BAREMOS!F:X,MATCH(1,(BAREMOS!A:A=A495)*(BAREMOS!B:B=B495)*(BAREMOS!C:C=C495)*(BAREMOS!D:D=D495),0),0)),19,
         MATCH(H495,INDEX(BAREMOS!F:X"&amp;",MATCH(1,(BAREMOS!A:A=A495)*(BAREMOS!B:B=B495)*(BAREMOS!C:C=C495)*(BAREMOS!D:D=D495),0),0),1)
      )
   )
)
,""""))
"),"")</f>
        <v/>
      </c>
      <c r="K495" s="34" t="str">
        <f t="shared" si="1"/>
        <v/>
      </c>
      <c r="L495" s="16"/>
      <c r="M495" s="16"/>
      <c r="N495" s="16"/>
      <c r="O495" s="16"/>
      <c r="P495" s="16"/>
      <c r="Q495" s="16"/>
      <c r="R495" s="16"/>
      <c r="S495" s="16"/>
      <c r="T495" s="16"/>
      <c r="U495" s="16"/>
      <c r="V495" s="16"/>
      <c r="W495" s="16"/>
      <c r="X495" s="16"/>
      <c r="Y495" s="16"/>
      <c r="Z495" s="16"/>
      <c r="AA495" s="16"/>
      <c r="AB495" s="16"/>
      <c r="AC495" s="16"/>
    </row>
    <row r="496">
      <c r="A496" s="22" t="str">
        <f t="array" ref="A496">IF(E496="","",IFERROR(INDEX(CONFIGURACION!C:C,MATCH(E496,CONFIGURACION!E:E,0)),""))
</f>
        <v/>
      </c>
      <c r="B496" s="22" t="str">
        <f t="array" ref="B496">IF(E496="","",IFERROR(INDEX(CONFIGURACION!D:D,MATCH(E496,CONFIGURACION!E:E,0)),""))
</f>
        <v/>
      </c>
      <c r="C496" s="31"/>
      <c r="D496" s="9"/>
      <c r="E496" s="6"/>
      <c r="F496" s="24"/>
      <c r="G496" s="9"/>
      <c r="H496" s="32"/>
      <c r="I496" s="33" t="str">
        <f>IFERROR(__xludf.DUMMYFUNCTION("IF(F496="""","""",LET(
  nombre, TRIM(F496),
  primer, REGEXEXTRACT(nombre, ""^\S+""),
  resto, TRIM(REGEXREPLACE(nombre, ""^\S+\s*"", """")),
  iniciales, IF(
    resto="""",
    """",
    TEXTJOIN("""",1,ARRAYFORMULA(LEFT(SPLIT(resto,"" ""),1) &amp; "".""))"&amp;"
  ),
  UPPER(primer) &amp; "" "" &amp; UPPER(iniciales)
))"),"")</f>
        <v/>
      </c>
      <c r="J496" s="33" t="str">
        <f>IFERROR(__xludf.DUMMYFUNCTION("IF(H496="""","""",IFERROR(
IF(REGEXMATCH(D496,""VELOCIDAD""),
   IF(H496&gt;=MAX(INDEX(BAREMOS!F:X,MATCH(1,(BAREMOS!A:A=A496)*(BAREMOS!B:B=B496)*(BAREMOS!C:C=C496)*(BAREMOS!D:D=D496),0),0)),1,
      IF(H496&lt;=MIN(INDEX(BAREMOS!F:X,MATCH(1,(BAREMOS!A:A=A496)*("&amp;"BAREMOS!B:B=B496)*(BAREMOS!C:C=C496)*(BAREMOS!D:D=D496),0),0)),19,
         MATCH(H496,INDEX(BAREMOS!F:X,MATCH(1,(BAREMOS!A:A=A496)*(BAREMOS!B:B=B496)*(BAREMOS!C:C=C496)*(BAREMOS!D:D=D496),0),0),-1)
      )
   ),
   IF(H496&lt;=MIN(INDEX(BAREMOS!F:X,MATCH(1,"&amp;"(BAREMOS!A:A=A496)*(BAREMOS!B:B=B496)*(BAREMOS!C:C=C496)*(BAREMOS!D:D=D496),0),0)),1,
      IF(H496&gt;=MAX(INDEX(BAREMOS!F:X,MATCH(1,(BAREMOS!A:A=A496)*(BAREMOS!B:B=B496)*(BAREMOS!C:C=C496)*(BAREMOS!D:D=D496),0),0)),19,
         MATCH(H496,INDEX(BAREMOS!F:X"&amp;",MATCH(1,(BAREMOS!A:A=A496)*(BAREMOS!B:B=B496)*(BAREMOS!C:C=C496)*(BAREMOS!D:D=D496),0),0),1)
      )
   )
)
,""""))
"),"")</f>
        <v/>
      </c>
      <c r="K496" s="34" t="str">
        <f t="shared" si="1"/>
        <v/>
      </c>
      <c r="L496" s="16"/>
      <c r="M496" s="16"/>
      <c r="N496" s="16"/>
      <c r="O496" s="16"/>
      <c r="P496" s="16"/>
      <c r="Q496" s="16"/>
      <c r="R496" s="16"/>
      <c r="S496" s="16"/>
      <c r="T496" s="16"/>
      <c r="U496" s="16"/>
      <c r="V496" s="16"/>
      <c r="W496" s="16"/>
      <c r="X496" s="16"/>
      <c r="Y496" s="16"/>
      <c r="Z496" s="16"/>
      <c r="AA496" s="16"/>
      <c r="AB496" s="16"/>
      <c r="AC496" s="16"/>
    </row>
    <row r="497">
      <c r="A497" s="22" t="str">
        <f t="array" ref="A497">IF(E497="","",IFERROR(INDEX(CONFIGURACION!C:C,MATCH(E497,CONFIGURACION!E:E,0)),""))
</f>
        <v/>
      </c>
      <c r="B497" s="22" t="str">
        <f t="array" ref="B497">IF(E497="","",IFERROR(INDEX(CONFIGURACION!D:D,MATCH(E497,CONFIGURACION!E:E,0)),""))
</f>
        <v/>
      </c>
      <c r="C497" s="31"/>
      <c r="D497" s="9"/>
      <c r="E497" s="6"/>
      <c r="F497" s="24"/>
      <c r="G497" s="9"/>
      <c r="H497" s="32"/>
      <c r="I497" s="33" t="str">
        <f>IFERROR(__xludf.DUMMYFUNCTION("IF(F497="""","""",LET(
  nombre, TRIM(F497),
  primer, REGEXEXTRACT(nombre, ""^\S+""),
  resto, TRIM(REGEXREPLACE(nombre, ""^\S+\s*"", """")),
  iniciales, IF(
    resto="""",
    """",
    TEXTJOIN("""",1,ARRAYFORMULA(LEFT(SPLIT(resto,"" ""),1) &amp; "".""))"&amp;"
  ),
  UPPER(primer) &amp; "" "" &amp; UPPER(iniciales)
))"),"")</f>
        <v/>
      </c>
      <c r="J497" s="33" t="str">
        <f>IFERROR(__xludf.DUMMYFUNCTION("IF(H497="""","""",IFERROR(
IF(REGEXMATCH(D497,""VELOCIDAD""),
   IF(H497&gt;=MAX(INDEX(BAREMOS!F:X,MATCH(1,(BAREMOS!A:A=A497)*(BAREMOS!B:B=B497)*(BAREMOS!C:C=C497)*(BAREMOS!D:D=D497),0),0)),1,
      IF(H497&lt;=MIN(INDEX(BAREMOS!F:X,MATCH(1,(BAREMOS!A:A=A497)*("&amp;"BAREMOS!B:B=B497)*(BAREMOS!C:C=C497)*(BAREMOS!D:D=D497),0),0)),19,
         MATCH(H497,INDEX(BAREMOS!F:X,MATCH(1,(BAREMOS!A:A=A497)*(BAREMOS!B:B=B497)*(BAREMOS!C:C=C497)*(BAREMOS!D:D=D497),0),0),-1)
      )
   ),
   IF(H497&lt;=MIN(INDEX(BAREMOS!F:X,MATCH(1,"&amp;"(BAREMOS!A:A=A497)*(BAREMOS!B:B=B497)*(BAREMOS!C:C=C497)*(BAREMOS!D:D=D497),0),0)),1,
      IF(H497&gt;=MAX(INDEX(BAREMOS!F:X,MATCH(1,(BAREMOS!A:A=A497)*(BAREMOS!B:B=B497)*(BAREMOS!C:C=C497)*(BAREMOS!D:D=D497),0),0)),19,
         MATCH(H497,INDEX(BAREMOS!F:X"&amp;",MATCH(1,(BAREMOS!A:A=A497)*(BAREMOS!B:B=B497)*(BAREMOS!C:C=C497)*(BAREMOS!D:D=D497),0),0),1)
      )
   )
)
,""""))
"),"")</f>
        <v/>
      </c>
      <c r="K497" s="34" t="str">
        <f t="shared" si="1"/>
        <v/>
      </c>
      <c r="L497" s="16"/>
      <c r="M497" s="16"/>
      <c r="N497" s="16"/>
      <c r="O497" s="16"/>
      <c r="P497" s="16"/>
      <c r="Q497" s="16"/>
      <c r="R497" s="16"/>
      <c r="S497" s="16"/>
      <c r="T497" s="16"/>
      <c r="U497" s="16"/>
      <c r="V497" s="16"/>
      <c r="W497" s="16"/>
      <c r="X497" s="16"/>
      <c r="Y497" s="16"/>
      <c r="Z497" s="16"/>
      <c r="AA497" s="16"/>
      <c r="AB497" s="16"/>
      <c r="AC497" s="16"/>
    </row>
    <row r="498">
      <c r="A498" s="22" t="str">
        <f t="array" ref="A498">IF(E498="","",IFERROR(INDEX(CONFIGURACION!C:C,MATCH(E498,CONFIGURACION!E:E,0)),""))
</f>
        <v/>
      </c>
      <c r="B498" s="22" t="str">
        <f t="array" ref="B498">IF(E498="","",IFERROR(INDEX(CONFIGURACION!D:D,MATCH(E498,CONFIGURACION!E:E,0)),""))
</f>
        <v/>
      </c>
      <c r="C498" s="31"/>
      <c r="D498" s="9"/>
      <c r="E498" s="6"/>
      <c r="F498" s="24"/>
      <c r="G498" s="9"/>
      <c r="H498" s="32"/>
      <c r="I498" s="33" t="str">
        <f>IFERROR(__xludf.DUMMYFUNCTION("IF(F498="""","""",LET(
  nombre, TRIM(F498),
  primer, REGEXEXTRACT(nombre, ""^\S+""),
  resto, TRIM(REGEXREPLACE(nombre, ""^\S+\s*"", """")),
  iniciales, IF(
    resto="""",
    """",
    TEXTJOIN("""",1,ARRAYFORMULA(LEFT(SPLIT(resto,"" ""),1) &amp; "".""))"&amp;"
  ),
  UPPER(primer) &amp; "" "" &amp; UPPER(iniciales)
))"),"")</f>
        <v/>
      </c>
      <c r="J498" s="33" t="str">
        <f>IFERROR(__xludf.DUMMYFUNCTION("IF(H498="""","""",IFERROR(
IF(REGEXMATCH(D498,""VELOCIDAD""),
   IF(H498&gt;=MAX(INDEX(BAREMOS!F:X,MATCH(1,(BAREMOS!A:A=A498)*(BAREMOS!B:B=B498)*(BAREMOS!C:C=C498)*(BAREMOS!D:D=D498),0),0)),1,
      IF(H498&lt;=MIN(INDEX(BAREMOS!F:X,MATCH(1,(BAREMOS!A:A=A498)*("&amp;"BAREMOS!B:B=B498)*(BAREMOS!C:C=C498)*(BAREMOS!D:D=D498),0),0)),19,
         MATCH(H498,INDEX(BAREMOS!F:X,MATCH(1,(BAREMOS!A:A=A498)*(BAREMOS!B:B=B498)*(BAREMOS!C:C=C498)*(BAREMOS!D:D=D498),0),0),-1)
      )
   ),
   IF(H498&lt;=MIN(INDEX(BAREMOS!F:X,MATCH(1,"&amp;"(BAREMOS!A:A=A498)*(BAREMOS!B:B=B498)*(BAREMOS!C:C=C498)*(BAREMOS!D:D=D498),0),0)),1,
      IF(H498&gt;=MAX(INDEX(BAREMOS!F:X,MATCH(1,(BAREMOS!A:A=A498)*(BAREMOS!B:B=B498)*(BAREMOS!C:C=C498)*(BAREMOS!D:D=D498),0),0)),19,
         MATCH(H498,INDEX(BAREMOS!F:X"&amp;",MATCH(1,(BAREMOS!A:A=A498)*(BAREMOS!B:B=B498)*(BAREMOS!C:C=C498)*(BAREMOS!D:D=D498),0),0),1)
      )
   )
)
,""""))
"),"")</f>
        <v/>
      </c>
      <c r="K498" s="34" t="str">
        <f t="shared" si="1"/>
        <v/>
      </c>
      <c r="L498" s="16"/>
      <c r="M498" s="16"/>
      <c r="N498" s="16"/>
      <c r="O498" s="16"/>
      <c r="P498" s="16"/>
      <c r="Q498" s="16"/>
      <c r="R498" s="16"/>
      <c r="S498" s="16"/>
      <c r="T498" s="16"/>
      <c r="U498" s="16"/>
      <c r="V498" s="16"/>
      <c r="W498" s="16"/>
      <c r="X498" s="16"/>
      <c r="Y498" s="16"/>
      <c r="Z498" s="16"/>
      <c r="AA498" s="16"/>
      <c r="AB498" s="16"/>
      <c r="AC498" s="16"/>
    </row>
    <row r="499">
      <c r="A499" s="22" t="str">
        <f t="array" ref="A499">IF(E499="","",IFERROR(INDEX(CONFIGURACION!C:C,MATCH(E499,CONFIGURACION!E:E,0)),""))
</f>
        <v/>
      </c>
      <c r="B499" s="22" t="str">
        <f t="array" ref="B499">IF(E499="","",IFERROR(INDEX(CONFIGURACION!D:D,MATCH(E499,CONFIGURACION!E:E,0)),""))
</f>
        <v/>
      </c>
      <c r="C499" s="31"/>
      <c r="D499" s="9"/>
      <c r="E499" s="6"/>
      <c r="F499" s="24"/>
      <c r="G499" s="9"/>
      <c r="H499" s="32"/>
      <c r="I499" s="33" t="str">
        <f>IFERROR(__xludf.DUMMYFUNCTION("IF(F499="""","""",LET(
  nombre, TRIM(F499),
  primer, REGEXEXTRACT(nombre, ""^\S+""),
  resto, TRIM(REGEXREPLACE(nombre, ""^\S+\s*"", """")),
  iniciales, IF(
    resto="""",
    """",
    TEXTJOIN("""",1,ARRAYFORMULA(LEFT(SPLIT(resto,"" ""),1) &amp; "".""))"&amp;"
  ),
  UPPER(primer) &amp; "" "" &amp; UPPER(iniciales)
))"),"")</f>
        <v/>
      </c>
      <c r="J499" s="33" t="str">
        <f>IFERROR(__xludf.DUMMYFUNCTION("IF(H499="""","""",IFERROR(
IF(REGEXMATCH(D499,""VELOCIDAD""),
   IF(H499&gt;=MAX(INDEX(BAREMOS!F:X,MATCH(1,(BAREMOS!A:A=A499)*(BAREMOS!B:B=B499)*(BAREMOS!C:C=C499)*(BAREMOS!D:D=D499),0),0)),1,
      IF(H499&lt;=MIN(INDEX(BAREMOS!F:X,MATCH(1,(BAREMOS!A:A=A499)*("&amp;"BAREMOS!B:B=B499)*(BAREMOS!C:C=C499)*(BAREMOS!D:D=D499),0),0)),19,
         MATCH(H499,INDEX(BAREMOS!F:X,MATCH(1,(BAREMOS!A:A=A499)*(BAREMOS!B:B=B499)*(BAREMOS!C:C=C499)*(BAREMOS!D:D=D499),0),0),-1)
      )
   ),
   IF(H499&lt;=MIN(INDEX(BAREMOS!F:X,MATCH(1,"&amp;"(BAREMOS!A:A=A499)*(BAREMOS!B:B=B499)*(BAREMOS!C:C=C499)*(BAREMOS!D:D=D499),0),0)),1,
      IF(H499&gt;=MAX(INDEX(BAREMOS!F:X,MATCH(1,(BAREMOS!A:A=A499)*(BAREMOS!B:B=B499)*(BAREMOS!C:C=C499)*(BAREMOS!D:D=D499),0),0)),19,
         MATCH(H499,INDEX(BAREMOS!F:X"&amp;",MATCH(1,(BAREMOS!A:A=A499)*(BAREMOS!B:B=B499)*(BAREMOS!C:C=C499)*(BAREMOS!D:D=D499),0),0),1)
      )
   )
)
,""""))
"),"")</f>
        <v/>
      </c>
      <c r="K499" s="34" t="str">
        <f t="shared" si="1"/>
        <v/>
      </c>
      <c r="L499" s="16"/>
      <c r="M499" s="16"/>
      <c r="N499" s="16"/>
      <c r="O499" s="16"/>
      <c r="P499" s="16"/>
      <c r="Q499" s="16"/>
      <c r="R499" s="16"/>
      <c r="S499" s="16"/>
      <c r="T499" s="16"/>
      <c r="U499" s="16"/>
      <c r="V499" s="16"/>
      <c r="W499" s="16"/>
      <c r="X499" s="16"/>
      <c r="Y499" s="16"/>
      <c r="Z499" s="16"/>
      <c r="AA499" s="16"/>
      <c r="AB499" s="16"/>
      <c r="AC499" s="16"/>
    </row>
  </sheetData>
  <dataValidations>
    <dataValidation type="list" allowBlank="1" showInputMessage="1" showErrorMessage="1" prompt="Haz clic e introduce un valor del intervalo" sqref="G2:G499">
      <formula1>CONFIGURACION!$I$2:$I$5</formula1>
    </dataValidation>
    <dataValidation type="list" allowBlank="1" showInputMessage="1" showErrorMessage="1" prompt="Haz clic e introduce un valor del intervalo" sqref="D2:D499">
      <formula1>CONFIGURACION!$K$2:$K$9</formula1>
    </dataValidation>
    <dataValidation type="list" allowBlank="1" showInputMessage="1" showErrorMessage="1" prompt="Haz clic e introduce un valor del intervalo" sqref="C2:C499">
      <formula1>CONFIGURACION!$G$2:$G$3</formula1>
    </dataValidation>
    <dataValidation type="list" allowBlank="1" showErrorMessage="1" sqref="E2:E499">
      <formula1>CONFIGURACION!$E$2:$E$17</formula1>
    </dataValidation>
    <dataValidation type="list" allowBlank="1" showInputMessage="1" showErrorMessage="1" prompt="Haz clic e introduce un valor del intervalo" sqref="F2:F23">
      <formula1>ALUMNOS!$D$2:$D$998</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8.0"/>
    <col customWidth="1" min="3" max="3" width="11.63"/>
    <col customWidth="1" min="4" max="4" width="14.5"/>
    <col customWidth="1" min="5" max="5" width="13.13"/>
    <col customWidth="1" min="6" max="24" width="7.75"/>
  </cols>
  <sheetData>
    <row r="1">
      <c r="A1" s="4" t="s">
        <v>1</v>
      </c>
      <c r="B1" s="4" t="s">
        <v>2</v>
      </c>
      <c r="C1" s="4" t="s">
        <v>4</v>
      </c>
      <c r="D1" s="37" t="s">
        <v>123</v>
      </c>
      <c r="E1" s="37" t="s">
        <v>124</v>
      </c>
      <c r="F1" s="38">
        <v>1.0</v>
      </c>
      <c r="G1" s="39">
        <v>46143.0</v>
      </c>
      <c r="H1" s="38">
        <v>2.0</v>
      </c>
      <c r="I1" s="39">
        <v>46144.0</v>
      </c>
      <c r="J1" s="38">
        <v>3.0</v>
      </c>
      <c r="K1" s="39">
        <v>46145.0</v>
      </c>
      <c r="L1" s="38">
        <v>4.0</v>
      </c>
      <c r="M1" s="39">
        <v>46146.0</v>
      </c>
      <c r="N1" s="38">
        <v>5.0</v>
      </c>
      <c r="O1" s="39">
        <v>46147.0</v>
      </c>
      <c r="P1" s="38">
        <v>6.0</v>
      </c>
      <c r="Q1" s="39">
        <v>46148.0</v>
      </c>
      <c r="R1" s="38">
        <v>7.0</v>
      </c>
      <c r="S1" s="39">
        <v>46149.0</v>
      </c>
      <c r="T1" s="38">
        <v>8.0</v>
      </c>
      <c r="U1" s="39">
        <v>46150.0</v>
      </c>
      <c r="V1" s="38">
        <v>9.0</v>
      </c>
      <c r="W1" s="39">
        <v>46151.0</v>
      </c>
      <c r="X1" s="38">
        <v>10.0</v>
      </c>
    </row>
    <row r="2">
      <c r="A2" s="10" t="s">
        <v>88</v>
      </c>
      <c r="B2" s="10">
        <v>1.0</v>
      </c>
      <c r="C2" s="10" t="s">
        <v>19</v>
      </c>
      <c r="D2" s="9" t="s">
        <v>63</v>
      </c>
      <c r="E2" s="40">
        <v>0.0</v>
      </c>
      <c r="F2" s="40">
        <v>1900.0</v>
      </c>
      <c r="G2" s="40">
        <v>2025.0</v>
      </c>
      <c r="H2" s="40">
        <v>2150.0</v>
      </c>
      <c r="I2" s="40">
        <v>2225.0</v>
      </c>
      <c r="J2" s="40">
        <v>2300.0</v>
      </c>
      <c r="K2" s="40">
        <v>2375.0</v>
      </c>
      <c r="L2" s="40">
        <v>2450.0</v>
      </c>
      <c r="M2" s="40">
        <v>2496.0</v>
      </c>
      <c r="N2" s="40">
        <v>2543.0</v>
      </c>
      <c r="O2" s="40">
        <v>2621.0</v>
      </c>
      <c r="P2" s="40">
        <v>2700.0</v>
      </c>
      <c r="Q2" s="40">
        <v>2775.0</v>
      </c>
      <c r="R2" s="40">
        <v>2850.0</v>
      </c>
      <c r="S2" s="40">
        <v>2900.0</v>
      </c>
      <c r="T2" s="40">
        <v>2950.0</v>
      </c>
      <c r="U2" s="40">
        <v>3050.0</v>
      </c>
      <c r="V2" s="40">
        <v>3150.0</v>
      </c>
      <c r="W2" s="40">
        <v>3200.0</v>
      </c>
      <c r="X2" s="40">
        <v>3250.0</v>
      </c>
    </row>
    <row r="3">
      <c r="A3" s="10" t="s">
        <v>88</v>
      </c>
      <c r="B3" s="10">
        <v>1.0</v>
      </c>
      <c r="C3" s="10" t="s">
        <v>19</v>
      </c>
      <c r="D3" s="9" t="s">
        <v>50</v>
      </c>
      <c r="E3" s="40">
        <v>0.0</v>
      </c>
      <c r="F3" s="40">
        <v>24.0</v>
      </c>
      <c r="G3" s="41">
        <v>46167.0</v>
      </c>
      <c r="H3" s="40">
        <v>27.0</v>
      </c>
      <c r="I3" s="41">
        <v>46170.0</v>
      </c>
      <c r="J3" s="40">
        <v>30.0</v>
      </c>
      <c r="K3" s="41">
        <v>46172.0</v>
      </c>
      <c r="L3" s="40">
        <v>31.0</v>
      </c>
      <c r="M3" s="40">
        <v>32.0</v>
      </c>
      <c r="N3" s="40">
        <v>33.0</v>
      </c>
      <c r="O3" s="40" t="s">
        <v>125</v>
      </c>
      <c r="P3" s="40">
        <v>36.0</v>
      </c>
      <c r="Q3" s="40" t="s">
        <v>126</v>
      </c>
      <c r="R3" s="40">
        <v>39.0</v>
      </c>
      <c r="S3" s="40">
        <v>40.0</v>
      </c>
      <c r="T3" s="40">
        <v>41.0</v>
      </c>
      <c r="U3" s="40">
        <v>42.0</v>
      </c>
      <c r="V3" s="40">
        <v>43.0</v>
      </c>
      <c r="W3" s="40">
        <v>44.0</v>
      </c>
      <c r="X3" s="40">
        <v>45.0</v>
      </c>
    </row>
    <row r="4">
      <c r="A4" s="10" t="s">
        <v>88</v>
      </c>
      <c r="B4" s="10">
        <v>1.0</v>
      </c>
      <c r="C4" s="10" t="s">
        <v>19</v>
      </c>
      <c r="D4" s="9" t="s">
        <v>57</v>
      </c>
      <c r="E4" s="40">
        <v>0.0</v>
      </c>
      <c r="F4" s="40">
        <v>28.0</v>
      </c>
      <c r="G4" s="41">
        <v>46172.0</v>
      </c>
      <c r="H4" s="40">
        <v>33.0</v>
      </c>
      <c r="I4" s="40" t="s">
        <v>127</v>
      </c>
      <c r="J4" s="40">
        <v>38.0</v>
      </c>
      <c r="K4" s="40">
        <v>41.0</v>
      </c>
      <c r="L4" s="40">
        <v>44.0</v>
      </c>
      <c r="M4" s="40">
        <v>46.0</v>
      </c>
      <c r="N4" s="40">
        <v>48.0</v>
      </c>
      <c r="O4" s="40">
        <v>49.0</v>
      </c>
      <c r="P4" s="40">
        <v>50.0</v>
      </c>
      <c r="Q4" s="40">
        <v>51.0</v>
      </c>
      <c r="R4" s="40">
        <v>52.0</v>
      </c>
      <c r="S4" s="40" t="s">
        <v>128</v>
      </c>
      <c r="T4" s="40">
        <v>55.0</v>
      </c>
      <c r="U4" s="40">
        <v>56.0</v>
      </c>
      <c r="V4" s="40">
        <v>57.0</v>
      </c>
      <c r="W4" s="40" t="s">
        <v>129</v>
      </c>
      <c r="X4" s="40">
        <v>60.0</v>
      </c>
    </row>
    <row r="5">
      <c r="A5" s="10" t="s">
        <v>88</v>
      </c>
      <c r="B5" s="10">
        <v>1.0</v>
      </c>
      <c r="C5" s="10" t="s">
        <v>19</v>
      </c>
      <c r="D5" s="9" t="s">
        <v>21</v>
      </c>
      <c r="E5" s="40">
        <v>0.0</v>
      </c>
      <c r="F5" s="40">
        <v>157.0</v>
      </c>
      <c r="G5" s="40">
        <v>161.0</v>
      </c>
      <c r="H5" s="40">
        <v>165.0</v>
      </c>
      <c r="I5" s="40" t="s">
        <v>130</v>
      </c>
      <c r="J5" s="40">
        <v>180.0</v>
      </c>
      <c r="K5" s="40">
        <v>185.0</v>
      </c>
      <c r="L5" s="40">
        <v>190.0</v>
      </c>
      <c r="M5" s="40" t="s">
        <v>131</v>
      </c>
      <c r="N5" s="40">
        <v>195.0</v>
      </c>
      <c r="O5" s="40">
        <v>200.0</v>
      </c>
      <c r="P5" s="40">
        <v>205.0</v>
      </c>
      <c r="Q5" s="40" t="s">
        <v>132</v>
      </c>
      <c r="R5" s="40">
        <v>220.0</v>
      </c>
      <c r="S5" s="40">
        <v>225.0</v>
      </c>
      <c r="T5" s="40">
        <v>230.0</v>
      </c>
      <c r="U5" s="40">
        <v>235.0</v>
      </c>
      <c r="V5" s="40">
        <v>240.0</v>
      </c>
      <c r="W5" s="40">
        <v>245.0</v>
      </c>
      <c r="X5" s="40">
        <v>250.0</v>
      </c>
    </row>
    <row r="6">
      <c r="A6" s="10" t="s">
        <v>88</v>
      </c>
      <c r="B6" s="10">
        <v>1.0</v>
      </c>
      <c r="C6" s="10" t="s">
        <v>19</v>
      </c>
      <c r="D6" s="9" t="s">
        <v>41</v>
      </c>
      <c r="E6" s="40">
        <v>0.0</v>
      </c>
      <c r="F6" s="40">
        <v>14.0</v>
      </c>
      <c r="G6" s="40">
        <v>15.0</v>
      </c>
      <c r="H6" s="40">
        <v>16.0</v>
      </c>
      <c r="I6" s="40">
        <v>17.0</v>
      </c>
      <c r="J6" s="40">
        <v>19.0</v>
      </c>
      <c r="K6" s="40">
        <v>20.0</v>
      </c>
      <c r="L6" s="40">
        <v>22.0</v>
      </c>
      <c r="M6" s="40">
        <v>23.0</v>
      </c>
      <c r="N6" s="40">
        <v>24.0</v>
      </c>
      <c r="O6" s="40">
        <v>25.0</v>
      </c>
      <c r="P6" s="40">
        <v>26.0</v>
      </c>
      <c r="Q6" s="40">
        <v>27.0</v>
      </c>
      <c r="R6" s="40">
        <v>28.0</v>
      </c>
      <c r="S6" s="40">
        <v>29.0</v>
      </c>
      <c r="T6" s="40">
        <v>30.0</v>
      </c>
      <c r="U6" s="40">
        <v>31.0</v>
      </c>
      <c r="V6" s="40">
        <v>32.0</v>
      </c>
      <c r="W6" s="40">
        <v>33.0</v>
      </c>
      <c r="X6" s="40">
        <v>35.0</v>
      </c>
    </row>
    <row r="7">
      <c r="A7" s="10" t="s">
        <v>88</v>
      </c>
      <c r="B7" s="10">
        <v>1.0</v>
      </c>
      <c r="C7" s="10" t="s">
        <v>19</v>
      </c>
      <c r="D7" s="9" t="s">
        <v>33</v>
      </c>
      <c r="E7" s="40">
        <v>0.0</v>
      </c>
      <c r="F7" s="41">
        <v>46237.0</v>
      </c>
      <c r="G7" s="40">
        <v>4.0</v>
      </c>
      <c r="H7" s="41">
        <v>46057.0</v>
      </c>
      <c r="I7" s="40" t="s">
        <v>133</v>
      </c>
      <c r="J7" s="41">
        <v>46086.0</v>
      </c>
      <c r="K7" s="40" t="s">
        <v>134</v>
      </c>
      <c r="L7" s="40">
        <v>6.0</v>
      </c>
      <c r="M7" s="40" t="s">
        <v>135</v>
      </c>
      <c r="N7" s="41">
        <v>46148.0</v>
      </c>
      <c r="O7" s="40" t="s">
        <v>136</v>
      </c>
      <c r="P7" s="40">
        <v>7.0</v>
      </c>
      <c r="Q7" s="41">
        <v>46088.0</v>
      </c>
      <c r="R7" s="41">
        <v>46180.0</v>
      </c>
      <c r="S7" s="40" t="s">
        <v>137</v>
      </c>
      <c r="T7" s="41">
        <v>46030.0</v>
      </c>
      <c r="U7" s="40" t="s">
        <v>138</v>
      </c>
      <c r="V7" s="40">
        <v>9.0</v>
      </c>
      <c r="W7" s="41">
        <v>46151.0</v>
      </c>
      <c r="X7" s="40">
        <v>10.0</v>
      </c>
    </row>
    <row r="8">
      <c r="A8" s="10" t="s">
        <v>88</v>
      </c>
      <c r="B8" s="10">
        <v>1.0</v>
      </c>
      <c r="C8" s="10" t="s">
        <v>19</v>
      </c>
      <c r="D8" s="9" t="s">
        <v>71</v>
      </c>
      <c r="E8" s="40">
        <v>0.0</v>
      </c>
      <c r="F8" s="40">
        <v>9.0</v>
      </c>
      <c r="G8" s="41">
        <v>46242.0</v>
      </c>
      <c r="H8" s="41">
        <v>46181.0</v>
      </c>
      <c r="I8" s="41">
        <v>46120.0</v>
      </c>
      <c r="J8" s="41">
        <v>46061.0</v>
      </c>
      <c r="K8" s="40">
        <v>8.0</v>
      </c>
      <c r="L8" s="41">
        <v>46241.0</v>
      </c>
      <c r="M8" s="41">
        <v>46180.0</v>
      </c>
      <c r="N8" s="41">
        <v>46119.0</v>
      </c>
      <c r="O8" s="41">
        <v>46088.0</v>
      </c>
      <c r="P8" s="41">
        <v>46060.0</v>
      </c>
      <c r="Q8" s="41">
        <v>46029.0</v>
      </c>
      <c r="R8" s="40">
        <v>7.0</v>
      </c>
      <c r="S8" s="41">
        <v>46271.0</v>
      </c>
      <c r="T8" s="41">
        <v>46240.0</v>
      </c>
      <c r="U8" s="41">
        <v>46209.0</v>
      </c>
      <c r="V8" s="41">
        <v>46179.0</v>
      </c>
      <c r="W8" s="41">
        <v>46148.0</v>
      </c>
      <c r="X8" s="41">
        <v>46118.0</v>
      </c>
    </row>
    <row r="9">
      <c r="A9" s="4" t="s">
        <v>1</v>
      </c>
      <c r="B9" s="4" t="s">
        <v>2</v>
      </c>
      <c r="C9" s="4" t="s">
        <v>4</v>
      </c>
      <c r="D9" s="37" t="s">
        <v>123</v>
      </c>
      <c r="E9" s="38"/>
      <c r="F9" s="38"/>
      <c r="G9" s="39"/>
      <c r="H9" s="38"/>
      <c r="I9" s="39"/>
      <c r="J9" s="38"/>
      <c r="K9" s="39"/>
      <c r="L9" s="38"/>
      <c r="M9" s="39"/>
      <c r="N9" s="38"/>
      <c r="O9" s="39"/>
      <c r="P9" s="38"/>
      <c r="Q9" s="39"/>
      <c r="R9" s="38"/>
      <c r="S9" s="39"/>
      <c r="T9" s="38"/>
      <c r="U9" s="39"/>
      <c r="V9" s="38"/>
      <c r="W9" s="39"/>
      <c r="X9" s="38"/>
    </row>
    <row r="10">
      <c r="A10" s="10" t="s">
        <v>88</v>
      </c>
      <c r="B10" s="10">
        <v>1.0</v>
      </c>
      <c r="C10" s="42" t="s">
        <v>31</v>
      </c>
      <c r="D10" s="9" t="s">
        <v>63</v>
      </c>
      <c r="E10" s="40">
        <v>0.0</v>
      </c>
      <c r="F10" s="40">
        <v>1700.0</v>
      </c>
      <c r="G10" s="40">
        <v>1750.0</v>
      </c>
      <c r="H10" s="40">
        <v>1800.0</v>
      </c>
      <c r="I10" s="40">
        <v>1850.0</v>
      </c>
      <c r="J10" s="40">
        <v>1900.0</v>
      </c>
      <c r="K10" s="40">
        <v>1950.0</v>
      </c>
      <c r="L10" s="40">
        <v>2000.0</v>
      </c>
      <c r="M10" s="40">
        <v>2050.0</v>
      </c>
      <c r="N10" s="40">
        <v>2100.0</v>
      </c>
      <c r="O10" s="40">
        <v>2150.0</v>
      </c>
      <c r="P10" s="40">
        <v>2250.0</v>
      </c>
      <c r="Q10" s="40">
        <v>2350.0</v>
      </c>
      <c r="R10" s="40">
        <v>2400.0</v>
      </c>
      <c r="S10" s="40">
        <v>2500.0</v>
      </c>
      <c r="T10" s="40">
        <v>2550.0</v>
      </c>
      <c r="U10" s="40">
        <v>2600.0</v>
      </c>
      <c r="V10" s="40">
        <v>2700.0</v>
      </c>
      <c r="W10" s="40">
        <v>2750.0</v>
      </c>
      <c r="X10" s="40">
        <v>2800.0</v>
      </c>
    </row>
    <row r="11">
      <c r="A11" s="10" t="s">
        <v>88</v>
      </c>
      <c r="B11" s="10">
        <v>1.0</v>
      </c>
      <c r="C11" s="42" t="s">
        <v>31</v>
      </c>
      <c r="D11" s="9" t="s">
        <v>50</v>
      </c>
      <c r="E11" s="40">
        <v>0.0</v>
      </c>
      <c r="F11" s="40">
        <v>22.0</v>
      </c>
      <c r="G11" s="40">
        <v>24.0</v>
      </c>
      <c r="H11" s="40">
        <v>25.0</v>
      </c>
      <c r="I11" s="40">
        <v>26.0</v>
      </c>
      <c r="J11" s="40">
        <v>28.0</v>
      </c>
      <c r="K11" s="40">
        <v>30.0</v>
      </c>
      <c r="L11" s="40">
        <v>31.0</v>
      </c>
      <c r="M11" s="40">
        <v>33.0</v>
      </c>
      <c r="N11" s="40">
        <v>34.0</v>
      </c>
      <c r="O11" s="40">
        <v>35.0</v>
      </c>
      <c r="P11" s="40">
        <v>36.0</v>
      </c>
      <c r="Q11" s="40">
        <v>37.0</v>
      </c>
      <c r="R11" s="40">
        <v>38.0</v>
      </c>
      <c r="S11" s="40">
        <v>39.0</v>
      </c>
      <c r="T11" s="40">
        <v>40.0</v>
      </c>
      <c r="U11" s="40">
        <v>41.0</v>
      </c>
      <c r="V11" s="40">
        <v>42.0</v>
      </c>
      <c r="W11" s="40">
        <v>43.0</v>
      </c>
      <c r="X11" s="40">
        <v>44.0</v>
      </c>
    </row>
    <row r="12">
      <c r="A12" s="10" t="s">
        <v>88</v>
      </c>
      <c r="B12" s="10">
        <v>1.0</v>
      </c>
      <c r="C12" s="42" t="s">
        <v>31</v>
      </c>
      <c r="D12" s="9" t="s">
        <v>57</v>
      </c>
      <c r="E12" s="40">
        <v>0.0</v>
      </c>
      <c r="F12" s="40">
        <v>23.0</v>
      </c>
      <c r="G12" s="40">
        <v>24.0</v>
      </c>
      <c r="H12" s="40">
        <v>26.0</v>
      </c>
      <c r="I12" s="40">
        <v>27.0</v>
      </c>
      <c r="J12" s="40">
        <v>29.0</v>
      </c>
      <c r="K12" s="40">
        <v>30.0</v>
      </c>
      <c r="L12" s="40">
        <v>32.0</v>
      </c>
      <c r="M12" s="40">
        <v>35.0</v>
      </c>
      <c r="N12" s="40">
        <v>36.0</v>
      </c>
      <c r="O12" s="40">
        <v>37.0</v>
      </c>
      <c r="P12" s="40">
        <v>38.0</v>
      </c>
      <c r="Q12" s="40">
        <v>39.0</v>
      </c>
      <c r="R12" s="40">
        <v>41.0</v>
      </c>
      <c r="S12" s="40">
        <v>42.0</v>
      </c>
      <c r="T12" s="40">
        <v>43.0</v>
      </c>
      <c r="U12" s="40">
        <v>44.0</v>
      </c>
      <c r="V12" s="40">
        <v>45.0</v>
      </c>
      <c r="W12" s="40">
        <v>46.0</v>
      </c>
      <c r="X12" s="40">
        <v>47.0</v>
      </c>
    </row>
    <row r="13">
      <c r="A13" s="10" t="s">
        <v>88</v>
      </c>
      <c r="B13" s="10">
        <v>1.0</v>
      </c>
      <c r="C13" s="42" t="s">
        <v>31</v>
      </c>
      <c r="D13" s="9" t="s">
        <v>21</v>
      </c>
      <c r="E13" s="40">
        <v>0.0</v>
      </c>
      <c r="F13" s="40">
        <v>140.0</v>
      </c>
      <c r="G13" s="40">
        <v>144.0</v>
      </c>
      <c r="H13" s="40">
        <v>148.0</v>
      </c>
      <c r="I13" s="40">
        <v>152.0</v>
      </c>
      <c r="J13" s="40">
        <v>155.0</v>
      </c>
      <c r="K13" s="40">
        <v>159.0</v>
      </c>
      <c r="L13" s="40">
        <v>162.0</v>
      </c>
      <c r="M13" s="40">
        <v>166.0</v>
      </c>
      <c r="N13" s="40">
        <v>169.0</v>
      </c>
      <c r="O13" s="40">
        <v>171.0</v>
      </c>
      <c r="P13" s="40">
        <v>174.0</v>
      </c>
      <c r="Q13" s="40">
        <v>177.0</v>
      </c>
      <c r="R13" s="40">
        <v>179.0</v>
      </c>
      <c r="S13" s="40">
        <v>181.0</v>
      </c>
      <c r="T13" s="40">
        <v>184.0</v>
      </c>
      <c r="U13" s="40">
        <v>187.0</v>
      </c>
      <c r="V13" s="40">
        <v>189.0</v>
      </c>
      <c r="W13" s="40">
        <v>190.0</v>
      </c>
      <c r="X13" s="40">
        <v>192.0</v>
      </c>
    </row>
    <row r="14">
      <c r="A14" s="10" t="s">
        <v>88</v>
      </c>
      <c r="B14" s="10">
        <v>1.0</v>
      </c>
      <c r="C14" s="42" t="s">
        <v>31</v>
      </c>
      <c r="D14" s="9" t="s">
        <v>41</v>
      </c>
      <c r="E14" s="40">
        <v>0.0</v>
      </c>
      <c r="F14" s="40">
        <v>12.0</v>
      </c>
      <c r="G14" s="40">
        <v>13.0</v>
      </c>
      <c r="H14" s="40">
        <v>14.0</v>
      </c>
      <c r="I14" s="40">
        <v>15.0</v>
      </c>
      <c r="J14" s="40">
        <v>16.0</v>
      </c>
      <c r="K14" s="40">
        <v>17.0</v>
      </c>
      <c r="L14" s="40">
        <v>18.0</v>
      </c>
      <c r="M14" s="40">
        <v>19.0</v>
      </c>
      <c r="N14" s="40">
        <v>20.0</v>
      </c>
      <c r="O14" s="40">
        <v>21.0</v>
      </c>
      <c r="P14" s="40">
        <v>22.0</v>
      </c>
      <c r="Q14" s="40">
        <v>23.0</v>
      </c>
      <c r="R14" s="40">
        <v>24.0</v>
      </c>
      <c r="S14" s="40">
        <v>25.0</v>
      </c>
      <c r="T14" s="40">
        <v>26.0</v>
      </c>
      <c r="U14" s="40">
        <v>27.0</v>
      </c>
      <c r="V14" s="40">
        <v>28.0</v>
      </c>
      <c r="W14" s="40">
        <v>29.0</v>
      </c>
      <c r="X14" s="40">
        <v>30.0</v>
      </c>
    </row>
    <row r="15">
      <c r="A15" s="10" t="s">
        <v>88</v>
      </c>
      <c r="B15" s="10">
        <v>1.0</v>
      </c>
      <c r="C15" s="42" t="s">
        <v>31</v>
      </c>
      <c r="D15" s="9" t="s">
        <v>33</v>
      </c>
      <c r="E15" s="40">
        <v>0.0</v>
      </c>
      <c r="F15" s="40">
        <v>4.0</v>
      </c>
      <c r="G15" s="41">
        <v>46026.0</v>
      </c>
      <c r="H15" s="41">
        <v>46057.0</v>
      </c>
      <c r="I15" s="41">
        <v>46085.0</v>
      </c>
      <c r="J15" s="41">
        <v>46116.0</v>
      </c>
      <c r="K15" s="41">
        <v>46146.0</v>
      </c>
      <c r="L15" s="41">
        <v>46207.0</v>
      </c>
      <c r="M15" s="41">
        <v>46238.0</v>
      </c>
      <c r="N15" s="40">
        <v>5.0</v>
      </c>
      <c r="O15" s="41">
        <v>46027.0</v>
      </c>
      <c r="P15" s="41">
        <v>46086.0</v>
      </c>
      <c r="Q15" s="41">
        <v>46117.0</v>
      </c>
      <c r="R15" s="41">
        <v>46178.0</v>
      </c>
      <c r="S15" s="41">
        <v>46208.0</v>
      </c>
      <c r="T15" s="41">
        <v>46270.0</v>
      </c>
      <c r="U15" s="40">
        <v>6.0</v>
      </c>
      <c r="V15" s="41">
        <v>46059.0</v>
      </c>
      <c r="W15" s="41">
        <v>46087.0</v>
      </c>
      <c r="X15" s="41">
        <v>46148.0</v>
      </c>
    </row>
    <row r="16">
      <c r="A16" s="10" t="s">
        <v>88</v>
      </c>
      <c r="B16" s="10">
        <v>1.0</v>
      </c>
      <c r="C16" s="42" t="s">
        <v>31</v>
      </c>
      <c r="D16" s="9" t="s">
        <v>71</v>
      </c>
      <c r="E16" s="40">
        <v>0.0</v>
      </c>
      <c r="F16" s="40" t="s">
        <v>139</v>
      </c>
      <c r="G16" s="41">
        <v>46121.0</v>
      </c>
      <c r="H16" s="41">
        <v>46062.0</v>
      </c>
      <c r="I16" s="40">
        <v>9.0</v>
      </c>
      <c r="J16" s="41">
        <v>46273.0</v>
      </c>
      <c r="K16" s="41">
        <v>46242.0</v>
      </c>
      <c r="L16" s="41">
        <v>46181.0</v>
      </c>
      <c r="M16" s="41">
        <v>46150.0</v>
      </c>
      <c r="N16" s="41">
        <v>46089.0</v>
      </c>
      <c r="O16" s="40" t="s">
        <v>140</v>
      </c>
      <c r="P16" s="40" t="s">
        <v>141</v>
      </c>
      <c r="Q16" s="41">
        <v>46061.0</v>
      </c>
      <c r="R16" s="40" t="s">
        <v>142</v>
      </c>
      <c r="S16" s="40">
        <v>8.0</v>
      </c>
      <c r="T16" s="41">
        <v>46272.0</v>
      </c>
      <c r="U16" s="41">
        <v>46241.0</v>
      </c>
      <c r="V16" s="40" t="s">
        <v>143</v>
      </c>
      <c r="W16" s="41">
        <v>46210.0</v>
      </c>
      <c r="X16" s="41">
        <v>46180.0</v>
      </c>
    </row>
    <row r="17">
      <c r="A17" s="4" t="s">
        <v>1</v>
      </c>
      <c r="B17" s="4" t="s">
        <v>2</v>
      </c>
      <c r="C17" s="4" t="s">
        <v>4</v>
      </c>
      <c r="D17" s="37" t="s">
        <v>123</v>
      </c>
      <c r="E17" s="38"/>
      <c r="F17" s="38"/>
      <c r="G17" s="39"/>
      <c r="H17" s="38"/>
      <c r="I17" s="39"/>
      <c r="J17" s="38"/>
      <c r="K17" s="39"/>
      <c r="L17" s="38"/>
      <c r="M17" s="39"/>
      <c r="N17" s="38"/>
      <c r="O17" s="39"/>
      <c r="P17" s="38"/>
      <c r="Q17" s="39"/>
      <c r="R17" s="38"/>
      <c r="S17" s="39"/>
      <c r="T17" s="38"/>
      <c r="U17" s="39"/>
      <c r="V17" s="38"/>
      <c r="W17" s="39"/>
      <c r="X17" s="38"/>
    </row>
    <row r="18">
      <c r="A18" s="42" t="s">
        <v>17</v>
      </c>
      <c r="B18" s="42">
        <v>2.0</v>
      </c>
      <c r="C18" s="10" t="s">
        <v>19</v>
      </c>
      <c r="D18" s="9" t="s">
        <v>63</v>
      </c>
      <c r="E18" s="40">
        <v>0.0</v>
      </c>
      <c r="F18" s="40">
        <v>1400.0</v>
      </c>
      <c r="G18" s="40">
        <v>1475.0</v>
      </c>
      <c r="H18" s="40">
        <v>1548.0</v>
      </c>
      <c r="I18" s="40">
        <v>1622.0</v>
      </c>
      <c r="J18" s="40">
        <v>1697.0</v>
      </c>
      <c r="K18" s="40">
        <v>1771.0</v>
      </c>
      <c r="L18" s="40">
        <v>1845.0</v>
      </c>
      <c r="M18" s="40">
        <v>1919.0</v>
      </c>
      <c r="N18" s="40">
        <v>1995.0</v>
      </c>
      <c r="O18" s="40">
        <v>2068.0</v>
      </c>
      <c r="P18" s="40">
        <v>2142.0</v>
      </c>
      <c r="Q18" s="40">
        <v>2216.0</v>
      </c>
      <c r="R18" s="40">
        <v>2291.0</v>
      </c>
      <c r="S18" s="40">
        <v>2365.0</v>
      </c>
      <c r="T18" s="40">
        <v>2439.0</v>
      </c>
      <c r="U18" s="40">
        <v>2513.0</v>
      </c>
      <c r="V18" s="40">
        <v>2588.0</v>
      </c>
      <c r="W18" s="40">
        <v>2662.0</v>
      </c>
      <c r="X18" s="40">
        <v>2736.0</v>
      </c>
    </row>
    <row r="19">
      <c r="A19" s="42" t="s">
        <v>17</v>
      </c>
      <c r="B19" s="42">
        <v>2.0</v>
      </c>
      <c r="C19" s="10" t="s">
        <v>19</v>
      </c>
      <c r="D19" s="9" t="s">
        <v>50</v>
      </c>
      <c r="E19" s="40">
        <v>0.0</v>
      </c>
      <c r="F19" s="40">
        <v>6.0</v>
      </c>
      <c r="G19" s="40">
        <v>7.0</v>
      </c>
      <c r="H19" s="40">
        <v>9.0</v>
      </c>
      <c r="I19" s="40">
        <v>10.0</v>
      </c>
      <c r="J19" s="40">
        <v>12.0</v>
      </c>
      <c r="K19" s="40">
        <v>14.0</v>
      </c>
      <c r="L19" s="40">
        <v>15.0</v>
      </c>
      <c r="M19" s="40">
        <v>17.0</v>
      </c>
      <c r="N19" s="40">
        <v>20.0</v>
      </c>
      <c r="O19" s="40">
        <v>21.0</v>
      </c>
      <c r="P19" s="40">
        <v>23.0</v>
      </c>
      <c r="Q19" s="40">
        <v>24.0</v>
      </c>
      <c r="R19" s="40">
        <v>26.0</v>
      </c>
      <c r="S19" s="40">
        <v>27.0</v>
      </c>
      <c r="T19" s="40">
        <v>29.0</v>
      </c>
      <c r="U19" s="40">
        <v>30.0</v>
      </c>
      <c r="V19" s="40">
        <v>32.0</v>
      </c>
      <c r="W19" s="40">
        <v>34.0</v>
      </c>
      <c r="X19" s="40">
        <v>36.0</v>
      </c>
    </row>
    <row r="20">
      <c r="A20" s="42" t="s">
        <v>17</v>
      </c>
      <c r="B20" s="42">
        <v>2.0</v>
      </c>
      <c r="C20" s="10" t="s">
        <v>19</v>
      </c>
      <c r="D20" s="9" t="s">
        <v>57</v>
      </c>
      <c r="E20" s="40">
        <v>0.0</v>
      </c>
      <c r="F20" s="40">
        <v>25.0</v>
      </c>
      <c r="G20" s="40">
        <v>26.0</v>
      </c>
      <c r="H20" s="40">
        <v>28.0</v>
      </c>
      <c r="I20" s="40">
        <v>30.0</v>
      </c>
      <c r="J20" s="40">
        <v>31.0</v>
      </c>
      <c r="K20" s="40">
        <v>33.0</v>
      </c>
      <c r="L20" s="40">
        <v>35.0</v>
      </c>
      <c r="M20" s="40">
        <v>36.0</v>
      </c>
      <c r="N20" s="40">
        <v>38.0</v>
      </c>
      <c r="O20" s="40">
        <v>40.0</v>
      </c>
      <c r="P20" s="40">
        <v>42.0</v>
      </c>
      <c r="Q20" s="40">
        <v>43.0</v>
      </c>
      <c r="R20" s="40">
        <v>45.0</v>
      </c>
      <c r="S20" s="40">
        <v>47.0</v>
      </c>
      <c r="T20" s="40">
        <v>48.0</v>
      </c>
      <c r="U20" s="40">
        <v>50.0</v>
      </c>
      <c r="V20" s="40">
        <v>52.0</v>
      </c>
      <c r="W20" s="40">
        <v>53.0</v>
      </c>
      <c r="X20" s="40">
        <v>55.0</v>
      </c>
    </row>
    <row r="21">
      <c r="A21" s="42" t="s">
        <v>17</v>
      </c>
      <c r="B21" s="42">
        <v>2.0</v>
      </c>
      <c r="C21" s="10" t="s">
        <v>19</v>
      </c>
      <c r="D21" s="9" t="s">
        <v>21</v>
      </c>
      <c r="E21" s="40">
        <v>0.0</v>
      </c>
      <c r="F21" s="40" t="s">
        <v>144</v>
      </c>
      <c r="G21" s="40" t="s">
        <v>145</v>
      </c>
      <c r="H21" s="40" t="s">
        <v>146</v>
      </c>
      <c r="I21" s="40" t="s">
        <v>147</v>
      </c>
      <c r="J21" s="40" t="s">
        <v>148</v>
      </c>
      <c r="K21" s="40" t="s">
        <v>149</v>
      </c>
      <c r="L21" s="40" t="s">
        <v>150</v>
      </c>
      <c r="M21" s="40" t="s">
        <v>151</v>
      </c>
      <c r="N21" s="40" t="s">
        <v>152</v>
      </c>
      <c r="O21" s="41">
        <v>46174.0</v>
      </c>
      <c r="P21" s="40" t="s">
        <v>153</v>
      </c>
      <c r="Q21" s="40" t="s">
        <v>154</v>
      </c>
      <c r="R21" s="40" t="s">
        <v>155</v>
      </c>
      <c r="S21" s="40" t="s">
        <v>156</v>
      </c>
      <c r="T21" s="40" t="s">
        <v>156</v>
      </c>
      <c r="U21" s="40" t="s">
        <v>157</v>
      </c>
      <c r="V21" s="40" t="s">
        <v>158</v>
      </c>
      <c r="W21" s="40" t="s">
        <v>159</v>
      </c>
      <c r="X21" s="40" t="s">
        <v>160</v>
      </c>
    </row>
    <row r="22">
      <c r="A22" s="42" t="s">
        <v>17</v>
      </c>
      <c r="B22" s="42">
        <v>2.0</v>
      </c>
      <c r="C22" s="10" t="s">
        <v>19</v>
      </c>
      <c r="D22" s="8" t="s">
        <v>161</v>
      </c>
      <c r="E22" s="40">
        <v>0.0</v>
      </c>
      <c r="F22" s="40">
        <v>15.0</v>
      </c>
      <c r="G22" s="40">
        <v>16.0</v>
      </c>
      <c r="H22" s="40">
        <v>17.0</v>
      </c>
      <c r="I22" s="40">
        <v>18.0</v>
      </c>
      <c r="J22" s="40">
        <v>19.0</v>
      </c>
      <c r="K22" s="40">
        <v>20.0</v>
      </c>
      <c r="L22" s="40">
        <v>21.0</v>
      </c>
      <c r="M22" s="40">
        <v>22.0</v>
      </c>
      <c r="N22" s="40">
        <v>23.0</v>
      </c>
      <c r="O22" s="40">
        <v>24.0</v>
      </c>
      <c r="P22" s="40">
        <v>25.0</v>
      </c>
      <c r="Q22" s="40">
        <v>26.0</v>
      </c>
      <c r="R22" s="40">
        <v>27.0</v>
      </c>
      <c r="S22" s="40">
        <v>28.0</v>
      </c>
      <c r="T22" s="40">
        <v>29.0</v>
      </c>
      <c r="U22" s="40">
        <v>30.0</v>
      </c>
      <c r="V22" s="40">
        <v>31.0</v>
      </c>
      <c r="W22" s="40">
        <v>32.0</v>
      </c>
      <c r="X22" s="40">
        <v>33.0</v>
      </c>
    </row>
    <row r="23">
      <c r="A23" s="42" t="s">
        <v>17</v>
      </c>
      <c r="B23" s="42">
        <v>2.0</v>
      </c>
      <c r="C23" s="10" t="s">
        <v>19</v>
      </c>
      <c r="D23" s="9" t="s">
        <v>33</v>
      </c>
      <c r="E23" s="40">
        <v>0.0</v>
      </c>
      <c r="F23" s="40" t="s">
        <v>162</v>
      </c>
      <c r="G23" s="40" t="s">
        <v>163</v>
      </c>
      <c r="H23" s="40" t="s">
        <v>164</v>
      </c>
      <c r="I23" s="40" t="s">
        <v>165</v>
      </c>
      <c r="J23" s="40" t="s">
        <v>166</v>
      </c>
      <c r="K23" s="40" t="s">
        <v>167</v>
      </c>
      <c r="L23" s="40" t="s">
        <v>168</v>
      </c>
      <c r="M23" s="41">
        <v>46269.0</v>
      </c>
      <c r="N23" s="40" t="s">
        <v>169</v>
      </c>
      <c r="O23" s="40" t="s">
        <v>170</v>
      </c>
      <c r="P23" s="40" t="s">
        <v>171</v>
      </c>
      <c r="Q23" s="40" t="s">
        <v>172</v>
      </c>
      <c r="R23" s="43">
        <v>46240.0</v>
      </c>
      <c r="S23" s="40" t="s">
        <v>173</v>
      </c>
      <c r="T23" s="40" t="s">
        <v>174</v>
      </c>
      <c r="U23" s="41">
        <v>46240.0</v>
      </c>
      <c r="V23" s="43">
        <v>46088.0</v>
      </c>
      <c r="W23" s="40" t="s">
        <v>175</v>
      </c>
      <c r="X23" s="40" t="s">
        <v>176</v>
      </c>
    </row>
    <row r="24">
      <c r="A24" s="42" t="s">
        <v>17</v>
      </c>
      <c r="B24" s="42">
        <v>2.0</v>
      </c>
      <c r="C24" s="10" t="s">
        <v>19</v>
      </c>
      <c r="D24" s="9" t="s">
        <v>71</v>
      </c>
      <c r="E24" s="40">
        <v>0.0</v>
      </c>
      <c r="F24" s="41">
        <v>46212.0</v>
      </c>
      <c r="G24" s="41">
        <v>46182.0</v>
      </c>
      <c r="H24" s="41">
        <v>46151.0</v>
      </c>
      <c r="I24" s="41">
        <v>46121.0</v>
      </c>
      <c r="J24" s="41">
        <v>46090.0</v>
      </c>
      <c r="K24" s="41">
        <v>46062.0</v>
      </c>
      <c r="L24" s="41">
        <v>46031.0</v>
      </c>
      <c r="M24" s="40">
        <v>9.0</v>
      </c>
      <c r="N24" s="41">
        <v>46273.0</v>
      </c>
      <c r="O24" s="41">
        <v>46211.0</v>
      </c>
      <c r="P24" s="41">
        <v>46181.0</v>
      </c>
      <c r="Q24" s="41">
        <v>46150.0</v>
      </c>
      <c r="R24" s="41">
        <v>46120.0</v>
      </c>
      <c r="S24" s="41">
        <v>46089.0</v>
      </c>
      <c r="T24" s="41">
        <v>46061.0</v>
      </c>
      <c r="U24" s="40">
        <v>8.0</v>
      </c>
      <c r="V24" s="41">
        <v>46272.0</v>
      </c>
      <c r="W24" s="41">
        <v>46241.0</v>
      </c>
      <c r="X24" s="41">
        <v>46210.0</v>
      </c>
    </row>
    <row r="25">
      <c r="A25" s="4" t="s">
        <v>1</v>
      </c>
      <c r="B25" s="4" t="s">
        <v>2</v>
      </c>
      <c r="C25" s="4" t="s">
        <v>4</v>
      </c>
      <c r="D25" s="37" t="s">
        <v>123</v>
      </c>
      <c r="E25" s="38"/>
      <c r="F25" s="38"/>
      <c r="G25" s="39"/>
      <c r="H25" s="38"/>
      <c r="I25" s="39"/>
      <c r="J25" s="38"/>
      <c r="K25" s="39"/>
      <c r="L25" s="38"/>
      <c r="M25" s="39"/>
      <c r="N25" s="38"/>
      <c r="O25" s="39"/>
      <c r="P25" s="38"/>
      <c r="Q25" s="39"/>
      <c r="R25" s="38"/>
      <c r="S25" s="39"/>
      <c r="T25" s="38"/>
      <c r="U25" s="39"/>
      <c r="V25" s="38"/>
      <c r="W25" s="39"/>
      <c r="X25" s="38"/>
    </row>
    <row r="26">
      <c r="A26" s="42" t="s">
        <v>17</v>
      </c>
      <c r="B26" s="42">
        <v>2.0</v>
      </c>
      <c r="C26" s="10" t="s">
        <v>31</v>
      </c>
      <c r="D26" s="9" t="s">
        <v>63</v>
      </c>
      <c r="E26" s="40">
        <v>0.0</v>
      </c>
      <c r="F26" s="40">
        <v>700.0</v>
      </c>
      <c r="G26" s="40">
        <v>792.0</v>
      </c>
      <c r="H26" s="40">
        <v>882.0</v>
      </c>
      <c r="I26" s="40">
        <v>974.0</v>
      </c>
      <c r="J26" s="40">
        <v>1065.0</v>
      </c>
      <c r="K26" s="40">
        <v>1156.0</v>
      </c>
      <c r="L26" s="40">
        <v>1247.0</v>
      </c>
      <c r="M26" s="40">
        <v>1338.0</v>
      </c>
      <c r="N26" s="40">
        <v>1430.0</v>
      </c>
      <c r="O26" s="40">
        <v>1521.0</v>
      </c>
      <c r="P26" s="40">
        <v>1612.0</v>
      </c>
      <c r="Q26" s="40">
        <v>1703.0</v>
      </c>
      <c r="R26" s="40">
        <v>1795.0</v>
      </c>
      <c r="S26" s="40">
        <v>1886.0</v>
      </c>
      <c r="T26" s="40">
        <v>1977.0</v>
      </c>
      <c r="U26" s="40">
        <v>2068.0</v>
      </c>
      <c r="V26" s="40">
        <v>2160.0</v>
      </c>
      <c r="W26" s="40">
        <v>2251.0</v>
      </c>
      <c r="X26" s="40">
        <v>2342.0</v>
      </c>
    </row>
    <row r="27">
      <c r="A27" s="42" t="s">
        <v>17</v>
      </c>
      <c r="B27" s="42">
        <v>2.0</v>
      </c>
      <c r="C27" s="10" t="s">
        <v>31</v>
      </c>
      <c r="D27" s="9" t="s">
        <v>50</v>
      </c>
      <c r="E27" s="40">
        <v>0.0</v>
      </c>
      <c r="F27" s="40">
        <v>15.0</v>
      </c>
      <c r="G27" s="40">
        <v>16.0</v>
      </c>
      <c r="H27" s="40">
        <v>18.0</v>
      </c>
      <c r="I27" s="40">
        <v>20.0</v>
      </c>
      <c r="J27" s="40">
        <v>22.0</v>
      </c>
      <c r="K27" s="40">
        <v>24.0</v>
      </c>
      <c r="L27" s="40">
        <v>26.0</v>
      </c>
      <c r="M27" s="40">
        <v>28.0</v>
      </c>
      <c r="N27" s="40">
        <v>31.0</v>
      </c>
      <c r="O27" s="40">
        <v>33.0</v>
      </c>
      <c r="P27" s="40">
        <v>35.0</v>
      </c>
      <c r="Q27" s="40">
        <v>37.0</v>
      </c>
      <c r="R27" s="40">
        <v>39.0</v>
      </c>
      <c r="S27" s="40">
        <v>41.0</v>
      </c>
      <c r="T27" s="40">
        <v>43.0</v>
      </c>
      <c r="U27" s="40">
        <v>45.0</v>
      </c>
      <c r="V27" s="40">
        <v>47.0</v>
      </c>
      <c r="W27" s="40">
        <v>49.0</v>
      </c>
      <c r="X27" s="40">
        <v>50.0</v>
      </c>
    </row>
    <row r="28">
      <c r="A28" s="42" t="s">
        <v>17</v>
      </c>
      <c r="B28" s="42">
        <v>2.0</v>
      </c>
      <c r="C28" s="10" t="s">
        <v>31</v>
      </c>
      <c r="D28" s="9" t="s">
        <v>57</v>
      </c>
      <c r="E28" s="40">
        <v>0.0</v>
      </c>
      <c r="F28" s="40">
        <v>31.0</v>
      </c>
      <c r="G28" s="40">
        <v>32.0</v>
      </c>
      <c r="H28" s="40">
        <v>34.0</v>
      </c>
      <c r="I28" s="40">
        <v>35.0</v>
      </c>
      <c r="J28" s="40">
        <v>36.0</v>
      </c>
      <c r="K28" s="40">
        <v>38.0</v>
      </c>
      <c r="L28" s="40">
        <v>39.0</v>
      </c>
      <c r="M28" s="40">
        <v>40.0</v>
      </c>
      <c r="N28" s="40">
        <v>42.0</v>
      </c>
      <c r="O28" s="40">
        <v>43.0</v>
      </c>
      <c r="P28" s="40">
        <v>44.0</v>
      </c>
      <c r="Q28" s="40">
        <v>46.0</v>
      </c>
      <c r="R28" s="40">
        <v>47.0</v>
      </c>
      <c r="S28" s="40">
        <v>48.0</v>
      </c>
      <c r="T28" s="40">
        <v>50.0</v>
      </c>
      <c r="U28" s="40">
        <v>51.0</v>
      </c>
      <c r="V28" s="40">
        <v>53.0</v>
      </c>
      <c r="W28" s="40">
        <v>54.0</v>
      </c>
      <c r="X28" s="40">
        <v>55.0</v>
      </c>
    </row>
    <row r="29">
      <c r="A29" s="42" t="s">
        <v>17</v>
      </c>
      <c r="B29" s="42">
        <v>2.0</v>
      </c>
      <c r="C29" s="10" t="s">
        <v>31</v>
      </c>
      <c r="D29" s="9" t="s">
        <v>21</v>
      </c>
      <c r="E29" s="40">
        <v>0.0</v>
      </c>
      <c r="F29" s="40">
        <v>46054.0</v>
      </c>
      <c r="G29" s="40" t="s">
        <v>177</v>
      </c>
      <c r="H29" s="40" t="s">
        <v>178</v>
      </c>
      <c r="I29" s="40" t="s">
        <v>179</v>
      </c>
      <c r="J29" s="40" t="s">
        <v>145</v>
      </c>
      <c r="K29" s="40">
        <v>46113.0</v>
      </c>
      <c r="L29" s="40" t="s">
        <v>180</v>
      </c>
      <c r="M29" s="40" t="s">
        <v>149</v>
      </c>
      <c r="N29" s="40" t="s">
        <v>181</v>
      </c>
      <c r="O29" s="40" t="s">
        <v>182</v>
      </c>
      <c r="P29" s="40">
        <v>46174.0</v>
      </c>
      <c r="Q29" s="40" t="s">
        <v>183</v>
      </c>
      <c r="R29" s="40" t="s">
        <v>184</v>
      </c>
      <c r="S29" s="40" t="s">
        <v>156</v>
      </c>
      <c r="T29" s="40" t="s">
        <v>185</v>
      </c>
      <c r="U29" s="40">
        <v>46235.0</v>
      </c>
      <c r="V29" s="40" t="s">
        <v>160</v>
      </c>
      <c r="W29" s="40" t="s">
        <v>186</v>
      </c>
      <c r="X29" s="40" t="s">
        <v>187</v>
      </c>
    </row>
    <row r="30">
      <c r="A30" s="42" t="s">
        <v>17</v>
      </c>
      <c r="B30" s="42">
        <v>2.0</v>
      </c>
      <c r="C30" s="10" t="s">
        <v>31</v>
      </c>
      <c r="D30" s="8" t="s">
        <v>161</v>
      </c>
      <c r="E30" s="40">
        <v>0.0</v>
      </c>
      <c r="F30" s="40">
        <v>8.0</v>
      </c>
      <c r="G30" s="40">
        <v>9.0</v>
      </c>
      <c r="H30" s="40">
        <v>10.0</v>
      </c>
      <c r="I30" s="40">
        <v>11.0</v>
      </c>
      <c r="J30" s="40">
        <v>12.0</v>
      </c>
      <c r="K30" s="40">
        <v>13.0</v>
      </c>
      <c r="L30" s="40">
        <v>14.0</v>
      </c>
      <c r="M30" s="40">
        <v>15.0</v>
      </c>
      <c r="N30" s="40">
        <v>16.0</v>
      </c>
      <c r="O30" s="40">
        <v>17.0</v>
      </c>
      <c r="P30" s="40">
        <v>18.0</v>
      </c>
      <c r="Q30" s="40">
        <v>19.0</v>
      </c>
      <c r="R30" s="40">
        <v>20.0</v>
      </c>
      <c r="S30" s="40">
        <v>21.0</v>
      </c>
      <c r="T30" s="40">
        <v>22.0</v>
      </c>
      <c r="U30" s="40">
        <v>23.0</v>
      </c>
      <c r="V30" s="40">
        <v>24.0</v>
      </c>
      <c r="W30" s="40">
        <v>25.0</v>
      </c>
      <c r="X30" s="40">
        <v>26.0</v>
      </c>
    </row>
    <row r="31">
      <c r="A31" s="42" t="s">
        <v>17</v>
      </c>
      <c r="B31" s="42">
        <v>2.0</v>
      </c>
      <c r="C31" s="10" t="s">
        <v>31</v>
      </c>
      <c r="D31" s="9" t="s">
        <v>188</v>
      </c>
      <c r="E31" s="40">
        <v>0.0</v>
      </c>
      <c r="F31" s="40">
        <v>46145.0</v>
      </c>
      <c r="G31" s="40">
        <v>46359.0</v>
      </c>
      <c r="H31" s="40" t="s">
        <v>189</v>
      </c>
      <c r="I31" s="40" t="s">
        <v>190</v>
      </c>
      <c r="J31" s="40" t="s">
        <v>191</v>
      </c>
      <c r="K31" s="40" t="s">
        <v>192</v>
      </c>
      <c r="L31" s="40" t="s">
        <v>193</v>
      </c>
      <c r="M31" s="40">
        <v>46268.0</v>
      </c>
      <c r="N31" s="40">
        <v>46057.0</v>
      </c>
      <c r="O31" s="40" t="s">
        <v>194</v>
      </c>
      <c r="P31" s="40" t="s">
        <v>195</v>
      </c>
      <c r="Q31" s="40">
        <v>46116.0</v>
      </c>
      <c r="R31" s="40" t="s">
        <v>196</v>
      </c>
      <c r="S31" s="40" t="s">
        <v>197</v>
      </c>
      <c r="T31" s="40" t="s">
        <v>198</v>
      </c>
      <c r="U31" s="40" t="s">
        <v>199</v>
      </c>
      <c r="V31" s="40">
        <v>46117.0</v>
      </c>
      <c r="W31" s="40" t="s">
        <v>200</v>
      </c>
      <c r="X31" s="40">
        <v>46086.0</v>
      </c>
    </row>
    <row r="32">
      <c r="A32" s="42" t="s">
        <v>17</v>
      </c>
      <c r="B32" s="42">
        <v>2.0</v>
      </c>
      <c r="C32" s="10" t="s">
        <v>31</v>
      </c>
      <c r="D32" s="9" t="s">
        <v>71</v>
      </c>
      <c r="E32" s="40">
        <v>0.0</v>
      </c>
      <c r="F32" s="40">
        <v>46153.0</v>
      </c>
      <c r="G32" s="40">
        <v>46092.0</v>
      </c>
      <c r="H32" s="40">
        <v>46033.0</v>
      </c>
      <c r="I32" s="40">
        <v>46244.0</v>
      </c>
      <c r="J32" s="40">
        <v>46183.0</v>
      </c>
      <c r="K32" s="40">
        <v>46091.0</v>
      </c>
      <c r="L32" s="40">
        <v>46032.0</v>
      </c>
      <c r="M32" s="40">
        <v>46274.0</v>
      </c>
      <c r="N32" s="40">
        <v>46182.0</v>
      </c>
      <c r="O32" s="40">
        <v>46121.0</v>
      </c>
      <c r="P32" s="40">
        <v>46062.0</v>
      </c>
      <c r="Q32" s="40">
        <v>46273.0</v>
      </c>
      <c r="R32" s="40">
        <v>46211.0</v>
      </c>
      <c r="S32" s="40">
        <v>46150.0</v>
      </c>
      <c r="T32" s="40">
        <v>46061.0</v>
      </c>
      <c r="U32" s="40">
        <v>8.0</v>
      </c>
      <c r="V32" s="40">
        <v>46241.0</v>
      </c>
      <c r="W32" s="40">
        <v>46149.0</v>
      </c>
      <c r="X32" s="40">
        <v>46088.0</v>
      </c>
    </row>
    <row r="33">
      <c r="A33" s="4" t="s">
        <v>1</v>
      </c>
      <c r="B33" s="4" t="s">
        <v>2</v>
      </c>
      <c r="C33" s="4" t="s">
        <v>4</v>
      </c>
      <c r="D33" s="37" t="s">
        <v>201</v>
      </c>
      <c r="E33" s="38"/>
      <c r="F33" s="38"/>
      <c r="G33" s="39"/>
      <c r="H33" s="38"/>
      <c r="I33" s="39"/>
      <c r="J33" s="38"/>
      <c r="K33" s="39"/>
      <c r="L33" s="38"/>
      <c r="M33" s="39"/>
      <c r="N33" s="38"/>
      <c r="O33" s="39"/>
      <c r="P33" s="38"/>
      <c r="Q33" s="39"/>
      <c r="R33" s="38"/>
      <c r="S33" s="39"/>
      <c r="T33" s="38"/>
      <c r="U33" s="39"/>
      <c r="V33" s="38"/>
      <c r="W33" s="39"/>
      <c r="X33" s="38"/>
    </row>
    <row r="34">
      <c r="A34" s="42" t="s">
        <v>17</v>
      </c>
      <c r="B34" s="42">
        <v>3.0</v>
      </c>
      <c r="C34" s="10" t="s">
        <v>19</v>
      </c>
      <c r="D34" s="9" t="s">
        <v>63</v>
      </c>
      <c r="E34" s="40">
        <v>0.0</v>
      </c>
      <c r="F34" s="40">
        <v>1577.0</v>
      </c>
      <c r="G34" s="40">
        <v>1600.0</v>
      </c>
      <c r="H34" s="40">
        <v>1624.0</v>
      </c>
      <c r="I34" s="40">
        <v>1647.0</v>
      </c>
      <c r="J34" s="40">
        <v>1671.0</v>
      </c>
      <c r="K34" s="40">
        <v>1694.0</v>
      </c>
      <c r="L34" s="40">
        <v>1718.0</v>
      </c>
      <c r="M34" s="40">
        <v>1741.0</v>
      </c>
      <c r="N34" s="40">
        <v>1765.0</v>
      </c>
      <c r="O34" s="40">
        <v>1788.0</v>
      </c>
      <c r="P34" s="40">
        <v>1812.0</v>
      </c>
      <c r="Q34" s="40">
        <v>1835.0</v>
      </c>
      <c r="R34" s="40">
        <v>1859.0</v>
      </c>
      <c r="S34" s="40">
        <v>1882.0</v>
      </c>
      <c r="T34" s="40">
        <v>1906.0</v>
      </c>
      <c r="U34" s="40">
        <v>1929.0</v>
      </c>
      <c r="V34" s="40">
        <v>1953.0</v>
      </c>
      <c r="W34" s="40">
        <v>1976.0</v>
      </c>
      <c r="X34" s="40">
        <v>2000.0</v>
      </c>
    </row>
    <row r="35">
      <c r="A35" s="42" t="s">
        <v>17</v>
      </c>
      <c r="B35" s="42">
        <v>3.0</v>
      </c>
      <c r="C35" s="10" t="s">
        <v>19</v>
      </c>
      <c r="D35" s="9" t="s">
        <v>50</v>
      </c>
      <c r="E35" s="40">
        <v>0.0</v>
      </c>
      <c r="F35" s="40">
        <v>18.0</v>
      </c>
      <c r="G35" s="40">
        <v>21.0</v>
      </c>
      <c r="H35" s="40">
        <v>22.0</v>
      </c>
      <c r="I35" s="40">
        <v>23.0</v>
      </c>
      <c r="J35" s="40">
        <v>24.0</v>
      </c>
      <c r="K35" s="40">
        <v>25.0</v>
      </c>
      <c r="L35" s="40">
        <v>26.0</v>
      </c>
      <c r="M35" s="40">
        <v>27.0</v>
      </c>
      <c r="N35" s="40">
        <v>28.0</v>
      </c>
      <c r="O35" s="40">
        <v>29.0</v>
      </c>
      <c r="P35" s="40">
        <v>30.0</v>
      </c>
      <c r="Q35" s="40">
        <v>31.0</v>
      </c>
      <c r="R35" s="40">
        <v>32.0</v>
      </c>
      <c r="S35" s="40">
        <v>33.0</v>
      </c>
      <c r="T35" s="40">
        <v>34.0</v>
      </c>
      <c r="U35" s="40">
        <v>36.0</v>
      </c>
      <c r="V35" s="40">
        <v>37.0</v>
      </c>
      <c r="W35" s="40">
        <v>39.0</v>
      </c>
      <c r="X35" s="40">
        <v>43.0</v>
      </c>
    </row>
    <row r="36">
      <c r="A36" s="42" t="s">
        <v>17</v>
      </c>
      <c r="B36" s="42">
        <v>3.0</v>
      </c>
      <c r="C36" s="10" t="s">
        <v>19</v>
      </c>
      <c r="D36" s="9" t="s">
        <v>57</v>
      </c>
      <c r="E36" s="40">
        <v>0.0</v>
      </c>
      <c r="F36" s="40">
        <v>17.0</v>
      </c>
      <c r="G36" s="40">
        <v>19.0</v>
      </c>
      <c r="H36" s="40">
        <v>21.0</v>
      </c>
      <c r="I36" s="40">
        <v>23.0</v>
      </c>
      <c r="J36" s="40">
        <v>25.0</v>
      </c>
      <c r="K36" s="40">
        <v>27.0</v>
      </c>
      <c r="L36" s="40">
        <v>29.0</v>
      </c>
      <c r="M36" s="40">
        <v>31.0</v>
      </c>
      <c r="N36" s="40">
        <v>33.0</v>
      </c>
      <c r="O36" s="40">
        <v>35.0</v>
      </c>
      <c r="P36" s="40">
        <v>37.0</v>
      </c>
      <c r="Q36" s="40">
        <v>39.0</v>
      </c>
      <c r="R36" s="40">
        <v>41.0</v>
      </c>
      <c r="S36" s="40">
        <v>43.0</v>
      </c>
      <c r="T36" s="40">
        <v>45.0</v>
      </c>
      <c r="U36" s="40">
        <v>47.0</v>
      </c>
      <c r="V36" s="40">
        <v>49.0</v>
      </c>
      <c r="W36" s="40">
        <v>51.0</v>
      </c>
      <c r="X36" s="40">
        <v>53.0</v>
      </c>
    </row>
    <row r="37">
      <c r="A37" s="42" t="s">
        <v>17</v>
      </c>
      <c r="B37" s="42">
        <v>3.0</v>
      </c>
      <c r="C37" s="10" t="s">
        <v>19</v>
      </c>
      <c r="D37" s="9" t="s">
        <v>21</v>
      </c>
      <c r="E37" s="40">
        <v>0.0</v>
      </c>
      <c r="F37" s="40" t="s">
        <v>156</v>
      </c>
      <c r="G37" s="40" t="s">
        <v>157</v>
      </c>
      <c r="H37" s="40" t="s">
        <v>158</v>
      </c>
      <c r="I37" s="40" t="s">
        <v>159</v>
      </c>
      <c r="J37" s="40" t="s">
        <v>160</v>
      </c>
      <c r="K37" s="40" t="s">
        <v>202</v>
      </c>
      <c r="L37" s="40">
        <v>46266.0</v>
      </c>
      <c r="M37" s="40" t="s">
        <v>203</v>
      </c>
      <c r="N37" s="40" t="s">
        <v>204</v>
      </c>
      <c r="O37" s="40" t="s">
        <v>205</v>
      </c>
      <c r="P37" s="40">
        <v>2.0</v>
      </c>
      <c r="Q37" s="40">
        <v>46083.0</v>
      </c>
      <c r="R37" s="40">
        <v>46205.0</v>
      </c>
      <c r="S37" s="40">
        <v>46328.0</v>
      </c>
      <c r="T37" s="40" t="s">
        <v>206</v>
      </c>
      <c r="U37" s="40" t="s">
        <v>207</v>
      </c>
      <c r="V37" s="40" t="s">
        <v>208</v>
      </c>
      <c r="W37" s="40" t="s">
        <v>209</v>
      </c>
      <c r="X37" s="40">
        <v>46114.0</v>
      </c>
    </row>
    <row r="38">
      <c r="A38" s="42" t="s">
        <v>17</v>
      </c>
      <c r="B38" s="42">
        <v>3.0</v>
      </c>
      <c r="C38" s="10" t="s">
        <v>19</v>
      </c>
      <c r="D38" s="8" t="s">
        <v>161</v>
      </c>
      <c r="E38" s="40">
        <v>0.0</v>
      </c>
      <c r="F38" s="40">
        <v>16.0</v>
      </c>
      <c r="G38" s="40">
        <v>17.0</v>
      </c>
      <c r="H38" s="40">
        <v>18.0</v>
      </c>
      <c r="I38" s="40">
        <v>19.0</v>
      </c>
      <c r="J38" s="40">
        <v>20.0</v>
      </c>
      <c r="K38" s="40">
        <v>21.0</v>
      </c>
      <c r="L38" s="40">
        <v>22.0</v>
      </c>
      <c r="M38" s="40">
        <v>23.0</v>
      </c>
      <c r="N38" s="40">
        <v>24.0</v>
      </c>
      <c r="O38" s="40">
        <v>25.0</v>
      </c>
      <c r="P38" s="40">
        <v>26.0</v>
      </c>
      <c r="Q38" s="40">
        <v>27.0</v>
      </c>
      <c r="R38" s="40">
        <v>28.0</v>
      </c>
      <c r="S38" s="40">
        <v>29.0</v>
      </c>
      <c r="T38" s="40">
        <v>30.0</v>
      </c>
      <c r="U38" s="40">
        <v>31.0</v>
      </c>
      <c r="V38" s="40">
        <v>32.0</v>
      </c>
      <c r="W38" s="40">
        <v>33.0</v>
      </c>
      <c r="X38" s="40">
        <v>34.0</v>
      </c>
    </row>
    <row r="39">
      <c r="A39" s="42" t="s">
        <v>17</v>
      </c>
      <c r="B39" s="42">
        <v>3.0</v>
      </c>
      <c r="C39" s="10" t="s">
        <v>19</v>
      </c>
      <c r="D39" s="9" t="s">
        <v>33</v>
      </c>
      <c r="E39" s="40">
        <v>0.0</v>
      </c>
      <c r="F39" s="40">
        <v>46115.0</v>
      </c>
      <c r="G39" s="40" t="s">
        <v>210</v>
      </c>
      <c r="H39" s="40">
        <v>46268.0</v>
      </c>
      <c r="I39" s="40" t="s">
        <v>194</v>
      </c>
      <c r="J39" s="40">
        <v>46116.0</v>
      </c>
      <c r="K39" s="40" t="s">
        <v>197</v>
      </c>
      <c r="L39" s="40">
        <v>46269.0</v>
      </c>
      <c r="M39" s="40" t="s">
        <v>211</v>
      </c>
      <c r="N39" s="40">
        <v>46117.0</v>
      </c>
      <c r="O39" s="40" t="s">
        <v>134</v>
      </c>
      <c r="P39" s="40">
        <v>46270.0</v>
      </c>
      <c r="Q39" s="40" t="s">
        <v>212</v>
      </c>
      <c r="R39" s="40">
        <v>46118.0</v>
      </c>
      <c r="S39" s="40" t="s">
        <v>213</v>
      </c>
      <c r="T39" s="40">
        <v>46271.0</v>
      </c>
      <c r="U39" s="40" t="s">
        <v>214</v>
      </c>
      <c r="V39" s="40">
        <v>46119.0</v>
      </c>
      <c r="W39" s="40">
        <v>46210.0</v>
      </c>
      <c r="X39" s="40">
        <v>8.0</v>
      </c>
    </row>
    <row r="40">
      <c r="A40" s="42" t="s">
        <v>17</v>
      </c>
      <c r="B40" s="42">
        <v>3.0</v>
      </c>
      <c r="C40" s="10" t="s">
        <v>19</v>
      </c>
      <c r="D40" s="9" t="s">
        <v>71</v>
      </c>
      <c r="E40" s="40">
        <v>0.0</v>
      </c>
      <c r="F40" s="40">
        <v>46213.0</v>
      </c>
      <c r="G40" s="40">
        <v>46122.0</v>
      </c>
      <c r="H40" s="40">
        <v>46032.0</v>
      </c>
      <c r="I40" s="40">
        <v>46243.0</v>
      </c>
      <c r="J40" s="40">
        <v>46151.0</v>
      </c>
      <c r="K40" s="40">
        <v>46062.0</v>
      </c>
      <c r="L40" s="40">
        <v>46273.0</v>
      </c>
      <c r="M40" s="40">
        <v>46181.0</v>
      </c>
      <c r="N40" s="40">
        <v>46089.0</v>
      </c>
      <c r="O40" s="40">
        <v>46030.0</v>
      </c>
      <c r="P40" s="40">
        <v>46272.0</v>
      </c>
      <c r="Q40" s="40">
        <v>46210.0</v>
      </c>
      <c r="R40" s="40">
        <v>46149.0</v>
      </c>
      <c r="S40" s="40">
        <v>46088.0</v>
      </c>
      <c r="T40" s="40">
        <v>46029.0</v>
      </c>
      <c r="U40" s="40">
        <v>7.0</v>
      </c>
      <c r="V40" s="40">
        <v>46240.0</v>
      </c>
      <c r="W40" s="40">
        <v>46179.0</v>
      </c>
      <c r="X40" s="40">
        <v>46118.0</v>
      </c>
    </row>
    <row r="41">
      <c r="A41" s="44" t="s">
        <v>1</v>
      </c>
      <c r="B41" s="44" t="s">
        <v>2</v>
      </c>
      <c r="C41" s="44" t="s">
        <v>4</v>
      </c>
      <c r="D41" s="45" t="s">
        <v>123</v>
      </c>
      <c r="E41" s="46" t="s">
        <v>124</v>
      </c>
      <c r="F41" s="46">
        <v>1.0</v>
      </c>
      <c r="G41" s="47">
        <v>46143.0</v>
      </c>
      <c r="H41" s="46">
        <v>2.0</v>
      </c>
      <c r="I41" s="47">
        <v>46144.0</v>
      </c>
      <c r="J41" s="46">
        <v>3.0</v>
      </c>
      <c r="K41" s="47">
        <v>46145.0</v>
      </c>
      <c r="L41" s="46">
        <v>4.0</v>
      </c>
      <c r="M41" s="47">
        <v>46146.0</v>
      </c>
      <c r="N41" s="46">
        <v>5.0</v>
      </c>
      <c r="O41" s="47">
        <v>46147.0</v>
      </c>
      <c r="P41" s="46">
        <v>6.0</v>
      </c>
      <c r="Q41" s="47">
        <v>46148.0</v>
      </c>
      <c r="R41" s="46">
        <v>7.0</v>
      </c>
      <c r="S41" s="47">
        <v>46149.0</v>
      </c>
      <c r="T41" s="46">
        <v>8.0</v>
      </c>
      <c r="U41" s="47">
        <v>46150.0</v>
      </c>
      <c r="V41" s="46">
        <v>9.0</v>
      </c>
      <c r="W41" s="47">
        <v>46151.0</v>
      </c>
      <c r="X41" s="46">
        <v>10.0</v>
      </c>
    </row>
    <row r="42">
      <c r="A42" s="42" t="s">
        <v>17</v>
      </c>
      <c r="B42" s="42">
        <v>3.0</v>
      </c>
      <c r="C42" s="10" t="s">
        <v>31</v>
      </c>
      <c r="D42" s="9" t="s">
        <v>63</v>
      </c>
      <c r="E42" s="40">
        <v>0.0</v>
      </c>
      <c r="F42" s="40">
        <v>1347.0</v>
      </c>
      <c r="G42" s="40">
        <v>1371.0</v>
      </c>
      <c r="H42" s="40">
        <v>1395.0</v>
      </c>
      <c r="I42" s="40">
        <v>1418.0</v>
      </c>
      <c r="J42" s="40">
        <v>1442.0</v>
      </c>
      <c r="K42" s="40">
        <v>1466.0</v>
      </c>
      <c r="L42" s="40">
        <v>1490.0</v>
      </c>
      <c r="M42" s="40">
        <v>1513.0</v>
      </c>
      <c r="N42" s="40">
        <v>1537.0</v>
      </c>
      <c r="O42" s="40">
        <v>1561.0</v>
      </c>
      <c r="P42" s="40">
        <v>1585.0</v>
      </c>
      <c r="Q42" s="40">
        <v>1608.0</v>
      </c>
      <c r="R42" s="40">
        <v>1632.0</v>
      </c>
      <c r="S42" s="40">
        <v>1656.0</v>
      </c>
      <c r="T42" s="40">
        <v>1680.0</v>
      </c>
      <c r="U42" s="40">
        <v>1703.0</v>
      </c>
      <c r="V42" s="40">
        <v>1727.0</v>
      </c>
      <c r="W42" s="40">
        <v>1751.0</v>
      </c>
      <c r="X42" s="40">
        <v>1775.0</v>
      </c>
    </row>
    <row r="43">
      <c r="A43" s="42" t="s">
        <v>17</v>
      </c>
      <c r="B43" s="42">
        <v>3.0</v>
      </c>
      <c r="C43" s="10" t="s">
        <v>31</v>
      </c>
      <c r="D43" s="9" t="s">
        <v>50</v>
      </c>
      <c r="E43" s="40">
        <v>0.0</v>
      </c>
      <c r="F43" s="40">
        <v>23.0</v>
      </c>
      <c r="G43" s="40">
        <v>24.0</v>
      </c>
      <c r="H43" s="40">
        <v>26.0</v>
      </c>
      <c r="I43" s="40">
        <v>28.0</v>
      </c>
      <c r="J43" s="40">
        <v>29.0</v>
      </c>
      <c r="K43" s="40">
        <v>30.0</v>
      </c>
      <c r="L43" s="40">
        <v>31.0</v>
      </c>
      <c r="M43" s="40">
        <v>32.0</v>
      </c>
      <c r="N43" s="40">
        <v>33.0</v>
      </c>
      <c r="O43" s="40">
        <v>34.0</v>
      </c>
      <c r="P43" s="40">
        <v>35.0</v>
      </c>
      <c r="Q43" s="40">
        <v>36.0</v>
      </c>
      <c r="R43" s="40">
        <v>37.0</v>
      </c>
      <c r="S43" s="40">
        <v>38.0</v>
      </c>
      <c r="T43" s="40">
        <v>39.0</v>
      </c>
      <c r="U43" s="40">
        <v>40.0</v>
      </c>
      <c r="V43" s="40">
        <v>42.0</v>
      </c>
      <c r="W43" s="40">
        <v>44.0</v>
      </c>
      <c r="X43" s="40">
        <v>49.0</v>
      </c>
    </row>
    <row r="44">
      <c r="A44" s="42" t="s">
        <v>17</v>
      </c>
      <c r="B44" s="42">
        <v>3.0</v>
      </c>
      <c r="C44" s="10" t="s">
        <v>31</v>
      </c>
      <c r="D44" s="9" t="s">
        <v>57</v>
      </c>
      <c r="E44" s="40">
        <v>0.0</v>
      </c>
      <c r="F44" s="40">
        <v>17.0</v>
      </c>
      <c r="G44" s="40">
        <v>18.0</v>
      </c>
      <c r="H44" s="40">
        <v>20.0</v>
      </c>
      <c r="I44" s="40">
        <v>21.0</v>
      </c>
      <c r="J44" s="40">
        <v>24.0</v>
      </c>
      <c r="K44" s="40">
        <v>26.0</v>
      </c>
      <c r="L44" s="40">
        <v>27.0</v>
      </c>
      <c r="M44" s="40">
        <v>29.0</v>
      </c>
      <c r="N44" s="40">
        <v>31.0</v>
      </c>
      <c r="O44" s="40">
        <v>32.0</v>
      </c>
      <c r="P44" s="40">
        <v>34.0</v>
      </c>
      <c r="Q44" s="40">
        <v>36.0</v>
      </c>
      <c r="R44" s="40">
        <v>37.0</v>
      </c>
      <c r="S44" s="40">
        <v>40.0</v>
      </c>
      <c r="T44" s="40">
        <v>43.0</v>
      </c>
      <c r="U44" s="40">
        <v>44.0</v>
      </c>
      <c r="V44" s="40">
        <v>49.0</v>
      </c>
      <c r="W44" s="40">
        <v>50.0</v>
      </c>
      <c r="X44" s="40">
        <v>52.0</v>
      </c>
    </row>
    <row r="45">
      <c r="A45" s="42" t="s">
        <v>17</v>
      </c>
      <c r="B45" s="42">
        <v>3.0</v>
      </c>
      <c r="C45" s="10" t="s">
        <v>31</v>
      </c>
      <c r="D45" s="9" t="s">
        <v>21</v>
      </c>
      <c r="E45" s="40">
        <v>0.0</v>
      </c>
      <c r="F45" s="40" t="s">
        <v>215</v>
      </c>
      <c r="G45" s="40" t="s">
        <v>216</v>
      </c>
      <c r="H45" s="40" t="s">
        <v>179</v>
      </c>
      <c r="I45" s="40" t="s">
        <v>217</v>
      </c>
      <c r="J45" s="40" t="s">
        <v>218</v>
      </c>
      <c r="K45" s="40" t="s">
        <v>219</v>
      </c>
      <c r="L45" s="40" t="s">
        <v>180</v>
      </c>
      <c r="M45" s="40" t="s">
        <v>220</v>
      </c>
      <c r="N45" s="40">
        <v>46143.0</v>
      </c>
      <c r="O45" s="40" t="s">
        <v>221</v>
      </c>
      <c r="P45" s="40" t="s">
        <v>182</v>
      </c>
      <c r="Q45" s="40">
        <v>46174.0</v>
      </c>
      <c r="R45" s="40" t="s">
        <v>222</v>
      </c>
      <c r="S45" s="40">
        <v>46204.0</v>
      </c>
      <c r="T45" s="40" t="s">
        <v>157</v>
      </c>
      <c r="U45" s="40" t="s">
        <v>159</v>
      </c>
      <c r="V45" s="40" t="s">
        <v>202</v>
      </c>
      <c r="W45" s="40" t="s">
        <v>203</v>
      </c>
      <c r="X45" s="40">
        <v>2.0</v>
      </c>
    </row>
    <row r="46">
      <c r="A46" s="42" t="s">
        <v>17</v>
      </c>
      <c r="B46" s="42">
        <v>3.0</v>
      </c>
      <c r="C46" s="10" t="s">
        <v>31</v>
      </c>
      <c r="D46" s="8" t="s">
        <v>161</v>
      </c>
      <c r="E46" s="40">
        <v>0.0</v>
      </c>
      <c r="F46" s="40">
        <v>12.0</v>
      </c>
      <c r="G46" s="40">
        <v>13.0</v>
      </c>
      <c r="H46" s="40">
        <v>14.0</v>
      </c>
      <c r="I46" s="40">
        <v>15.0</v>
      </c>
      <c r="J46" s="40">
        <v>16.0</v>
      </c>
      <c r="K46" s="40">
        <v>17.0</v>
      </c>
      <c r="L46" s="40">
        <v>18.0</v>
      </c>
      <c r="M46" s="40">
        <v>19.0</v>
      </c>
      <c r="N46" s="40">
        <v>20.0</v>
      </c>
      <c r="O46" s="40">
        <v>21.0</v>
      </c>
      <c r="P46" s="40">
        <v>22.0</v>
      </c>
      <c r="Q46" s="40">
        <v>23.0</v>
      </c>
      <c r="R46" s="40">
        <v>24.0</v>
      </c>
      <c r="S46" s="40">
        <v>25.0</v>
      </c>
      <c r="T46" s="40">
        <v>26.0</v>
      </c>
      <c r="U46" s="40">
        <v>27.0</v>
      </c>
      <c r="V46" s="40">
        <v>25.0</v>
      </c>
      <c r="W46" s="40">
        <v>26.0</v>
      </c>
      <c r="X46" s="40">
        <v>32.0</v>
      </c>
    </row>
    <row r="47">
      <c r="A47" s="42" t="s">
        <v>17</v>
      </c>
      <c r="B47" s="42">
        <v>3.0</v>
      </c>
      <c r="C47" s="10" t="s">
        <v>31</v>
      </c>
      <c r="D47" s="9" t="s">
        <v>33</v>
      </c>
      <c r="E47" s="40">
        <v>0.0</v>
      </c>
      <c r="F47" s="40" t="s">
        <v>223</v>
      </c>
      <c r="G47" s="40" t="s">
        <v>224</v>
      </c>
      <c r="H47" s="40" t="s">
        <v>225</v>
      </c>
      <c r="I47" s="40">
        <v>46145.0</v>
      </c>
      <c r="J47" s="40" t="s">
        <v>162</v>
      </c>
      <c r="K47" s="40" t="s">
        <v>226</v>
      </c>
      <c r="L47" s="40" t="s">
        <v>227</v>
      </c>
      <c r="M47" s="40">
        <v>46237.0</v>
      </c>
      <c r="N47" s="40" t="s">
        <v>228</v>
      </c>
      <c r="O47" s="40" t="s">
        <v>229</v>
      </c>
      <c r="P47" s="40" t="s">
        <v>230</v>
      </c>
      <c r="Q47" s="40" t="s">
        <v>231</v>
      </c>
      <c r="R47" s="40" t="s">
        <v>232</v>
      </c>
      <c r="S47" s="40" t="s">
        <v>233</v>
      </c>
      <c r="T47" s="40" t="s">
        <v>234</v>
      </c>
      <c r="U47" s="40">
        <v>46271.0</v>
      </c>
      <c r="V47" s="40">
        <v>46118.0</v>
      </c>
      <c r="W47" s="40">
        <v>46209.0</v>
      </c>
      <c r="X47" s="40">
        <v>7.0</v>
      </c>
    </row>
    <row r="48">
      <c r="A48" s="42" t="s">
        <v>17</v>
      </c>
      <c r="B48" s="42">
        <v>3.0</v>
      </c>
      <c r="C48" s="10" t="s">
        <v>31</v>
      </c>
      <c r="D48" s="9" t="s">
        <v>71</v>
      </c>
      <c r="E48" s="40">
        <v>0.0</v>
      </c>
      <c r="F48" s="40">
        <v>46276.0</v>
      </c>
      <c r="G48" s="40">
        <v>46153.0</v>
      </c>
      <c r="H48" s="40">
        <v>46064.0</v>
      </c>
      <c r="I48" s="40">
        <v>46244.0</v>
      </c>
      <c r="J48" s="40">
        <v>46152.0</v>
      </c>
      <c r="K48" s="40">
        <v>46032.0</v>
      </c>
      <c r="L48" s="40">
        <v>46243.0</v>
      </c>
      <c r="M48" s="40">
        <v>46121.0</v>
      </c>
      <c r="N48" s="40">
        <v>46031.0</v>
      </c>
      <c r="O48" s="40">
        <v>46273.0</v>
      </c>
      <c r="P48" s="40">
        <v>46211.0</v>
      </c>
      <c r="Q48" s="40">
        <v>46150.0</v>
      </c>
      <c r="R48" s="40">
        <v>46089.0</v>
      </c>
      <c r="S48" s="40">
        <v>8.0</v>
      </c>
      <c r="T48" s="40">
        <v>46241.0</v>
      </c>
      <c r="U48" s="40">
        <v>46180.0</v>
      </c>
      <c r="V48" s="40">
        <v>46119.0</v>
      </c>
      <c r="W48" s="40">
        <v>46060.0</v>
      </c>
      <c r="X48" s="40">
        <v>7.0</v>
      </c>
    </row>
    <row r="49">
      <c r="A49" s="17"/>
      <c r="B49" s="17"/>
      <c r="C49" s="17"/>
      <c r="D49" s="48"/>
      <c r="E49" s="48"/>
      <c r="F49" s="16"/>
      <c r="G49" s="16"/>
      <c r="H49" s="16"/>
      <c r="I49" s="16"/>
      <c r="J49" s="16"/>
      <c r="K49" s="16"/>
      <c r="L49" s="16"/>
      <c r="M49" s="16"/>
      <c r="N49" s="16"/>
      <c r="O49" s="16"/>
      <c r="P49" s="16"/>
      <c r="Q49" s="16"/>
      <c r="R49" s="16"/>
      <c r="S49" s="16"/>
      <c r="T49" s="16"/>
      <c r="U49" s="16"/>
      <c r="V49" s="16"/>
      <c r="W49" s="16"/>
      <c r="X49" s="16"/>
    </row>
    <row r="50">
      <c r="A50" s="17"/>
      <c r="B50" s="17"/>
      <c r="C50" s="17"/>
      <c r="D50" s="48"/>
      <c r="E50" s="48"/>
      <c r="F50" s="16"/>
      <c r="G50" s="16"/>
      <c r="H50" s="16"/>
      <c r="I50" s="16"/>
      <c r="J50" s="16"/>
      <c r="K50" s="16"/>
      <c r="L50" s="16"/>
      <c r="M50" s="16"/>
      <c r="N50" s="16"/>
      <c r="O50" s="16"/>
      <c r="P50" s="16"/>
      <c r="Q50" s="16"/>
      <c r="R50" s="16"/>
      <c r="S50" s="16"/>
      <c r="T50" s="16"/>
      <c r="U50" s="16"/>
      <c r="V50" s="16"/>
      <c r="W50" s="16"/>
      <c r="X50" s="16"/>
    </row>
    <row r="51">
      <c r="A51" s="17"/>
      <c r="B51" s="17"/>
      <c r="C51" s="17"/>
      <c r="D51" s="48"/>
      <c r="E51" s="48"/>
      <c r="F51" s="16"/>
      <c r="G51" s="16"/>
      <c r="H51" s="16"/>
      <c r="I51" s="16"/>
      <c r="J51" s="16"/>
      <c r="K51" s="16"/>
      <c r="L51" s="16"/>
      <c r="M51" s="16"/>
      <c r="N51" s="16"/>
      <c r="O51" s="16"/>
      <c r="P51" s="16"/>
      <c r="Q51" s="16"/>
      <c r="R51" s="16"/>
      <c r="S51" s="16"/>
      <c r="T51" s="16"/>
      <c r="U51" s="16"/>
      <c r="V51" s="16"/>
      <c r="W51" s="16"/>
      <c r="X51" s="16"/>
    </row>
    <row r="52">
      <c r="A52" s="17"/>
      <c r="B52" s="17"/>
      <c r="C52" s="17"/>
      <c r="D52" s="48"/>
      <c r="E52" s="48"/>
      <c r="F52" s="16"/>
      <c r="G52" s="16"/>
      <c r="H52" s="16"/>
      <c r="I52" s="16"/>
      <c r="J52" s="16"/>
      <c r="K52" s="16"/>
      <c r="L52" s="16"/>
      <c r="M52" s="16"/>
      <c r="N52" s="16"/>
      <c r="O52" s="16"/>
      <c r="P52" s="16"/>
      <c r="Q52" s="16"/>
      <c r="R52" s="16"/>
      <c r="S52" s="16"/>
      <c r="T52" s="16"/>
      <c r="U52" s="16"/>
      <c r="V52" s="16"/>
      <c r="W52" s="16"/>
      <c r="X52" s="16"/>
    </row>
    <row r="53">
      <c r="A53" s="17"/>
      <c r="B53" s="17"/>
      <c r="C53" s="17"/>
      <c r="D53" s="48"/>
      <c r="E53" s="48"/>
      <c r="F53" s="16"/>
      <c r="G53" s="16"/>
      <c r="H53" s="16"/>
      <c r="I53" s="16"/>
      <c r="J53" s="16"/>
      <c r="K53" s="16"/>
      <c r="L53" s="16"/>
      <c r="M53" s="16"/>
      <c r="N53" s="16"/>
      <c r="O53" s="16"/>
      <c r="P53" s="16"/>
      <c r="Q53" s="16"/>
      <c r="R53" s="16"/>
      <c r="S53" s="16"/>
      <c r="T53" s="16"/>
      <c r="U53" s="16"/>
      <c r="V53" s="16"/>
      <c r="W53" s="16"/>
      <c r="X53" s="16"/>
    </row>
    <row r="54">
      <c r="A54" s="17"/>
      <c r="B54" s="17"/>
      <c r="C54" s="17"/>
      <c r="D54" s="48"/>
      <c r="E54" s="48"/>
      <c r="F54" s="16"/>
      <c r="G54" s="16"/>
      <c r="H54" s="16"/>
      <c r="I54" s="16"/>
      <c r="J54" s="16"/>
      <c r="K54" s="16"/>
      <c r="L54" s="16"/>
      <c r="M54" s="16"/>
      <c r="N54" s="16"/>
      <c r="O54" s="16"/>
      <c r="P54" s="16"/>
      <c r="Q54" s="16"/>
      <c r="R54" s="16"/>
      <c r="S54" s="16"/>
      <c r="T54" s="16"/>
      <c r="U54" s="16"/>
      <c r="V54" s="16"/>
      <c r="W54" s="16"/>
      <c r="X54" s="16"/>
    </row>
    <row r="55">
      <c r="A55" s="17"/>
      <c r="B55" s="17"/>
      <c r="C55" s="17"/>
      <c r="D55" s="48"/>
      <c r="E55" s="48"/>
      <c r="F55" s="16"/>
      <c r="G55" s="16"/>
      <c r="H55" s="16"/>
      <c r="I55" s="16"/>
      <c r="J55" s="16"/>
      <c r="K55" s="16"/>
      <c r="L55" s="16"/>
      <c r="M55" s="16"/>
      <c r="N55" s="16"/>
      <c r="O55" s="16"/>
      <c r="P55" s="16"/>
      <c r="Q55" s="16"/>
      <c r="R55" s="16"/>
      <c r="S55" s="16"/>
      <c r="T55" s="16"/>
      <c r="U55" s="16"/>
      <c r="V55" s="16"/>
      <c r="W55" s="16"/>
      <c r="X55" s="16"/>
    </row>
    <row r="56">
      <c r="A56" s="17"/>
      <c r="B56" s="17"/>
      <c r="C56" s="17"/>
      <c r="D56" s="48"/>
      <c r="E56" s="48"/>
      <c r="F56" s="16"/>
      <c r="G56" s="16"/>
      <c r="H56" s="16"/>
      <c r="I56" s="16"/>
      <c r="J56" s="16"/>
      <c r="K56" s="16"/>
      <c r="L56" s="16"/>
      <c r="M56" s="16"/>
      <c r="N56" s="16"/>
      <c r="O56" s="16"/>
      <c r="P56" s="16"/>
      <c r="Q56" s="16"/>
      <c r="R56" s="16"/>
      <c r="S56" s="16"/>
      <c r="T56" s="16"/>
      <c r="U56" s="16"/>
      <c r="V56" s="16"/>
      <c r="W56" s="16"/>
      <c r="X56" s="16"/>
    </row>
    <row r="57">
      <c r="A57" s="17"/>
      <c r="B57" s="17"/>
      <c r="C57" s="17"/>
      <c r="D57" s="48"/>
      <c r="E57" s="48"/>
      <c r="F57" s="16"/>
      <c r="G57" s="16"/>
      <c r="H57" s="16"/>
      <c r="I57" s="16"/>
      <c r="J57" s="16"/>
      <c r="K57" s="16"/>
      <c r="L57" s="16"/>
      <c r="M57" s="16"/>
      <c r="N57" s="16"/>
      <c r="O57" s="16"/>
      <c r="P57" s="16"/>
      <c r="Q57" s="16"/>
      <c r="R57" s="16"/>
      <c r="S57" s="16"/>
      <c r="T57" s="16"/>
      <c r="U57" s="16"/>
      <c r="V57" s="16"/>
      <c r="W57" s="16"/>
      <c r="X57" s="16"/>
    </row>
    <row r="58">
      <c r="A58" s="17"/>
      <c r="B58" s="17"/>
      <c r="C58" s="17"/>
      <c r="D58" s="48"/>
      <c r="E58" s="48"/>
      <c r="F58" s="16"/>
      <c r="G58" s="16"/>
      <c r="H58" s="16"/>
      <c r="I58" s="16"/>
      <c r="J58" s="16"/>
      <c r="K58" s="16"/>
      <c r="L58" s="16"/>
      <c r="M58" s="16"/>
      <c r="N58" s="16"/>
      <c r="O58" s="16"/>
      <c r="P58" s="16"/>
      <c r="Q58" s="16"/>
      <c r="R58" s="16"/>
      <c r="S58" s="16"/>
      <c r="T58" s="16"/>
      <c r="U58" s="16"/>
      <c r="V58" s="16"/>
      <c r="W58" s="16"/>
      <c r="X58" s="16"/>
    </row>
    <row r="59">
      <c r="A59" s="17"/>
      <c r="B59" s="17"/>
      <c r="C59" s="17"/>
      <c r="D59" s="48"/>
      <c r="E59" s="48"/>
      <c r="F59" s="16"/>
      <c r="G59" s="16"/>
      <c r="H59" s="16"/>
      <c r="I59" s="16"/>
      <c r="J59" s="16"/>
      <c r="K59" s="16"/>
      <c r="L59" s="16"/>
      <c r="M59" s="16"/>
      <c r="N59" s="16"/>
      <c r="O59" s="16"/>
      <c r="P59" s="16"/>
      <c r="Q59" s="16"/>
      <c r="R59" s="16"/>
      <c r="S59" s="16"/>
      <c r="T59" s="16"/>
      <c r="U59" s="16"/>
      <c r="V59" s="16"/>
      <c r="W59" s="16"/>
      <c r="X59" s="16"/>
    </row>
    <row r="60">
      <c r="A60" s="17"/>
      <c r="B60" s="17"/>
      <c r="C60" s="17"/>
      <c r="D60" s="48"/>
      <c r="E60" s="48"/>
      <c r="F60" s="16"/>
      <c r="G60" s="16"/>
      <c r="H60" s="16"/>
      <c r="I60" s="16"/>
      <c r="J60" s="16"/>
      <c r="K60" s="16"/>
      <c r="L60" s="16"/>
      <c r="M60" s="16"/>
      <c r="N60" s="16"/>
      <c r="O60" s="16"/>
      <c r="P60" s="16"/>
      <c r="Q60" s="16"/>
      <c r="R60" s="16"/>
      <c r="S60" s="16"/>
      <c r="T60" s="16"/>
      <c r="U60" s="16"/>
      <c r="V60" s="16"/>
      <c r="W60" s="16"/>
      <c r="X60" s="16"/>
    </row>
    <row r="61">
      <c r="A61" s="17"/>
      <c r="B61" s="17"/>
      <c r="C61" s="17"/>
      <c r="D61" s="48"/>
      <c r="E61" s="48"/>
      <c r="F61" s="16"/>
      <c r="G61" s="16"/>
      <c r="H61" s="16"/>
      <c r="I61" s="16"/>
      <c r="J61" s="16"/>
      <c r="K61" s="16"/>
      <c r="L61" s="16"/>
      <c r="M61" s="16"/>
      <c r="N61" s="16"/>
      <c r="O61" s="16"/>
      <c r="P61" s="16"/>
      <c r="Q61" s="16"/>
      <c r="R61" s="16"/>
      <c r="S61" s="16"/>
      <c r="T61" s="16"/>
      <c r="U61" s="16"/>
      <c r="V61" s="16"/>
      <c r="W61" s="16"/>
      <c r="X61" s="16"/>
    </row>
    <row r="62">
      <c r="A62" s="17"/>
      <c r="B62" s="17"/>
      <c r="C62" s="17"/>
      <c r="D62" s="48"/>
      <c r="E62" s="48"/>
      <c r="F62" s="16"/>
      <c r="G62" s="16"/>
      <c r="H62" s="16"/>
      <c r="I62" s="16"/>
      <c r="J62" s="16"/>
      <c r="K62" s="16"/>
      <c r="L62" s="16"/>
      <c r="M62" s="16"/>
      <c r="N62" s="16"/>
      <c r="O62" s="16"/>
      <c r="P62" s="16"/>
      <c r="Q62" s="16"/>
      <c r="R62" s="16"/>
      <c r="S62" s="16"/>
      <c r="T62" s="16"/>
      <c r="U62" s="16"/>
      <c r="V62" s="16"/>
      <c r="W62" s="16"/>
      <c r="X62" s="16"/>
    </row>
    <row r="63">
      <c r="A63" s="17"/>
      <c r="B63" s="17"/>
      <c r="C63" s="17"/>
      <c r="D63" s="48"/>
      <c r="E63" s="48"/>
      <c r="F63" s="16"/>
      <c r="G63" s="16"/>
      <c r="H63" s="16"/>
      <c r="I63" s="16"/>
      <c r="J63" s="16"/>
      <c r="K63" s="16"/>
      <c r="L63" s="16"/>
      <c r="M63" s="16"/>
      <c r="N63" s="16"/>
      <c r="O63" s="16"/>
      <c r="P63" s="16"/>
      <c r="Q63" s="16"/>
      <c r="R63" s="16"/>
      <c r="S63" s="16"/>
      <c r="T63" s="16"/>
      <c r="U63" s="16"/>
      <c r="V63" s="16"/>
      <c r="W63" s="16"/>
      <c r="X63" s="16"/>
    </row>
    <row r="64">
      <c r="A64" s="17"/>
      <c r="B64" s="17"/>
      <c r="C64" s="17"/>
      <c r="D64" s="48"/>
      <c r="E64" s="48"/>
      <c r="F64" s="16"/>
      <c r="G64" s="16"/>
      <c r="H64" s="16"/>
      <c r="I64" s="16"/>
      <c r="J64" s="16"/>
      <c r="K64" s="16"/>
      <c r="L64" s="16"/>
      <c r="M64" s="16"/>
      <c r="N64" s="16"/>
      <c r="O64" s="16"/>
      <c r="P64" s="16"/>
      <c r="Q64" s="16"/>
      <c r="R64" s="16"/>
      <c r="S64" s="16"/>
      <c r="T64" s="16"/>
      <c r="U64" s="16"/>
      <c r="V64" s="16"/>
      <c r="W64" s="16"/>
      <c r="X64" s="16"/>
    </row>
    <row r="65">
      <c r="A65" s="17"/>
      <c r="B65" s="17"/>
      <c r="C65" s="17"/>
      <c r="D65" s="48"/>
      <c r="E65" s="48"/>
      <c r="F65" s="16"/>
      <c r="G65" s="16"/>
      <c r="H65" s="16"/>
      <c r="I65" s="16"/>
      <c r="J65" s="16"/>
      <c r="K65" s="16"/>
      <c r="L65" s="16"/>
      <c r="M65" s="16"/>
      <c r="N65" s="16"/>
      <c r="O65" s="16"/>
      <c r="P65" s="16"/>
      <c r="Q65" s="16"/>
      <c r="R65" s="16"/>
      <c r="S65" s="16"/>
      <c r="T65" s="16"/>
      <c r="U65" s="16"/>
      <c r="V65" s="16"/>
      <c r="W65" s="16"/>
      <c r="X65" s="16"/>
    </row>
    <row r="66">
      <c r="A66" s="17"/>
      <c r="B66" s="17"/>
      <c r="C66" s="17"/>
      <c r="D66" s="48"/>
      <c r="E66" s="48"/>
      <c r="F66" s="16"/>
      <c r="G66" s="16"/>
      <c r="H66" s="16"/>
      <c r="I66" s="16"/>
      <c r="J66" s="16"/>
      <c r="K66" s="16"/>
      <c r="L66" s="16"/>
      <c r="M66" s="16"/>
      <c r="N66" s="16"/>
      <c r="O66" s="16"/>
      <c r="P66" s="16"/>
      <c r="Q66" s="16"/>
      <c r="R66" s="16"/>
      <c r="S66" s="16"/>
      <c r="T66" s="16"/>
      <c r="U66" s="16"/>
      <c r="V66" s="16"/>
      <c r="W66" s="16"/>
      <c r="X66" s="16"/>
    </row>
    <row r="67">
      <c r="A67" s="17"/>
      <c r="B67" s="17"/>
      <c r="C67" s="17"/>
      <c r="D67" s="48"/>
      <c r="E67" s="48"/>
      <c r="F67" s="16"/>
      <c r="G67" s="16"/>
      <c r="H67" s="16"/>
      <c r="I67" s="16"/>
      <c r="J67" s="16"/>
      <c r="K67" s="16"/>
      <c r="L67" s="16"/>
      <c r="M67" s="16"/>
      <c r="N67" s="16"/>
      <c r="O67" s="16"/>
      <c r="P67" s="16"/>
      <c r="Q67" s="16"/>
      <c r="R67" s="16"/>
      <c r="S67" s="16"/>
      <c r="T67" s="16"/>
      <c r="U67" s="16"/>
      <c r="V67" s="16"/>
      <c r="W67" s="16"/>
      <c r="X67" s="16"/>
    </row>
    <row r="68">
      <c r="A68" s="17"/>
      <c r="B68" s="17"/>
      <c r="C68" s="17"/>
      <c r="D68" s="48"/>
      <c r="E68" s="48"/>
      <c r="F68" s="16"/>
      <c r="G68" s="16"/>
      <c r="H68" s="16"/>
      <c r="I68" s="16"/>
      <c r="J68" s="16"/>
      <c r="K68" s="16"/>
      <c r="L68" s="16"/>
      <c r="M68" s="16"/>
      <c r="N68" s="16"/>
      <c r="O68" s="16"/>
      <c r="P68" s="16"/>
      <c r="Q68" s="16"/>
      <c r="R68" s="16"/>
      <c r="S68" s="16"/>
      <c r="T68" s="16"/>
      <c r="U68" s="16"/>
      <c r="V68" s="16"/>
      <c r="W68" s="16"/>
      <c r="X68" s="16"/>
    </row>
    <row r="69">
      <c r="A69" s="17"/>
      <c r="B69" s="17"/>
      <c r="C69" s="17"/>
      <c r="D69" s="48"/>
      <c r="E69" s="48"/>
      <c r="F69" s="16"/>
      <c r="G69" s="16"/>
      <c r="H69" s="16"/>
      <c r="I69" s="16"/>
      <c r="J69" s="16"/>
      <c r="K69" s="16"/>
      <c r="L69" s="16"/>
      <c r="M69" s="16"/>
      <c r="N69" s="16"/>
      <c r="O69" s="16"/>
      <c r="P69" s="16"/>
      <c r="Q69" s="16"/>
      <c r="R69" s="16"/>
      <c r="S69" s="16"/>
      <c r="T69" s="16"/>
      <c r="U69" s="16"/>
      <c r="V69" s="16"/>
      <c r="W69" s="16"/>
      <c r="X69" s="16"/>
    </row>
    <row r="70">
      <c r="A70" s="17"/>
      <c r="B70" s="17"/>
      <c r="C70" s="17"/>
      <c r="D70" s="48"/>
      <c r="E70" s="48"/>
      <c r="F70" s="16"/>
      <c r="G70" s="16"/>
      <c r="H70" s="16"/>
      <c r="I70" s="16"/>
      <c r="J70" s="16"/>
      <c r="K70" s="16"/>
      <c r="L70" s="16"/>
      <c r="M70" s="16"/>
      <c r="N70" s="16"/>
      <c r="O70" s="16"/>
      <c r="P70" s="16"/>
      <c r="Q70" s="16"/>
      <c r="R70" s="16"/>
      <c r="S70" s="16"/>
      <c r="T70" s="16"/>
      <c r="U70" s="16"/>
      <c r="V70" s="16"/>
      <c r="W70" s="16"/>
      <c r="X70" s="16"/>
    </row>
    <row r="71">
      <c r="A71" s="17"/>
      <c r="B71" s="17"/>
      <c r="C71" s="17"/>
      <c r="D71" s="48"/>
      <c r="E71" s="48"/>
      <c r="F71" s="16"/>
      <c r="G71" s="16"/>
      <c r="H71" s="16"/>
      <c r="I71" s="16"/>
      <c r="J71" s="16"/>
      <c r="K71" s="16"/>
      <c r="L71" s="16"/>
      <c r="M71" s="16"/>
      <c r="N71" s="16"/>
      <c r="O71" s="16"/>
      <c r="P71" s="16"/>
      <c r="Q71" s="16"/>
      <c r="R71" s="16"/>
      <c r="S71" s="16"/>
      <c r="T71" s="16"/>
      <c r="U71" s="16"/>
      <c r="V71" s="16"/>
      <c r="W71" s="16"/>
      <c r="X71" s="16"/>
    </row>
    <row r="72">
      <c r="A72" s="17"/>
      <c r="B72" s="17"/>
      <c r="C72" s="17"/>
      <c r="D72" s="48"/>
      <c r="E72" s="48"/>
      <c r="F72" s="16"/>
      <c r="G72" s="16"/>
      <c r="H72" s="16"/>
      <c r="I72" s="16"/>
      <c r="J72" s="16"/>
      <c r="K72" s="16"/>
      <c r="L72" s="16"/>
      <c r="M72" s="16"/>
      <c r="N72" s="16"/>
      <c r="O72" s="16"/>
      <c r="P72" s="16"/>
      <c r="Q72" s="16"/>
      <c r="R72" s="16"/>
      <c r="S72" s="16"/>
      <c r="T72" s="16"/>
      <c r="U72" s="16"/>
      <c r="V72" s="16"/>
      <c r="W72" s="16"/>
      <c r="X72" s="16"/>
    </row>
    <row r="73">
      <c r="A73" s="17"/>
      <c r="B73" s="17"/>
      <c r="C73" s="17"/>
      <c r="D73" s="48"/>
      <c r="E73" s="48"/>
      <c r="F73" s="16"/>
      <c r="G73" s="16"/>
      <c r="H73" s="16"/>
      <c r="I73" s="16"/>
      <c r="J73" s="16"/>
      <c r="K73" s="16"/>
      <c r="L73" s="16"/>
      <c r="M73" s="16"/>
      <c r="N73" s="16"/>
      <c r="O73" s="16"/>
      <c r="P73" s="16"/>
      <c r="Q73" s="16"/>
      <c r="R73" s="16"/>
      <c r="S73" s="16"/>
      <c r="T73" s="16"/>
      <c r="U73" s="16"/>
      <c r="V73" s="16"/>
      <c r="W73" s="16"/>
      <c r="X73" s="16"/>
    </row>
    <row r="74">
      <c r="A74" s="17"/>
      <c r="B74" s="17"/>
      <c r="C74" s="17"/>
      <c r="D74" s="48"/>
      <c r="E74" s="48"/>
      <c r="F74" s="16"/>
      <c r="G74" s="16"/>
      <c r="H74" s="16"/>
      <c r="I74" s="16"/>
      <c r="J74" s="16"/>
      <c r="K74" s="16"/>
      <c r="L74" s="16"/>
      <c r="M74" s="16"/>
      <c r="N74" s="16"/>
      <c r="O74" s="16"/>
      <c r="P74" s="16"/>
      <c r="Q74" s="16"/>
      <c r="R74" s="16"/>
      <c r="S74" s="16"/>
      <c r="T74" s="16"/>
      <c r="U74" s="16"/>
      <c r="V74" s="16"/>
      <c r="W74" s="16"/>
      <c r="X74" s="16"/>
    </row>
    <row r="75">
      <c r="A75" s="17"/>
      <c r="B75" s="17"/>
      <c r="C75" s="17"/>
      <c r="D75" s="48"/>
      <c r="E75" s="48"/>
      <c r="F75" s="16"/>
      <c r="G75" s="16"/>
      <c r="H75" s="16"/>
      <c r="I75" s="16"/>
      <c r="J75" s="16"/>
      <c r="K75" s="16"/>
      <c r="L75" s="16"/>
      <c r="M75" s="16"/>
      <c r="N75" s="16"/>
      <c r="O75" s="16"/>
      <c r="P75" s="16"/>
      <c r="Q75" s="16"/>
      <c r="R75" s="16"/>
      <c r="S75" s="16"/>
      <c r="T75" s="16"/>
      <c r="U75" s="16"/>
      <c r="V75" s="16"/>
      <c r="W75" s="16"/>
      <c r="X75" s="16"/>
    </row>
    <row r="76">
      <c r="A76" s="17"/>
      <c r="B76" s="17"/>
      <c r="C76" s="17"/>
      <c r="D76" s="48"/>
      <c r="E76" s="48"/>
      <c r="F76" s="16"/>
      <c r="G76" s="16"/>
      <c r="H76" s="16"/>
      <c r="I76" s="16"/>
      <c r="J76" s="16"/>
      <c r="K76" s="16"/>
      <c r="L76" s="16"/>
      <c r="M76" s="16"/>
      <c r="N76" s="16"/>
      <c r="O76" s="16"/>
      <c r="P76" s="16"/>
      <c r="Q76" s="16"/>
      <c r="R76" s="16"/>
      <c r="S76" s="16"/>
      <c r="T76" s="16"/>
      <c r="U76" s="16"/>
      <c r="V76" s="16"/>
      <c r="W76" s="16"/>
      <c r="X76" s="16"/>
    </row>
    <row r="77">
      <c r="A77" s="17"/>
      <c r="B77" s="17"/>
      <c r="C77" s="17"/>
      <c r="D77" s="48"/>
      <c r="E77" s="48"/>
      <c r="F77" s="16"/>
      <c r="G77" s="16"/>
      <c r="H77" s="16"/>
      <c r="I77" s="16"/>
      <c r="J77" s="16"/>
      <c r="K77" s="16"/>
      <c r="L77" s="16"/>
      <c r="M77" s="16"/>
      <c r="N77" s="16"/>
      <c r="O77" s="16"/>
      <c r="P77" s="16"/>
      <c r="Q77" s="16"/>
      <c r="R77" s="16"/>
      <c r="S77" s="16"/>
      <c r="T77" s="16"/>
      <c r="U77" s="16"/>
      <c r="V77" s="16"/>
      <c r="W77" s="16"/>
      <c r="X77" s="16"/>
    </row>
    <row r="78">
      <c r="A78" s="17"/>
      <c r="B78" s="17"/>
      <c r="C78" s="17"/>
      <c r="D78" s="48"/>
      <c r="E78" s="48"/>
      <c r="F78" s="16"/>
      <c r="G78" s="16"/>
      <c r="H78" s="16"/>
      <c r="I78" s="16"/>
      <c r="J78" s="16"/>
      <c r="K78" s="16"/>
      <c r="L78" s="16"/>
      <c r="M78" s="16"/>
      <c r="N78" s="16"/>
      <c r="O78" s="16"/>
      <c r="P78" s="16"/>
      <c r="Q78" s="16"/>
      <c r="R78" s="16"/>
      <c r="S78" s="16"/>
      <c r="T78" s="16"/>
      <c r="U78" s="16"/>
      <c r="V78" s="16"/>
      <c r="W78" s="16"/>
      <c r="X78" s="16"/>
    </row>
    <row r="79">
      <c r="A79" s="17"/>
      <c r="B79" s="17"/>
      <c r="C79" s="17"/>
      <c r="D79" s="48"/>
      <c r="E79" s="48"/>
      <c r="F79" s="16"/>
      <c r="G79" s="16"/>
      <c r="H79" s="16"/>
      <c r="I79" s="16"/>
      <c r="J79" s="16"/>
      <c r="K79" s="16"/>
      <c r="L79" s="16"/>
      <c r="M79" s="16"/>
      <c r="N79" s="16"/>
      <c r="O79" s="16"/>
      <c r="P79" s="16"/>
      <c r="Q79" s="16"/>
      <c r="R79" s="16"/>
      <c r="S79" s="16"/>
      <c r="T79" s="16"/>
      <c r="U79" s="16"/>
      <c r="V79" s="16"/>
      <c r="W79" s="16"/>
      <c r="X79" s="16"/>
    </row>
    <row r="80">
      <c r="A80" s="17"/>
      <c r="B80" s="17"/>
      <c r="C80" s="17"/>
      <c r="D80" s="48"/>
      <c r="E80" s="48"/>
      <c r="F80" s="16"/>
      <c r="G80" s="16"/>
      <c r="H80" s="16"/>
      <c r="I80" s="16"/>
      <c r="J80" s="16"/>
      <c r="K80" s="16"/>
      <c r="L80" s="16"/>
      <c r="M80" s="16"/>
      <c r="N80" s="16"/>
      <c r="O80" s="16"/>
      <c r="P80" s="16"/>
      <c r="Q80" s="16"/>
      <c r="R80" s="16"/>
      <c r="S80" s="16"/>
      <c r="T80" s="16"/>
      <c r="U80" s="16"/>
      <c r="V80" s="16"/>
      <c r="W80" s="16"/>
      <c r="X80" s="16"/>
    </row>
    <row r="81">
      <c r="A81" s="17"/>
      <c r="B81" s="17"/>
      <c r="C81" s="17"/>
      <c r="D81" s="48"/>
      <c r="E81" s="48"/>
      <c r="F81" s="16"/>
      <c r="G81" s="16"/>
      <c r="H81" s="16"/>
      <c r="I81" s="16"/>
      <c r="J81" s="16"/>
      <c r="K81" s="16"/>
      <c r="L81" s="16"/>
      <c r="M81" s="16"/>
      <c r="N81" s="16"/>
      <c r="O81" s="16"/>
      <c r="P81" s="16"/>
      <c r="Q81" s="16"/>
      <c r="R81" s="16"/>
      <c r="S81" s="16"/>
      <c r="T81" s="16"/>
      <c r="U81" s="16"/>
      <c r="V81" s="16"/>
      <c r="W81" s="16"/>
      <c r="X81" s="16"/>
    </row>
    <row r="82">
      <c r="A82" s="17"/>
      <c r="B82" s="17"/>
      <c r="C82" s="17"/>
      <c r="D82" s="48"/>
      <c r="E82" s="48"/>
      <c r="F82" s="16"/>
      <c r="G82" s="16"/>
      <c r="H82" s="16"/>
      <c r="I82" s="16"/>
      <c r="J82" s="16"/>
      <c r="K82" s="16"/>
      <c r="L82" s="16"/>
      <c r="M82" s="16"/>
      <c r="N82" s="16"/>
      <c r="O82" s="16"/>
      <c r="P82" s="16"/>
      <c r="Q82" s="16"/>
      <c r="R82" s="16"/>
      <c r="S82" s="16"/>
      <c r="T82" s="16"/>
      <c r="U82" s="16"/>
      <c r="V82" s="16"/>
      <c r="W82" s="16"/>
      <c r="X82" s="16"/>
    </row>
    <row r="83">
      <c r="A83" s="17"/>
      <c r="B83" s="17"/>
      <c r="C83" s="17"/>
      <c r="D83" s="48"/>
      <c r="E83" s="48"/>
      <c r="F83" s="16"/>
      <c r="G83" s="16"/>
      <c r="H83" s="16"/>
      <c r="I83" s="16"/>
      <c r="J83" s="16"/>
      <c r="K83" s="16"/>
      <c r="L83" s="16"/>
      <c r="M83" s="16"/>
      <c r="N83" s="16"/>
      <c r="O83" s="16"/>
      <c r="P83" s="16"/>
      <c r="Q83" s="16"/>
      <c r="R83" s="16"/>
      <c r="S83" s="16"/>
      <c r="T83" s="16"/>
      <c r="U83" s="16"/>
      <c r="V83" s="16"/>
      <c r="W83" s="16"/>
      <c r="X83" s="16"/>
    </row>
    <row r="84">
      <c r="A84" s="17"/>
      <c r="B84" s="17"/>
      <c r="C84" s="17"/>
      <c r="D84" s="48"/>
      <c r="E84" s="48"/>
      <c r="F84" s="16"/>
      <c r="G84" s="16"/>
      <c r="H84" s="16"/>
      <c r="I84" s="16"/>
      <c r="J84" s="16"/>
      <c r="K84" s="16"/>
      <c r="L84" s="16"/>
      <c r="M84" s="16"/>
      <c r="N84" s="16"/>
      <c r="O84" s="16"/>
      <c r="P84" s="16"/>
      <c r="Q84" s="16"/>
      <c r="R84" s="16"/>
      <c r="S84" s="16"/>
      <c r="T84" s="16"/>
      <c r="U84" s="16"/>
      <c r="V84" s="16"/>
      <c r="W84" s="16"/>
      <c r="X84" s="16"/>
    </row>
    <row r="85">
      <c r="A85" s="17"/>
      <c r="B85" s="17"/>
      <c r="C85" s="17"/>
      <c r="D85" s="48"/>
      <c r="E85" s="48"/>
      <c r="F85" s="16"/>
      <c r="G85" s="16"/>
      <c r="H85" s="16"/>
      <c r="I85" s="16"/>
      <c r="J85" s="16"/>
      <c r="K85" s="16"/>
      <c r="L85" s="16"/>
      <c r="M85" s="16"/>
      <c r="N85" s="16"/>
      <c r="O85" s="16"/>
      <c r="P85" s="16"/>
      <c r="Q85" s="16"/>
      <c r="R85" s="16"/>
      <c r="S85" s="16"/>
      <c r="T85" s="16"/>
      <c r="U85" s="16"/>
      <c r="V85" s="16"/>
      <c r="W85" s="16"/>
      <c r="X85" s="16"/>
    </row>
    <row r="86">
      <c r="A86" s="17"/>
      <c r="B86" s="17"/>
      <c r="C86" s="17"/>
      <c r="D86" s="48"/>
      <c r="E86" s="48"/>
      <c r="F86" s="16"/>
      <c r="G86" s="16"/>
      <c r="H86" s="16"/>
      <c r="I86" s="16"/>
      <c r="J86" s="16"/>
      <c r="K86" s="16"/>
      <c r="L86" s="16"/>
      <c r="M86" s="16"/>
      <c r="N86" s="16"/>
      <c r="O86" s="16"/>
      <c r="P86" s="16"/>
      <c r="Q86" s="16"/>
      <c r="R86" s="16"/>
      <c r="S86" s="16"/>
      <c r="T86" s="16"/>
      <c r="U86" s="16"/>
      <c r="V86" s="16"/>
      <c r="W86" s="16"/>
      <c r="X86" s="16"/>
    </row>
    <row r="87">
      <c r="A87" s="17"/>
      <c r="B87" s="17"/>
      <c r="C87" s="17"/>
      <c r="D87" s="48"/>
      <c r="E87" s="48"/>
      <c r="F87" s="16"/>
      <c r="G87" s="16"/>
      <c r="H87" s="16"/>
      <c r="I87" s="16"/>
      <c r="J87" s="16"/>
      <c r="K87" s="16"/>
      <c r="L87" s="16"/>
      <c r="M87" s="16"/>
      <c r="N87" s="16"/>
      <c r="O87" s="16"/>
      <c r="P87" s="16"/>
      <c r="Q87" s="16"/>
      <c r="R87" s="16"/>
      <c r="S87" s="16"/>
      <c r="T87" s="16"/>
      <c r="U87" s="16"/>
      <c r="V87" s="16"/>
      <c r="W87" s="16"/>
      <c r="X87" s="16"/>
    </row>
    <row r="88">
      <c r="A88" s="17"/>
      <c r="B88" s="17"/>
      <c r="C88" s="17"/>
      <c r="D88" s="48"/>
      <c r="E88" s="48"/>
      <c r="F88" s="16"/>
      <c r="G88" s="16"/>
      <c r="H88" s="16"/>
      <c r="I88" s="16"/>
      <c r="J88" s="16"/>
      <c r="K88" s="16"/>
      <c r="L88" s="16"/>
      <c r="M88" s="16"/>
      <c r="N88" s="16"/>
      <c r="O88" s="16"/>
      <c r="P88" s="16"/>
      <c r="Q88" s="16"/>
      <c r="R88" s="16"/>
      <c r="S88" s="16"/>
      <c r="T88" s="16"/>
      <c r="U88" s="16"/>
      <c r="V88" s="16"/>
      <c r="W88" s="16"/>
      <c r="X88" s="16"/>
    </row>
    <row r="89">
      <c r="A89" s="17"/>
      <c r="B89" s="17"/>
      <c r="C89" s="17"/>
      <c r="D89" s="48"/>
      <c r="E89" s="48"/>
      <c r="F89" s="16"/>
      <c r="G89" s="16"/>
      <c r="H89" s="16"/>
      <c r="I89" s="16"/>
      <c r="J89" s="16"/>
      <c r="K89" s="16"/>
      <c r="L89" s="16"/>
      <c r="M89" s="16"/>
      <c r="N89" s="16"/>
      <c r="O89" s="16"/>
      <c r="P89" s="16"/>
      <c r="Q89" s="16"/>
      <c r="R89" s="16"/>
      <c r="S89" s="16"/>
      <c r="T89" s="16"/>
      <c r="U89" s="16"/>
      <c r="V89" s="16"/>
      <c r="W89" s="16"/>
      <c r="X89" s="16"/>
    </row>
    <row r="90">
      <c r="A90" s="17"/>
      <c r="B90" s="17"/>
      <c r="C90" s="17"/>
      <c r="D90" s="48"/>
      <c r="E90" s="48"/>
      <c r="F90" s="16"/>
      <c r="G90" s="16"/>
      <c r="H90" s="16"/>
      <c r="I90" s="16"/>
      <c r="J90" s="16"/>
      <c r="K90" s="16"/>
      <c r="L90" s="16"/>
      <c r="M90" s="16"/>
      <c r="N90" s="16"/>
      <c r="O90" s="16"/>
      <c r="P90" s="16"/>
      <c r="Q90" s="16"/>
      <c r="R90" s="16"/>
      <c r="S90" s="16"/>
      <c r="T90" s="16"/>
      <c r="U90" s="16"/>
      <c r="V90" s="16"/>
      <c r="W90" s="16"/>
      <c r="X90" s="16"/>
    </row>
    <row r="91">
      <c r="A91" s="17"/>
      <c r="B91" s="17"/>
      <c r="C91" s="17"/>
      <c r="D91" s="48"/>
      <c r="E91" s="48"/>
      <c r="F91" s="16"/>
      <c r="G91" s="16"/>
      <c r="H91" s="16"/>
      <c r="I91" s="16"/>
      <c r="J91" s="16"/>
      <c r="K91" s="16"/>
      <c r="L91" s="16"/>
      <c r="M91" s="16"/>
      <c r="N91" s="16"/>
      <c r="O91" s="16"/>
      <c r="P91" s="16"/>
      <c r="Q91" s="16"/>
      <c r="R91" s="16"/>
      <c r="S91" s="16"/>
      <c r="T91" s="16"/>
      <c r="U91" s="16"/>
      <c r="V91" s="16"/>
      <c r="W91" s="16"/>
      <c r="X91" s="16"/>
    </row>
    <row r="92">
      <c r="A92" s="17"/>
      <c r="B92" s="17"/>
      <c r="C92" s="17"/>
      <c r="D92" s="48"/>
      <c r="E92" s="48"/>
      <c r="F92" s="16"/>
      <c r="G92" s="16"/>
      <c r="H92" s="16"/>
      <c r="I92" s="16"/>
      <c r="J92" s="16"/>
      <c r="K92" s="16"/>
      <c r="L92" s="16"/>
      <c r="M92" s="16"/>
      <c r="N92" s="16"/>
      <c r="O92" s="16"/>
      <c r="P92" s="16"/>
      <c r="Q92" s="16"/>
      <c r="R92" s="16"/>
      <c r="S92" s="16"/>
      <c r="T92" s="16"/>
      <c r="U92" s="16"/>
      <c r="V92" s="16"/>
      <c r="W92" s="16"/>
      <c r="X92" s="16"/>
    </row>
    <row r="93">
      <c r="A93" s="17"/>
      <c r="B93" s="17"/>
      <c r="C93" s="17"/>
      <c r="D93" s="48"/>
      <c r="E93" s="48"/>
      <c r="F93" s="16"/>
      <c r="G93" s="16"/>
      <c r="H93" s="16"/>
      <c r="I93" s="16"/>
      <c r="J93" s="16"/>
      <c r="K93" s="16"/>
      <c r="L93" s="16"/>
      <c r="M93" s="16"/>
      <c r="N93" s="16"/>
      <c r="O93" s="16"/>
      <c r="P93" s="16"/>
      <c r="Q93" s="16"/>
      <c r="R93" s="16"/>
      <c r="S93" s="16"/>
      <c r="T93" s="16"/>
      <c r="U93" s="16"/>
      <c r="V93" s="16"/>
      <c r="W93" s="16"/>
      <c r="X93" s="16"/>
    </row>
    <row r="94">
      <c r="A94" s="17"/>
      <c r="B94" s="17"/>
      <c r="C94" s="17"/>
      <c r="D94" s="48"/>
      <c r="E94" s="48"/>
      <c r="F94" s="16"/>
      <c r="G94" s="16"/>
      <c r="H94" s="16"/>
      <c r="I94" s="16"/>
      <c r="J94" s="16"/>
      <c r="K94" s="16"/>
      <c r="L94" s="16"/>
      <c r="M94" s="16"/>
      <c r="N94" s="16"/>
      <c r="O94" s="16"/>
      <c r="P94" s="16"/>
      <c r="Q94" s="16"/>
      <c r="R94" s="16"/>
      <c r="S94" s="16"/>
      <c r="T94" s="16"/>
      <c r="U94" s="16"/>
      <c r="V94" s="16"/>
      <c r="W94" s="16"/>
      <c r="X94" s="16"/>
    </row>
    <row r="95">
      <c r="A95" s="17"/>
      <c r="B95" s="17"/>
      <c r="C95" s="17"/>
      <c r="D95" s="48"/>
      <c r="E95" s="48"/>
      <c r="F95" s="16"/>
      <c r="G95" s="16"/>
      <c r="H95" s="16"/>
      <c r="I95" s="16"/>
      <c r="J95" s="16"/>
      <c r="K95" s="16"/>
      <c r="L95" s="16"/>
      <c r="M95" s="16"/>
      <c r="N95" s="16"/>
      <c r="O95" s="16"/>
      <c r="P95" s="16"/>
      <c r="Q95" s="16"/>
      <c r="R95" s="16"/>
      <c r="S95" s="16"/>
      <c r="T95" s="16"/>
      <c r="U95" s="16"/>
      <c r="V95" s="16"/>
      <c r="W95" s="16"/>
      <c r="X95" s="16"/>
    </row>
    <row r="96">
      <c r="A96" s="17"/>
      <c r="B96" s="17"/>
      <c r="C96" s="17"/>
      <c r="D96" s="48"/>
      <c r="E96" s="48"/>
      <c r="F96" s="16"/>
      <c r="G96" s="16"/>
      <c r="H96" s="16"/>
      <c r="I96" s="16"/>
      <c r="J96" s="16"/>
      <c r="K96" s="16"/>
      <c r="L96" s="16"/>
      <c r="M96" s="16"/>
      <c r="N96" s="16"/>
      <c r="O96" s="16"/>
      <c r="P96" s="16"/>
      <c r="Q96" s="16"/>
      <c r="R96" s="16"/>
      <c r="S96" s="16"/>
      <c r="T96" s="16"/>
      <c r="U96" s="16"/>
      <c r="V96" s="16"/>
      <c r="W96" s="16"/>
      <c r="X96" s="16"/>
    </row>
    <row r="97">
      <c r="A97" s="17"/>
      <c r="B97" s="17"/>
      <c r="C97" s="17"/>
      <c r="D97" s="48"/>
      <c r="E97" s="48"/>
      <c r="F97" s="16"/>
      <c r="G97" s="16"/>
      <c r="H97" s="16"/>
      <c r="I97" s="16"/>
      <c r="J97" s="16"/>
      <c r="K97" s="16"/>
      <c r="L97" s="16"/>
      <c r="M97" s="16"/>
      <c r="N97" s="16"/>
      <c r="O97" s="16"/>
      <c r="P97" s="16"/>
      <c r="Q97" s="16"/>
      <c r="R97" s="16"/>
      <c r="S97" s="16"/>
      <c r="T97" s="16"/>
      <c r="U97" s="16"/>
      <c r="V97" s="16"/>
      <c r="W97" s="16"/>
      <c r="X97" s="16"/>
    </row>
    <row r="98">
      <c r="A98" s="17"/>
      <c r="B98" s="17"/>
      <c r="C98" s="17"/>
      <c r="D98" s="48"/>
      <c r="E98" s="48"/>
      <c r="F98" s="16"/>
      <c r="G98" s="16"/>
      <c r="H98" s="16"/>
      <c r="I98" s="16"/>
      <c r="J98" s="16"/>
      <c r="K98" s="16"/>
      <c r="L98" s="16"/>
      <c r="M98" s="16"/>
      <c r="N98" s="16"/>
      <c r="O98" s="16"/>
      <c r="P98" s="16"/>
      <c r="Q98" s="16"/>
      <c r="R98" s="16"/>
      <c r="S98" s="16"/>
      <c r="T98" s="16"/>
      <c r="U98" s="16"/>
      <c r="V98" s="16"/>
      <c r="W98" s="16"/>
      <c r="X98" s="16"/>
    </row>
    <row r="99">
      <c r="A99" s="17"/>
      <c r="B99" s="17"/>
      <c r="C99" s="17"/>
      <c r="D99" s="48"/>
      <c r="E99" s="48"/>
      <c r="F99" s="16"/>
      <c r="G99" s="16"/>
      <c r="H99" s="16"/>
      <c r="I99" s="16"/>
      <c r="J99" s="16"/>
      <c r="K99" s="16"/>
      <c r="L99" s="16"/>
      <c r="M99" s="16"/>
      <c r="N99" s="16"/>
      <c r="O99" s="16"/>
      <c r="P99" s="16"/>
      <c r="Q99" s="16"/>
      <c r="R99" s="16"/>
      <c r="S99" s="16"/>
      <c r="T99" s="16"/>
      <c r="U99" s="16"/>
      <c r="V99" s="16"/>
      <c r="W99" s="16"/>
      <c r="X99" s="16"/>
    </row>
    <row r="100">
      <c r="A100" s="17"/>
      <c r="B100" s="17"/>
      <c r="C100" s="17"/>
      <c r="D100" s="48"/>
      <c r="E100" s="48"/>
      <c r="F100" s="16"/>
      <c r="G100" s="16"/>
      <c r="H100" s="16"/>
      <c r="I100" s="16"/>
      <c r="J100" s="16"/>
      <c r="K100" s="16"/>
      <c r="L100" s="16"/>
      <c r="M100" s="16"/>
      <c r="N100" s="16"/>
      <c r="O100" s="16"/>
      <c r="P100" s="16"/>
      <c r="Q100" s="16"/>
      <c r="R100" s="16"/>
      <c r="S100" s="16"/>
      <c r="T100" s="16"/>
      <c r="U100" s="16"/>
      <c r="V100" s="16"/>
      <c r="W100" s="16"/>
      <c r="X100" s="16"/>
    </row>
    <row r="101">
      <c r="A101" s="17"/>
      <c r="B101" s="17"/>
      <c r="C101" s="17"/>
      <c r="D101" s="48"/>
      <c r="E101" s="48"/>
      <c r="F101" s="16"/>
      <c r="G101" s="16"/>
      <c r="H101" s="16"/>
      <c r="I101" s="16"/>
      <c r="J101" s="16"/>
      <c r="K101" s="16"/>
      <c r="L101" s="16"/>
      <c r="M101" s="16"/>
      <c r="N101" s="16"/>
      <c r="O101" s="16"/>
      <c r="P101" s="16"/>
      <c r="Q101" s="16"/>
      <c r="R101" s="16"/>
      <c r="S101" s="16"/>
      <c r="T101" s="16"/>
      <c r="U101" s="16"/>
      <c r="V101" s="16"/>
      <c r="W101" s="16"/>
      <c r="X101" s="16"/>
    </row>
    <row r="102">
      <c r="A102" s="17"/>
      <c r="B102" s="17"/>
      <c r="C102" s="17"/>
      <c r="D102" s="48"/>
      <c r="E102" s="48"/>
      <c r="F102" s="16"/>
      <c r="G102" s="16"/>
      <c r="H102" s="16"/>
      <c r="I102" s="16"/>
      <c r="J102" s="16"/>
      <c r="K102" s="16"/>
      <c r="L102" s="16"/>
      <c r="M102" s="16"/>
      <c r="N102" s="16"/>
      <c r="O102" s="16"/>
      <c r="P102" s="16"/>
      <c r="Q102" s="16"/>
      <c r="R102" s="16"/>
      <c r="S102" s="16"/>
      <c r="T102" s="16"/>
      <c r="U102" s="16"/>
      <c r="V102" s="16"/>
      <c r="W102" s="16"/>
      <c r="X102" s="16"/>
    </row>
    <row r="103">
      <c r="A103" s="17"/>
      <c r="B103" s="17"/>
      <c r="C103" s="17"/>
      <c r="D103" s="48"/>
      <c r="E103" s="48"/>
      <c r="F103" s="16"/>
      <c r="G103" s="16"/>
      <c r="H103" s="16"/>
      <c r="I103" s="16"/>
      <c r="J103" s="16"/>
      <c r="K103" s="16"/>
      <c r="L103" s="16"/>
      <c r="M103" s="16"/>
      <c r="N103" s="16"/>
      <c r="O103" s="16"/>
      <c r="P103" s="16"/>
      <c r="Q103" s="16"/>
      <c r="R103" s="16"/>
      <c r="S103" s="16"/>
      <c r="T103" s="16"/>
      <c r="U103" s="16"/>
      <c r="V103" s="16"/>
      <c r="W103" s="16"/>
      <c r="X103" s="16"/>
    </row>
    <row r="104">
      <c r="A104" s="17"/>
      <c r="B104" s="17"/>
      <c r="C104" s="17"/>
      <c r="D104" s="48"/>
      <c r="E104" s="48"/>
      <c r="F104" s="16"/>
      <c r="G104" s="16"/>
      <c r="H104" s="16"/>
      <c r="I104" s="16"/>
      <c r="J104" s="16"/>
      <c r="K104" s="16"/>
      <c r="L104" s="16"/>
      <c r="M104" s="16"/>
      <c r="N104" s="16"/>
      <c r="O104" s="16"/>
      <c r="P104" s="16"/>
      <c r="Q104" s="16"/>
      <c r="R104" s="16"/>
      <c r="S104" s="16"/>
      <c r="T104" s="16"/>
      <c r="U104" s="16"/>
      <c r="V104" s="16"/>
      <c r="W104" s="16"/>
      <c r="X104" s="16"/>
    </row>
    <row r="105">
      <c r="A105" s="17"/>
      <c r="B105" s="17"/>
      <c r="C105" s="17"/>
      <c r="D105" s="48"/>
      <c r="E105" s="48"/>
      <c r="F105" s="16"/>
      <c r="G105" s="16"/>
      <c r="H105" s="16"/>
      <c r="I105" s="16"/>
      <c r="J105" s="16"/>
      <c r="K105" s="16"/>
      <c r="L105" s="16"/>
      <c r="M105" s="16"/>
      <c r="N105" s="16"/>
      <c r="O105" s="16"/>
      <c r="P105" s="16"/>
      <c r="Q105" s="16"/>
      <c r="R105" s="16"/>
      <c r="S105" s="16"/>
      <c r="T105" s="16"/>
      <c r="U105" s="16"/>
      <c r="V105" s="16"/>
      <c r="W105" s="16"/>
      <c r="X105" s="16"/>
    </row>
    <row r="106">
      <c r="A106" s="17"/>
      <c r="B106" s="17"/>
      <c r="C106" s="17"/>
      <c r="D106" s="48"/>
      <c r="E106" s="48"/>
      <c r="F106" s="16"/>
      <c r="G106" s="16"/>
      <c r="H106" s="16"/>
      <c r="I106" s="16"/>
      <c r="J106" s="16"/>
      <c r="K106" s="16"/>
      <c r="L106" s="16"/>
      <c r="M106" s="16"/>
      <c r="N106" s="16"/>
      <c r="O106" s="16"/>
      <c r="P106" s="16"/>
      <c r="Q106" s="16"/>
      <c r="R106" s="16"/>
      <c r="S106" s="16"/>
      <c r="T106" s="16"/>
      <c r="U106" s="16"/>
      <c r="V106" s="16"/>
      <c r="W106" s="16"/>
      <c r="X106" s="16"/>
    </row>
    <row r="107">
      <c r="A107" s="17"/>
      <c r="B107" s="17"/>
      <c r="C107" s="17"/>
      <c r="D107" s="48"/>
      <c r="E107" s="48"/>
      <c r="F107" s="16"/>
      <c r="G107" s="16"/>
      <c r="H107" s="16"/>
      <c r="I107" s="16"/>
      <c r="J107" s="16"/>
      <c r="K107" s="16"/>
      <c r="L107" s="16"/>
      <c r="M107" s="16"/>
      <c r="N107" s="16"/>
      <c r="O107" s="16"/>
      <c r="P107" s="16"/>
      <c r="Q107" s="16"/>
      <c r="R107" s="16"/>
      <c r="S107" s="16"/>
      <c r="T107" s="16"/>
      <c r="U107" s="16"/>
      <c r="V107" s="16"/>
      <c r="W107" s="16"/>
      <c r="X107" s="16"/>
    </row>
    <row r="108">
      <c r="A108" s="17"/>
      <c r="B108" s="17"/>
      <c r="C108" s="17"/>
      <c r="D108" s="48"/>
      <c r="E108" s="48"/>
      <c r="F108" s="16"/>
      <c r="G108" s="16"/>
      <c r="H108" s="16"/>
      <c r="I108" s="16"/>
      <c r="J108" s="16"/>
      <c r="K108" s="16"/>
      <c r="L108" s="16"/>
      <c r="M108" s="16"/>
      <c r="N108" s="16"/>
      <c r="O108" s="16"/>
      <c r="P108" s="16"/>
      <c r="Q108" s="16"/>
      <c r="R108" s="16"/>
      <c r="S108" s="16"/>
      <c r="T108" s="16"/>
      <c r="U108" s="16"/>
      <c r="V108" s="16"/>
      <c r="W108" s="16"/>
      <c r="X108" s="16"/>
    </row>
    <row r="109">
      <c r="A109" s="17"/>
      <c r="B109" s="17"/>
      <c r="C109" s="17"/>
      <c r="D109" s="48"/>
      <c r="E109" s="48"/>
      <c r="F109" s="16"/>
      <c r="G109" s="16"/>
      <c r="H109" s="16"/>
      <c r="I109" s="16"/>
      <c r="J109" s="16"/>
      <c r="K109" s="16"/>
      <c r="L109" s="16"/>
      <c r="M109" s="16"/>
      <c r="N109" s="16"/>
      <c r="O109" s="16"/>
      <c r="P109" s="16"/>
      <c r="Q109" s="16"/>
      <c r="R109" s="16"/>
      <c r="S109" s="16"/>
      <c r="T109" s="16"/>
      <c r="U109" s="16"/>
      <c r="V109" s="16"/>
      <c r="W109" s="16"/>
      <c r="X109" s="16"/>
    </row>
    <row r="110">
      <c r="A110" s="17"/>
      <c r="B110" s="17"/>
      <c r="C110" s="17"/>
      <c r="D110" s="48"/>
      <c r="E110" s="48"/>
      <c r="F110" s="16"/>
      <c r="G110" s="16"/>
      <c r="H110" s="16"/>
      <c r="I110" s="16"/>
      <c r="J110" s="16"/>
      <c r="K110" s="16"/>
      <c r="L110" s="16"/>
      <c r="M110" s="16"/>
      <c r="N110" s="16"/>
      <c r="O110" s="16"/>
      <c r="P110" s="16"/>
      <c r="Q110" s="16"/>
      <c r="R110" s="16"/>
      <c r="S110" s="16"/>
      <c r="T110" s="16"/>
      <c r="U110" s="16"/>
      <c r="V110" s="16"/>
      <c r="W110" s="16"/>
      <c r="X110" s="16"/>
    </row>
    <row r="111">
      <c r="A111" s="17"/>
      <c r="B111" s="17"/>
      <c r="C111" s="17"/>
      <c r="D111" s="48"/>
      <c r="E111" s="48"/>
      <c r="F111" s="16"/>
      <c r="G111" s="16"/>
      <c r="H111" s="16"/>
      <c r="I111" s="16"/>
      <c r="J111" s="16"/>
      <c r="K111" s="16"/>
      <c r="L111" s="16"/>
      <c r="M111" s="16"/>
      <c r="N111" s="16"/>
      <c r="O111" s="16"/>
      <c r="P111" s="16"/>
      <c r="Q111" s="16"/>
      <c r="R111" s="16"/>
      <c r="S111" s="16"/>
      <c r="T111" s="16"/>
      <c r="U111" s="16"/>
      <c r="V111" s="16"/>
      <c r="W111" s="16"/>
      <c r="X111" s="16"/>
    </row>
    <row r="112">
      <c r="A112" s="17"/>
      <c r="B112" s="17"/>
      <c r="C112" s="17"/>
      <c r="D112" s="48"/>
      <c r="E112" s="48"/>
      <c r="F112" s="16"/>
      <c r="G112" s="16"/>
      <c r="H112" s="16"/>
      <c r="I112" s="16"/>
      <c r="J112" s="16"/>
      <c r="K112" s="16"/>
      <c r="L112" s="16"/>
      <c r="M112" s="16"/>
      <c r="N112" s="16"/>
      <c r="O112" s="16"/>
      <c r="P112" s="16"/>
      <c r="Q112" s="16"/>
      <c r="R112" s="16"/>
      <c r="S112" s="16"/>
      <c r="T112" s="16"/>
      <c r="U112" s="16"/>
      <c r="V112" s="16"/>
      <c r="W112" s="16"/>
      <c r="X112" s="16"/>
    </row>
    <row r="113">
      <c r="A113" s="17"/>
      <c r="B113" s="17"/>
      <c r="C113" s="17"/>
      <c r="D113" s="48"/>
      <c r="E113" s="48"/>
      <c r="F113" s="16"/>
      <c r="G113" s="16"/>
      <c r="H113" s="16"/>
      <c r="I113" s="16"/>
      <c r="J113" s="16"/>
      <c r="K113" s="16"/>
      <c r="L113" s="16"/>
      <c r="M113" s="16"/>
      <c r="N113" s="16"/>
      <c r="O113" s="16"/>
      <c r="P113" s="16"/>
      <c r="Q113" s="16"/>
      <c r="R113" s="16"/>
      <c r="S113" s="16"/>
      <c r="T113" s="16"/>
      <c r="U113" s="16"/>
      <c r="V113" s="16"/>
      <c r="W113" s="16"/>
      <c r="X113" s="16"/>
    </row>
    <row r="114">
      <c r="A114" s="17"/>
      <c r="B114" s="17"/>
      <c r="C114" s="17"/>
      <c r="D114" s="48"/>
      <c r="E114" s="48"/>
      <c r="F114" s="16"/>
      <c r="G114" s="16"/>
      <c r="H114" s="16"/>
      <c r="I114" s="16"/>
      <c r="J114" s="16"/>
      <c r="K114" s="16"/>
      <c r="L114" s="16"/>
      <c r="M114" s="16"/>
      <c r="N114" s="16"/>
      <c r="O114" s="16"/>
      <c r="P114" s="16"/>
      <c r="Q114" s="16"/>
      <c r="R114" s="16"/>
      <c r="S114" s="16"/>
      <c r="T114" s="16"/>
      <c r="U114" s="16"/>
      <c r="V114" s="16"/>
      <c r="W114" s="16"/>
      <c r="X114" s="16"/>
    </row>
    <row r="115">
      <c r="A115" s="17"/>
      <c r="B115" s="17"/>
      <c r="C115" s="17"/>
      <c r="D115" s="48"/>
      <c r="E115" s="48"/>
      <c r="F115" s="16"/>
      <c r="G115" s="16"/>
      <c r="H115" s="16"/>
      <c r="I115" s="16"/>
      <c r="J115" s="16"/>
      <c r="K115" s="16"/>
      <c r="L115" s="16"/>
      <c r="M115" s="16"/>
      <c r="N115" s="16"/>
      <c r="O115" s="16"/>
      <c r="P115" s="16"/>
      <c r="Q115" s="16"/>
      <c r="R115" s="16"/>
      <c r="S115" s="16"/>
      <c r="T115" s="16"/>
      <c r="U115" s="16"/>
      <c r="V115" s="16"/>
      <c r="W115" s="16"/>
      <c r="X115" s="16"/>
    </row>
    <row r="116">
      <c r="A116" s="17"/>
      <c r="B116" s="17"/>
      <c r="C116" s="17"/>
      <c r="D116" s="48"/>
      <c r="E116" s="48"/>
      <c r="F116" s="16"/>
      <c r="G116" s="16"/>
      <c r="H116" s="16"/>
      <c r="I116" s="16"/>
      <c r="J116" s="16"/>
      <c r="K116" s="16"/>
      <c r="L116" s="16"/>
      <c r="M116" s="16"/>
      <c r="N116" s="16"/>
      <c r="O116" s="16"/>
      <c r="P116" s="16"/>
      <c r="Q116" s="16"/>
      <c r="R116" s="16"/>
      <c r="S116" s="16"/>
      <c r="T116" s="16"/>
      <c r="U116" s="16"/>
      <c r="V116" s="16"/>
      <c r="W116" s="16"/>
      <c r="X116" s="16"/>
    </row>
    <row r="117">
      <c r="A117" s="17"/>
      <c r="B117" s="17"/>
      <c r="C117" s="17"/>
      <c r="D117" s="48"/>
      <c r="E117" s="48"/>
      <c r="F117" s="16"/>
      <c r="G117" s="16"/>
      <c r="H117" s="16"/>
      <c r="I117" s="16"/>
      <c r="J117" s="16"/>
      <c r="K117" s="16"/>
      <c r="L117" s="16"/>
      <c r="M117" s="16"/>
      <c r="N117" s="16"/>
      <c r="O117" s="16"/>
      <c r="P117" s="16"/>
      <c r="Q117" s="16"/>
      <c r="R117" s="16"/>
      <c r="S117" s="16"/>
      <c r="T117" s="16"/>
      <c r="U117" s="16"/>
      <c r="V117" s="16"/>
      <c r="W117" s="16"/>
      <c r="X117" s="16"/>
    </row>
    <row r="118">
      <c r="A118" s="17"/>
      <c r="B118" s="17"/>
      <c r="C118" s="17"/>
      <c r="D118" s="48"/>
      <c r="E118" s="48"/>
      <c r="F118" s="16"/>
      <c r="G118" s="16"/>
      <c r="H118" s="16"/>
      <c r="I118" s="16"/>
      <c r="J118" s="16"/>
      <c r="K118" s="16"/>
      <c r="L118" s="16"/>
      <c r="M118" s="16"/>
      <c r="N118" s="16"/>
      <c r="O118" s="16"/>
      <c r="P118" s="16"/>
      <c r="Q118" s="16"/>
      <c r="R118" s="16"/>
      <c r="S118" s="16"/>
      <c r="T118" s="16"/>
      <c r="U118" s="16"/>
      <c r="V118" s="16"/>
      <c r="W118" s="16"/>
      <c r="X118" s="16"/>
    </row>
    <row r="119">
      <c r="A119" s="17"/>
      <c r="B119" s="17"/>
      <c r="C119" s="17"/>
      <c r="D119" s="48"/>
      <c r="E119" s="48"/>
      <c r="F119" s="16"/>
      <c r="G119" s="16"/>
      <c r="H119" s="16"/>
      <c r="I119" s="16"/>
      <c r="J119" s="16"/>
      <c r="K119" s="16"/>
      <c r="L119" s="16"/>
      <c r="M119" s="16"/>
      <c r="N119" s="16"/>
      <c r="O119" s="16"/>
      <c r="P119" s="16"/>
      <c r="Q119" s="16"/>
      <c r="R119" s="16"/>
      <c r="S119" s="16"/>
      <c r="T119" s="16"/>
      <c r="U119" s="16"/>
      <c r="V119" s="16"/>
      <c r="W119" s="16"/>
      <c r="X119" s="16"/>
    </row>
    <row r="120">
      <c r="A120" s="17"/>
      <c r="B120" s="17"/>
      <c r="C120" s="17"/>
      <c r="D120" s="48"/>
      <c r="E120" s="48"/>
      <c r="F120" s="16"/>
      <c r="G120" s="16"/>
      <c r="H120" s="16"/>
      <c r="I120" s="16"/>
      <c r="J120" s="16"/>
      <c r="K120" s="16"/>
      <c r="L120" s="16"/>
      <c r="M120" s="16"/>
      <c r="N120" s="16"/>
      <c r="O120" s="16"/>
      <c r="P120" s="16"/>
      <c r="Q120" s="16"/>
      <c r="R120" s="16"/>
      <c r="S120" s="16"/>
      <c r="T120" s="16"/>
      <c r="U120" s="16"/>
      <c r="V120" s="16"/>
      <c r="W120" s="16"/>
      <c r="X120" s="16"/>
    </row>
    <row r="121">
      <c r="A121" s="17"/>
      <c r="B121" s="17"/>
      <c r="C121" s="17"/>
      <c r="D121" s="48"/>
      <c r="E121" s="48"/>
      <c r="F121" s="16"/>
      <c r="G121" s="16"/>
      <c r="H121" s="16"/>
      <c r="I121" s="16"/>
      <c r="J121" s="16"/>
      <c r="K121" s="16"/>
      <c r="L121" s="16"/>
      <c r="M121" s="16"/>
      <c r="N121" s="16"/>
      <c r="O121" s="16"/>
      <c r="P121" s="16"/>
      <c r="Q121" s="16"/>
      <c r="R121" s="16"/>
      <c r="S121" s="16"/>
      <c r="T121" s="16"/>
      <c r="U121" s="16"/>
      <c r="V121" s="16"/>
      <c r="W121" s="16"/>
      <c r="X121" s="16"/>
    </row>
    <row r="122">
      <c r="A122" s="17"/>
      <c r="B122" s="17"/>
      <c r="C122" s="17"/>
      <c r="D122" s="48"/>
      <c r="E122" s="48"/>
      <c r="F122" s="16"/>
      <c r="G122" s="16"/>
      <c r="H122" s="16"/>
      <c r="I122" s="16"/>
      <c r="J122" s="16"/>
      <c r="K122" s="16"/>
      <c r="L122" s="16"/>
      <c r="M122" s="16"/>
      <c r="N122" s="16"/>
      <c r="O122" s="16"/>
      <c r="P122" s="16"/>
      <c r="Q122" s="16"/>
      <c r="R122" s="16"/>
      <c r="S122" s="16"/>
      <c r="T122" s="16"/>
      <c r="U122" s="16"/>
      <c r="V122" s="16"/>
      <c r="W122" s="16"/>
      <c r="X122" s="16"/>
    </row>
    <row r="123">
      <c r="A123" s="17"/>
      <c r="B123" s="17"/>
      <c r="C123" s="17"/>
      <c r="D123" s="48"/>
      <c r="E123" s="48"/>
      <c r="F123" s="16"/>
      <c r="G123" s="16"/>
      <c r="H123" s="16"/>
      <c r="I123" s="16"/>
      <c r="J123" s="16"/>
      <c r="K123" s="16"/>
      <c r="L123" s="16"/>
      <c r="M123" s="16"/>
      <c r="N123" s="16"/>
      <c r="O123" s="16"/>
      <c r="P123" s="16"/>
      <c r="Q123" s="16"/>
      <c r="R123" s="16"/>
      <c r="S123" s="16"/>
      <c r="T123" s="16"/>
      <c r="U123" s="16"/>
      <c r="V123" s="16"/>
      <c r="W123" s="16"/>
      <c r="X123" s="16"/>
    </row>
    <row r="124">
      <c r="A124" s="17"/>
      <c r="B124" s="17"/>
      <c r="C124" s="17"/>
      <c r="D124" s="48"/>
      <c r="E124" s="48"/>
      <c r="F124" s="16"/>
      <c r="G124" s="16"/>
      <c r="H124" s="16"/>
      <c r="I124" s="16"/>
      <c r="J124" s="16"/>
      <c r="K124" s="16"/>
      <c r="L124" s="16"/>
      <c r="M124" s="16"/>
      <c r="N124" s="16"/>
      <c r="O124" s="16"/>
      <c r="P124" s="16"/>
      <c r="Q124" s="16"/>
      <c r="R124" s="16"/>
      <c r="S124" s="16"/>
      <c r="T124" s="16"/>
      <c r="U124" s="16"/>
      <c r="V124" s="16"/>
      <c r="W124" s="16"/>
      <c r="X124" s="16"/>
    </row>
    <row r="125">
      <c r="A125" s="17"/>
      <c r="B125" s="17"/>
      <c r="C125" s="17"/>
      <c r="D125" s="48"/>
      <c r="E125" s="48"/>
      <c r="F125" s="16"/>
      <c r="G125" s="16"/>
      <c r="H125" s="16"/>
      <c r="I125" s="16"/>
      <c r="J125" s="16"/>
      <c r="K125" s="16"/>
      <c r="L125" s="16"/>
      <c r="M125" s="16"/>
      <c r="N125" s="16"/>
      <c r="O125" s="16"/>
      <c r="P125" s="16"/>
      <c r="Q125" s="16"/>
      <c r="R125" s="16"/>
      <c r="S125" s="16"/>
      <c r="T125" s="16"/>
      <c r="U125" s="16"/>
      <c r="V125" s="16"/>
      <c r="W125" s="16"/>
      <c r="X125" s="16"/>
    </row>
    <row r="126">
      <c r="A126" s="17"/>
      <c r="B126" s="17"/>
      <c r="C126" s="17"/>
      <c r="D126" s="48"/>
      <c r="E126" s="48"/>
      <c r="F126" s="16"/>
      <c r="G126" s="16"/>
      <c r="H126" s="16"/>
      <c r="I126" s="16"/>
      <c r="J126" s="16"/>
      <c r="K126" s="16"/>
      <c r="L126" s="16"/>
      <c r="M126" s="16"/>
      <c r="N126" s="16"/>
      <c r="O126" s="16"/>
      <c r="P126" s="16"/>
      <c r="Q126" s="16"/>
      <c r="R126" s="16"/>
      <c r="S126" s="16"/>
      <c r="T126" s="16"/>
      <c r="U126" s="16"/>
      <c r="V126" s="16"/>
      <c r="W126" s="16"/>
      <c r="X126" s="16"/>
    </row>
    <row r="127">
      <c r="A127" s="17"/>
      <c r="B127" s="17"/>
      <c r="C127" s="17"/>
      <c r="D127" s="48"/>
      <c r="E127" s="48"/>
      <c r="F127" s="16"/>
      <c r="G127" s="16"/>
      <c r="H127" s="16"/>
      <c r="I127" s="16"/>
      <c r="J127" s="16"/>
      <c r="K127" s="16"/>
      <c r="L127" s="16"/>
      <c r="M127" s="16"/>
      <c r="N127" s="16"/>
      <c r="O127" s="16"/>
      <c r="P127" s="16"/>
      <c r="Q127" s="16"/>
      <c r="R127" s="16"/>
      <c r="S127" s="16"/>
      <c r="T127" s="16"/>
      <c r="U127" s="16"/>
      <c r="V127" s="16"/>
      <c r="W127" s="16"/>
      <c r="X127" s="16"/>
    </row>
    <row r="128">
      <c r="A128" s="17"/>
      <c r="B128" s="17"/>
      <c r="C128" s="17"/>
      <c r="D128" s="48"/>
      <c r="E128" s="48"/>
      <c r="F128" s="16"/>
      <c r="G128" s="16"/>
      <c r="H128" s="16"/>
      <c r="I128" s="16"/>
      <c r="J128" s="16"/>
      <c r="K128" s="16"/>
      <c r="L128" s="16"/>
      <c r="M128" s="16"/>
      <c r="N128" s="16"/>
      <c r="O128" s="16"/>
      <c r="P128" s="16"/>
      <c r="Q128" s="16"/>
      <c r="R128" s="16"/>
      <c r="S128" s="16"/>
      <c r="T128" s="16"/>
      <c r="U128" s="16"/>
      <c r="V128" s="16"/>
      <c r="W128" s="16"/>
      <c r="X128" s="16"/>
    </row>
    <row r="129">
      <c r="A129" s="17"/>
      <c r="B129" s="17"/>
      <c r="C129" s="17"/>
      <c r="D129" s="48"/>
      <c r="E129" s="48"/>
      <c r="F129" s="16"/>
      <c r="G129" s="16"/>
      <c r="H129" s="16"/>
      <c r="I129" s="16"/>
      <c r="J129" s="16"/>
      <c r="K129" s="16"/>
      <c r="L129" s="16"/>
      <c r="M129" s="16"/>
      <c r="N129" s="16"/>
      <c r="O129" s="16"/>
      <c r="P129" s="16"/>
      <c r="Q129" s="16"/>
      <c r="R129" s="16"/>
      <c r="S129" s="16"/>
      <c r="T129" s="16"/>
      <c r="U129" s="16"/>
      <c r="V129" s="16"/>
      <c r="W129" s="16"/>
      <c r="X129" s="16"/>
    </row>
    <row r="130">
      <c r="A130" s="17"/>
      <c r="B130" s="17"/>
      <c r="C130" s="17"/>
      <c r="D130" s="48"/>
      <c r="E130" s="48"/>
      <c r="F130" s="16"/>
      <c r="G130" s="16"/>
      <c r="H130" s="16"/>
      <c r="I130" s="16"/>
      <c r="J130" s="16"/>
      <c r="K130" s="16"/>
      <c r="L130" s="16"/>
      <c r="M130" s="16"/>
      <c r="N130" s="16"/>
      <c r="O130" s="16"/>
      <c r="P130" s="16"/>
      <c r="Q130" s="16"/>
      <c r="R130" s="16"/>
      <c r="S130" s="16"/>
      <c r="T130" s="16"/>
      <c r="U130" s="16"/>
      <c r="V130" s="16"/>
      <c r="W130" s="16"/>
      <c r="X130" s="16"/>
    </row>
    <row r="131">
      <c r="A131" s="17"/>
      <c r="B131" s="17"/>
      <c r="C131" s="17"/>
      <c r="D131" s="48"/>
      <c r="E131" s="48"/>
      <c r="F131" s="16"/>
      <c r="G131" s="16"/>
      <c r="H131" s="16"/>
      <c r="I131" s="16"/>
      <c r="J131" s="16"/>
      <c r="K131" s="16"/>
      <c r="L131" s="16"/>
      <c r="M131" s="16"/>
      <c r="N131" s="16"/>
      <c r="O131" s="16"/>
      <c r="P131" s="16"/>
      <c r="Q131" s="16"/>
      <c r="R131" s="16"/>
      <c r="S131" s="16"/>
      <c r="T131" s="16"/>
      <c r="U131" s="16"/>
      <c r="V131" s="16"/>
      <c r="W131" s="16"/>
      <c r="X131" s="16"/>
    </row>
    <row r="132">
      <c r="A132" s="17"/>
      <c r="B132" s="17"/>
      <c r="C132" s="17"/>
      <c r="D132" s="48"/>
      <c r="E132" s="48"/>
      <c r="F132" s="16"/>
      <c r="G132" s="16"/>
      <c r="H132" s="16"/>
      <c r="I132" s="16"/>
      <c r="J132" s="16"/>
      <c r="K132" s="16"/>
      <c r="L132" s="16"/>
      <c r="M132" s="16"/>
      <c r="N132" s="16"/>
      <c r="O132" s="16"/>
      <c r="P132" s="16"/>
      <c r="Q132" s="16"/>
      <c r="R132" s="16"/>
      <c r="S132" s="16"/>
      <c r="T132" s="16"/>
      <c r="U132" s="16"/>
      <c r="V132" s="16"/>
      <c r="W132" s="16"/>
      <c r="X132" s="16"/>
    </row>
    <row r="133">
      <c r="A133" s="17"/>
      <c r="B133" s="17"/>
      <c r="C133" s="17"/>
      <c r="D133" s="48"/>
      <c r="E133" s="48"/>
      <c r="F133" s="16"/>
      <c r="G133" s="16"/>
      <c r="H133" s="16"/>
      <c r="I133" s="16"/>
      <c r="J133" s="16"/>
      <c r="K133" s="16"/>
      <c r="L133" s="16"/>
      <c r="M133" s="16"/>
      <c r="N133" s="16"/>
      <c r="O133" s="16"/>
      <c r="P133" s="16"/>
      <c r="Q133" s="16"/>
      <c r="R133" s="16"/>
      <c r="S133" s="16"/>
      <c r="T133" s="16"/>
      <c r="U133" s="16"/>
      <c r="V133" s="16"/>
      <c r="W133" s="16"/>
      <c r="X133" s="16"/>
    </row>
    <row r="134">
      <c r="A134" s="17"/>
      <c r="B134" s="17"/>
      <c r="C134" s="17"/>
      <c r="D134" s="48"/>
      <c r="E134" s="48"/>
      <c r="F134" s="16"/>
      <c r="G134" s="16"/>
      <c r="H134" s="16"/>
      <c r="I134" s="16"/>
      <c r="J134" s="16"/>
      <c r="K134" s="16"/>
      <c r="L134" s="16"/>
      <c r="M134" s="16"/>
      <c r="N134" s="16"/>
      <c r="O134" s="16"/>
      <c r="P134" s="16"/>
      <c r="Q134" s="16"/>
      <c r="R134" s="16"/>
      <c r="S134" s="16"/>
      <c r="T134" s="16"/>
      <c r="U134" s="16"/>
      <c r="V134" s="16"/>
      <c r="W134" s="16"/>
      <c r="X134" s="16"/>
    </row>
    <row r="135">
      <c r="A135" s="17"/>
      <c r="B135" s="17"/>
      <c r="C135" s="17"/>
      <c r="D135" s="48"/>
      <c r="E135" s="48"/>
      <c r="F135" s="16"/>
      <c r="G135" s="16"/>
      <c r="H135" s="16"/>
      <c r="I135" s="16"/>
      <c r="J135" s="16"/>
      <c r="K135" s="16"/>
      <c r="L135" s="16"/>
      <c r="M135" s="16"/>
      <c r="N135" s="16"/>
      <c r="O135" s="16"/>
      <c r="P135" s="16"/>
      <c r="Q135" s="16"/>
      <c r="R135" s="16"/>
      <c r="S135" s="16"/>
      <c r="T135" s="16"/>
      <c r="U135" s="16"/>
      <c r="V135" s="16"/>
      <c r="W135" s="16"/>
      <c r="X135" s="16"/>
    </row>
    <row r="136">
      <c r="A136" s="17"/>
      <c r="B136" s="17"/>
      <c r="C136" s="17"/>
      <c r="D136" s="48"/>
      <c r="E136" s="48"/>
      <c r="F136" s="16"/>
      <c r="G136" s="16"/>
      <c r="H136" s="16"/>
      <c r="I136" s="16"/>
      <c r="J136" s="16"/>
      <c r="K136" s="16"/>
      <c r="L136" s="16"/>
      <c r="M136" s="16"/>
      <c r="N136" s="16"/>
      <c r="O136" s="16"/>
      <c r="P136" s="16"/>
      <c r="Q136" s="16"/>
      <c r="R136" s="16"/>
      <c r="S136" s="16"/>
      <c r="T136" s="16"/>
      <c r="U136" s="16"/>
      <c r="V136" s="16"/>
      <c r="W136" s="16"/>
      <c r="X136" s="16"/>
    </row>
    <row r="137">
      <c r="A137" s="17"/>
      <c r="B137" s="17"/>
      <c r="C137" s="17"/>
      <c r="D137" s="48"/>
      <c r="E137" s="48"/>
      <c r="F137" s="16"/>
      <c r="G137" s="16"/>
      <c r="H137" s="16"/>
      <c r="I137" s="16"/>
      <c r="J137" s="16"/>
      <c r="K137" s="16"/>
      <c r="L137" s="16"/>
      <c r="M137" s="16"/>
      <c r="N137" s="16"/>
      <c r="O137" s="16"/>
      <c r="P137" s="16"/>
      <c r="Q137" s="16"/>
      <c r="R137" s="16"/>
      <c r="S137" s="16"/>
      <c r="T137" s="16"/>
      <c r="U137" s="16"/>
      <c r="V137" s="16"/>
      <c r="W137" s="16"/>
      <c r="X137" s="16"/>
    </row>
    <row r="138">
      <c r="A138" s="17"/>
      <c r="B138" s="17"/>
      <c r="C138" s="17"/>
      <c r="D138" s="48"/>
      <c r="E138" s="48"/>
      <c r="F138" s="16"/>
      <c r="G138" s="16"/>
      <c r="H138" s="16"/>
      <c r="I138" s="16"/>
      <c r="J138" s="16"/>
      <c r="K138" s="16"/>
      <c r="L138" s="16"/>
      <c r="M138" s="16"/>
      <c r="N138" s="16"/>
      <c r="O138" s="16"/>
      <c r="P138" s="16"/>
      <c r="Q138" s="16"/>
      <c r="R138" s="16"/>
      <c r="S138" s="16"/>
      <c r="T138" s="16"/>
      <c r="U138" s="16"/>
      <c r="V138" s="16"/>
      <c r="W138" s="16"/>
      <c r="X138" s="16"/>
    </row>
    <row r="139">
      <c r="A139" s="17"/>
      <c r="B139" s="17"/>
      <c r="C139" s="17"/>
      <c r="D139" s="48"/>
      <c r="E139" s="48"/>
      <c r="F139" s="16"/>
      <c r="G139" s="16"/>
      <c r="H139" s="16"/>
      <c r="I139" s="16"/>
      <c r="J139" s="16"/>
      <c r="K139" s="16"/>
      <c r="L139" s="16"/>
      <c r="M139" s="16"/>
      <c r="N139" s="16"/>
      <c r="O139" s="16"/>
      <c r="P139" s="16"/>
      <c r="Q139" s="16"/>
      <c r="R139" s="16"/>
      <c r="S139" s="16"/>
      <c r="T139" s="16"/>
      <c r="U139" s="16"/>
      <c r="V139" s="16"/>
      <c r="W139" s="16"/>
      <c r="X139" s="16"/>
    </row>
    <row r="140">
      <c r="A140" s="17"/>
      <c r="B140" s="17"/>
      <c r="C140" s="17"/>
      <c r="D140" s="48"/>
      <c r="E140" s="48"/>
      <c r="F140" s="16"/>
      <c r="G140" s="16"/>
      <c r="H140" s="16"/>
      <c r="I140" s="16"/>
      <c r="J140" s="16"/>
      <c r="K140" s="16"/>
      <c r="L140" s="16"/>
      <c r="M140" s="16"/>
      <c r="N140" s="16"/>
      <c r="O140" s="16"/>
      <c r="P140" s="16"/>
      <c r="Q140" s="16"/>
      <c r="R140" s="16"/>
      <c r="S140" s="16"/>
      <c r="T140" s="16"/>
      <c r="U140" s="16"/>
      <c r="V140" s="16"/>
      <c r="W140" s="16"/>
      <c r="X140" s="16"/>
    </row>
    <row r="141">
      <c r="A141" s="17"/>
      <c r="B141" s="17"/>
      <c r="C141" s="17"/>
      <c r="D141" s="48"/>
      <c r="E141" s="48"/>
      <c r="F141" s="16"/>
      <c r="G141" s="16"/>
      <c r="H141" s="16"/>
      <c r="I141" s="16"/>
      <c r="J141" s="16"/>
      <c r="K141" s="16"/>
      <c r="L141" s="16"/>
      <c r="M141" s="16"/>
      <c r="N141" s="16"/>
      <c r="O141" s="16"/>
      <c r="P141" s="16"/>
      <c r="Q141" s="16"/>
      <c r="R141" s="16"/>
      <c r="S141" s="16"/>
      <c r="T141" s="16"/>
      <c r="U141" s="16"/>
      <c r="V141" s="16"/>
      <c r="W141" s="16"/>
      <c r="X141" s="16"/>
    </row>
    <row r="142">
      <c r="A142" s="17"/>
      <c r="B142" s="17"/>
      <c r="C142" s="17"/>
      <c r="D142" s="48"/>
      <c r="E142" s="48"/>
      <c r="F142" s="16"/>
      <c r="G142" s="16"/>
      <c r="H142" s="16"/>
      <c r="I142" s="16"/>
      <c r="J142" s="16"/>
      <c r="K142" s="16"/>
      <c r="L142" s="16"/>
      <c r="M142" s="16"/>
      <c r="N142" s="16"/>
      <c r="O142" s="16"/>
      <c r="P142" s="16"/>
      <c r="Q142" s="16"/>
      <c r="R142" s="16"/>
      <c r="S142" s="16"/>
      <c r="T142" s="16"/>
      <c r="U142" s="16"/>
      <c r="V142" s="16"/>
      <c r="W142" s="16"/>
      <c r="X142" s="16"/>
    </row>
    <row r="143">
      <c r="A143" s="17"/>
      <c r="B143" s="17"/>
      <c r="C143" s="17"/>
      <c r="D143" s="48"/>
      <c r="E143" s="48"/>
      <c r="F143" s="16"/>
      <c r="G143" s="16"/>
      <c r="H143" s="16"/>
      <c r="I143" s="16"/>
      <c r="J143" s="16"/>
      <c r="K143" s="16"/>
      <c r="L143" s="16"/>
      <c r="M143" s="16"/>
      <c r="N143" s="16"/>
      <c r="O143" s="16"/>
      <c r="P143" s="16"/>
      <c r="Q143" s="16"/>
      <c r="R143" s="16"/>
      <c r="S143" s="16"/>
      <c r="T143" s="16"/>
      <c r="U143" s="16"/>
      <c r="V143" s="16"/>
      <c r="W143" s="16"/>
      <c r="X143" s="16"/>
    </row>
    <row r="144">
      <c r="A144" s="17"/>
      <c r="B144" s="17"/>
      <c r="C144" s="17"/>
      <c r="D144" s="48"/>
      <c r="E144" s="48"/>
      <c r="F144" s="16"/>
      <c r="G144" s="16"/>
      <c r="H144" s="16"/>
      <c r="I144" s="16"/>
      <c r="J144" s="16"/>
      <c r="K144" s="16"/>
      <c r="L144" s="16"/>
      <c r="M144" s="16"/>
      <c r="N144" s="16"/>
      <c r="O144" s="16"/>
      <c r="P144" s="16"/>
      <c r="Q144" s="16"/>
      <c r="R144" s="16"/>
      <c r="S144" s="16"/>
      <c r="T144" s="16"/>
      <c r="U144" s="16"/>
      <c r="V144" s="16"/>
      <c r="W144" s="16"/>
      <c r="X144" s="16"/>
    </row>
    <row r="145">
      <c r="A145" s="17"/>
      <c r="B145" s="17"/>
      <c r="C145" s="17"/>
      <c r="D145" s="48"/>
      <c r="E145" s="48"/>
      <c r="F145" s="16"/>
      <c r="G145" s="16"/>
      <c r="H145" s="16"/>
      <c r="I145" s="16"/>
      <c r="J145" s="16"/>
      <c r="K145" s="16"/>
      <c r="L145" s="16"/>
      <c r="M145" s="16"/>
      <c r="N145" s="16"/>
      <c r="O145" s="16"/>
      <c r="P145" s="16"/>
      <c r="Q145" s="16"/>
      <c r="R145" s="16"/>
      <c r="S145" s="16"/>
      <c r="T145" s="16"/>
      <c r="U145" s="16"/>
      <c r="V145" s="16"/>
      <c r="W145" s="16"/>
      <c r="X145" s="16"/>
    </row>
    <row r="146">
      <c r="A146" s="17"/>
      <c r="B146" s="17"/>
      <c r="C146" s="17"/>
      <c r="D146" s="48"/>
      <c r="E146" s="48"/>
      <c r="F146" s="16"/>
      <c r="G146" s="16"/>
      <c r="H146" s="16"/>
      <c r="I146" s="16"/>
      <c r="J146" s="16"/>
      <c r="K146" s="16"/>
      <c r="L146" s="16"/>
      <c r="M146" s="16"/>
      <c r="N146" s="16"/>
      <c r="O146" s="16"/>
      <c r="P146" s="16"/>
      <c r="Q146" s="16"/>
      <c r="R146" s="16"/>
      <c r="S146" s="16"/>
      <c r="T146" s="16"/>
      <c r="U146" s="16"/>
      <c r="V146" s="16"/>
      <c r="W146" s="16"/>
      <c r="X146" s="16"/>
    </row>
    <row r="147">
      <c r="A147" s="17"/>
      <c r="B147" s="17"/>
      <c r="C147" s="17"/>
      <c r="D147" s="48"/>
      <c r="E147" s="48"/>
      <c r="F147" s="16"/>
      <c r="G147" s="16"/>
      <c r="H147" s="16"/>
      <c r="I147" s="16"/>
      <c r="J147" s="16"/>
      <c r="K147" s="16"/>
      <c r="L147" s="16"/>
      <c r="M147" s="16"/>
      <c r="N147" s="16"/>
      <c r="O147" s="16"/>
      <c r="P147" s="16"/>
      <c r="Q147" s="16"/>
      <c r="R147" s="16"/>
      <c r="S147" s="16"/>
      <c r="T147" s="16"/>
      <c r="U147" s="16"/>
      <c r="V147" s="16"/>
      <c r="W147" s="16"/>
      <c r="X147" s="16"/>
    </row>
    <row r="148">
      <c r="A148" s="17"/>
      <c r="B148" s="17"/>
      <c r="C148" s="17"/>
      <c r="D148" s="48"/>
      <c r="E148" s="48"/>
      <c r="F148" s="16"/>
      <c r="G148" s="16"/>
      <c r="H148" s="16"/>
      <c r="I148" s="16"/>
      <c r="J148" s="16"/>
      <c r="K148" s="16"/>
      <c r="L148" s="16"/>
      <c r="M148" s="16"/>
      <c r="N148" s="16"/>
      <c r="O148" s="16"/>
      <c r="P148" s="16"/>
      <c r="Q148" s="16"/>
      <c r="R148" s="16"/>
      <c r="S148" s="16"/>
      <c r="T148" s="16"/>
      <c r="U148" s="16"/>
      <c r="V148" s="16"/>
      <c r="W148" s="16"/>
      <c r="X148" s="16"/>
    </row>
    <row r="149">
      <c r="A149" s="17"/>
      <c r="B149" s="17"/>
      <c r="C149" s="17"/>
      <c r="D149" s="48"/>
      <c r="E149" s="48"/>
      <c r="F149" s="16"/>
      <c r="G149" s="16"/>
      <c r="H149" s="16"/>
      <c r="I149" s="16"/>
      <c r="J149" s="16"/>
      <c r="K149" s="16"/>
      <c r="L149" s="16"/>
      <c r="M149" s="16"/>
      <c r="N149" s="16"/>
      <c r="O149" s="16"/>
      <c r="P149" s="16"/>
      <c r="Q149" s="16"/>
      <c r="R149" s="16"/>
      <c r="S149" s="16"/>
      <c r="T149" s="16"/>
      <c r="U149" s="16"/>
      <c r="V149" s="16"/>
      <c r="W149" s="16"/>
      <c r="X149" s="16"/>
    </row>
    <row r="150">
      <c r="A150" s="17"/>
      <c r="B150" s="17"/>
      <c r="C150" s="17"/>
      <c r="D150" s="48"/>
      <c r="E150" s="48"/>
      <c r="F150" s="16"/>
      <c r="G150" s="16"/>
      <c r="H150" s="16"/>
      <c r="I150" s="16"/>
      <c r="J150" s="16"/>
      <c r="K150" s="16"/>
      <c r="L150" s="16"/>
      <c r="M150" s="16"/>
      <c r="N150" s="16"/>
      <c r="O150" s="16"/>
      <c r="P150" s="16"/>
      <c r="Q150" s="16"/>
      <c r="R150" s="16"/>
      <c r="S150" s="16"/>
      <c r="T150" s="16"/>
      <c r="U150" s="16"/>
      <c r="V150" s="16"/>
      <c r="W150" s="16"/>
      <c r="X150" s="16"/>
    </row>
    <row r="151">
      <c r="A151" s="17"/>
      <c r="B151" s="17"/>
      <c r="C151" s="17"/>
      <c r="D151" s="48"/>
      <c r="E151" s="48"/>
      <c r="F151" s="16"/>
      <c r="G151" s="16"/>
      <c r="H151" s="16"/>
      <c r="I151" s="16"/>
      <c r="J151" s="16"/>
      <c r="K151" s="16"/>
      <c r="L151" s="16"/>
      <c r="M151" s="16"/>
      <c r="N151" s="16"/>
      <c r="O151" s="16"/>
      <c r="P151" s="16"/>
      <c r="Q151" s="16"/>
      <c r="R151" s="16"/>
      <c r="S151" s="16"/>
      <c r="T151" s="16"/>
      <c r="U151" s="16"/>
      <c r="V151" s="16"/>
      <c r="W151" s="16"/>
      <c r="X151" s="16"/>
    </row>
    <row r="152">
      <c r="A152" s="17"/>
      <c r="B152" s="17"/>
      <c r="C152" s="17"/>
      <c r="D152" s="48"/>
      <c r="E152" s="48"/>
      <c r="F152" s="16"/>
      <c r="G152" s="16"/>
      <c r="H152" s="16"/>
      <c r="I152" s="16"/>
      <c r="J152" s="16"/>
      <c r="K152" s="16"/>
      <c r="L152" s="16"/>
      <c r="M152" s="16"/>
      <c r="N152" s="16"/>
      <c r="O152" s="16"/>
      <c r="P152" s="16"/>
      <c r="Q152" s="16"/>
      <c r="R152" s="16"/>
      <c r="S152" s="16"/>
      <c r="T152" s="16"/>
      <c r="U152" s="16"/>
      <c r="V152" s="16"/>
      <c r="W152" s="16"/>
      <c r="X152" s="16"/>
    </row>
    <row r="153">
      <c r="A153" s="17"/>
      <c r="B153" s="17"/>
      <c r="C153" s="17"/>
      <c r="D153" s="48"/>
      <c r="E153" s="48"/>
      <c r="F153" s="16"/>
      <c r="G153" s="16"/>
      <c r="H153" s="16"/>
      <c r="I153" s="16"/>
      <c r="J153" s="16"/>
      <c r="K153" s="16"/>
      <c r="L153" s="16"/>
      <c r="M153" s="16"/>
      <c r="N153" s="16"/>
      <c r="O153" s="16"/>
      <c r="P153" s="16"/>
      <c r="Q153" s="16"/>
      <c r="R153" s="16"/>
      <c r="S153" s="16"/>
      <c r="T153" s="16"/>
      <c r="U153" s="16"/>
      <c r="V153" s="16"/>
      <c r="W153" s="16"/>
      <c r="X153" s="16"/>
    </row>
    <row r="154">
      <c r="A154" s="17"/>
      <c r="B154" s="17"/>
      <c r="C154" s="17"/>
      <c r="D154" s="48"/>
      <c r="E154" s="48"/>
      <c r="F154" s="16"/>
      <c r="G154" s="16"/>
      <c r="H154" s="16"/>
      <c r="I154" s="16"/>
      <c r="J154" s="16"/>
      <c r="K154" s="16"/>
      <c r="L154" s="16"/>
      <c r="M154" s="16"/>
      <c r="N154" s="16"/>
      <c r="O154" s="16"/>
      <c r="P154" s="16"/>
      <c r="Q154" s="16"/>
      <c r="R154" s="16"/>
      <c r="S154" s="16"/>
      <c r="T154" s="16"/>
      <c r="U154" s="16"/>
      <c r="V154" s="16"/>
      <c r="W154" s="16"/>
      <c r="X154" s="16"/>
    </row>
    <row r="155">
      <c r="A155" s="17"/>
      <c r="B155" s="17"/>
      <c r="C155" s="17"/>
      <c r="D155" s="48"/>
      <c r="E155" s="48"/>
      <c r="F155" s="16"/>
      <c r="G155" s="16"/>
      <c r="H155" s="16"/>
      <c r="I155" s="16"/>
      <c r="J155" s="16"/>
      <c r="K155" s="16"/>
      <c r="L155" s="16"/>
      <c r="M155" s="16"/>
      <c r="N155" s="16"/>
      <c r="O155" s="16"/>
      <c r="P155" s="16"/>
      <c r="Q155" s="16"/>
      <c r="R155" s="16"/>
      <c r="S155" s="16"/>
      <c r="T155" s="16"/>
      <c r="U155" s="16"/>
      <c r="V155" s="16"/>
      <c r="W155" s="16"/>
      <c r="X155" s="16"/>
    </row>
    <row r="156">
      <c r="A156" s="17"/>
      <c r="B156" s="17"/>
      <c r="C156" s="17"/>
      <c r="D156" s="48"/>
      <c r="E156" s="48"/>
      <c r="F156" s="16"/>
      <c r="G156" s="16"/>
      <c r="H156" s="16"/>
      <c r="I156" s="16"/>
      <c r="J156" s="16"/>
      <c r="K156" s="16"/>
      <c r="L156" s="16"/>
      <c r="M156" s="16"/>
      <c r="N156" s="16"/>
      <c r="O156" s="16"/>
      <c r="P156" s="16"/>
      <c r="Q156" s="16"/>
      <c r="R156" s="16"/>
      <c r="S156" s="16"/>
      <c r="T156" s="16"/>
      <c r="U156" s="16"/>
      <c r="V156" s="16"/>
      <c r="W156" s="16"/>
      <c r="X156" s="16"/>
    </row>
    <row r="157">
      <c r="A157" s="17"/>
      <c r="B157" s="17"/>
      <c r="C157" s="17"/>
      <c r="D157" s="48"/>
      <c r="E157" s="48"/>
      <c r="F157" s="16"/>
      <c r="G157" s="16"/>
      <c r="H157" s="16"/>
      <c r="I157" s="16"/>
      <c r="J157" s="16"/>
      <c r="K157" s="16"/>
      <c r="L157" s="16"/>
      <c r="M157" s="16"/>
      <c r="N157" s="16"/>
      <c r="O157" s="16"/>
      <c r="P157" s="16"/>
      <c r="Q157" s="16"/>
      <c r="R157" s="16"/>
      <c r="S157" s="16"/>
      <c r="T157" s="16"/>
      <c r="U157" s="16"/>
      <c r="V157" s="16"/>
      <c r="W157" s="16"/>
      <c r="X157" s="16"/>
    </row>
    <row r="158">
      <c r="A158" s="17"/>
      <c r="B158" s="17"/>
      <c r="C158" s="17"/>
      <c r="D158" s="48"/>
      <c r="E158" s="48"/>
      <c r="F158" s="16"/>
      <c r="G158" s="16"/>
      <c r="H158" s="16"/>
      <c r="I158" s="16"/>
      <c r="J158" s="16"/>
      <c r="K158" s="16"/>
      <c r="L158" s="16"/>
      <c r="M158" s="16"/>
      <c r="N158" s="16"/>
      <c r="O158" s="16"/>
      <c r="P158" s="16"/>
      <c r="Q158" s="16"/>
      <c r="R158" s="16"/>
      <c r="S158" s="16"/>
      <c r="T158" s="16"/>
      <c r="U158" s="16"/>
      <c r="V158" s="16"/>
      <c r="W158" s="16"/>
      <c r="X158" s="16"/>
    </row>
    <row r="159">
      <c r="A159" s="17"/>
      <c r="B159" s="17"/>
      <c r="C159" s="17"/>
      <c r="D159" s="48"/>
      <c r="E159" s="48"/>
      <c r="F159" s="16"/>
      <c r="G159" s="16"/>
      <c r="H159" s="16"/>
      <c r="I159" s="16"/>
      <c r="J159" s="16"/>
      <c r="K159" s="16"/>
      <c r="L159" s="16"/>
      <c r="M159" s="16"/>
      <c r="N159" s="16"/>
      <c r="O159" s="16"/>
      <c r="P159" s="16"/>
      <c r="Q159" s="16"/>
      <c r="R159" s="16"/>
      <c r="S159" s="16"/>
      <c r="T159" s="16"/>
      <c r="U159" s="16"/>
      <c r="V159" s="16"/>
      <c r="W159" s="16"/>
      <c r="X159" s="16"/>
    </row>
    <row r="160">
      <c r="A160" s="17"/>
      <c r="B160" s="17"/>
      <c r="C160" s="17"/>
      <c r="D160" s="48"/>
      <c r="E160" s="48"/>
      <c r="F160" s="16"/>
      <c r="G160" s="16"/>
      <c r="H160" s="16"/>
      <c r="I160" s="16"/>
      <c r="J160" s="16"/>
      <c r="K160" s="16"/>
      <c r="L160" s="16"/>
      <c r="M160" s="16"/>
      <c r="N160" s="16"/>
      <c r="O160" s="16"/>
      <c r="P160" s="16"/>
      <c r="Q160" s="16"/>
      <c r="R160" s="16"/>
      <c r="S160" s="16"/>
      <c r="T160" s="16"/>
      <c r="U160" s="16"/>
      <c r="V160" s="16"/>
      <c r="W160" s="16"/>
      <c r="X160" s="16"/>
    </row>
    <row r="161">
      <c r="A161" s="17"/>
      <c r="B161" s="17"/>
      <c r="C161" s="17"/>
      <c r="D161" s="48"/>
      <c r="E161" s="48"/>
      <c r="F161" s="16"/>
      <c r="G161" s="16"/>
      <c r="H161" s="16"/>
      <c r="I161" s="16"/>
      <c r="J161" s="16"/>
      <c r="K161" s="16"/>
      <c r="L161" s="16"/>
      <c r="M161" s="16"/>
      <c r="N161" s="16"/>
      <c r="O161" s="16"/>
      <c r="P161" s="16"/>
      <c r="Q161" s="16"/>
      <c r="R161" s="16"/>
      <c r="S161" s="16"/>
      <c r="T161" s="16"/>
      <c r="U161" s="16"/>
      <c r="V161" s="16"/>
      <c r="W161" s="16"/>
      <c r="X161" s="16"/>
    </row>
    <row r="162">
      <c r="A162" s="17"/>
      <c r="B162" s="17"/>
      <c r="C162" s="17"/>
      <c r="D162" s="48"/>
      <c r="E162" s="48"/>
      <c r="F162" s="16"/>
      <c r="G162" s="16"/>
      <c r="H162" s="16"/>
      <c r="I162" s="16"/>
      <c r="J162" s="16"/>
      <c r="K162" s="16"/>
      <c r="L162" s="16"/>
      <c r="M162" s="16"/>
      <c r="N162" s="16"/>
      <c r="O162" s="16"/>
      <c r="P162" s="16"/>
      <c r="Q162" s="16"/>
      <c r="R162" s="16"/>
      <c r="S162" s="16"/>
      <c r="T162" s="16"/>
      <c r="U162" s="16"/>
      <c r="V162" s="16"/>
      <c r="W162" s="16"/>
      <c r="X162" s="16"/>
    </row>
    <row r="163">
      <c r="A163" s="17"/>
      <c r="B163" s="17"/>
      <c r="C163" s="17"/>
      <c r="D163" s="48"/>
      <c r="E163" s="48"/>
      <c r="F163" s="16"/>
      <c r="G163" s="16"/>
      <c r="H163" s="16"/>
      <c r="I163" s="16"/>
      <c r="J163" s="16"/>
      <c r="K163" s="16"/>
      <c r="L163" s="16"/>
      <c r="M163" s="16"/>
      <c r="N163" s="16"/>
      <c r="O163" s="16"/>
      <c r="P163" s="16"/>
      <c r="Q163" s="16"/>
      <c r="R163" s="16"/>
      <c r="S163" s="16"/>
      <c r="T163" s="16"/>
      <c r="U163" s="16"/>
      <c r="V163" s="16"/>
      <c r="W163" s="16"/>
      <c r="X163" s="16"/>
    </row>
    <row r="164">
      <c r="A164" s="17"/>
      <c r="B164" s="17"/>
      <c r="C164" s="17"/>
      <c r="D164" s="48"/>
      <c r="E164" s="48"/>
      <c r="F164" s="16"/>
      <c r="G164" s="16"/>
      <c r="H164" s="16"/>
      <c r="I164" s="16"/>
      <c r="J164" s="16"/>
      <c r="K164" s="16"/>
      <c r="L164" s="16"/>
      <c r="M164" s="16"/>
      <c r="N164" s="16"/>
      <c r="O164" s="16"/>
      <c r="P164" s="16"/>
      <c r="Q164" s="16"/>
      <c r="R164" s="16"/>
      <c r="S164" s="16"/>
      <c r="T164" s="16"/>
      <c r="U164" s="16"/>
      <c r="V164" s="16"/>
      <c r="W164" s="16"/>
      <c r="X164" s="16"/>
    </row>
    <row r="165">
      <c r="A165" s="17"/>
      <c r="B165" s="17"/>
      <c r="C165" s="17"/>
      <c r="D165" s="48"/>
      <c r="E165" s="48"/>
      <c r="F165" s="16"/>
      <c r="G165" s="16"/>
      <c r="H165" s="16"/>
      <c r="I165" s="16"/>
      <c r="J165" s="16"/>
      <c r="K165" s="16"/>
      <c r="L165" s="16"/>
      <c r="M165" s="16"/>
      <c r="N165" s="16"/>
      <c r="O165" s="16"/>
      <c r="P165" s="16"/>
      <c r="Q165" s="16"/>
      <c r="R165" s="16"/>
      <c r="S165" s="16"/>
      <c r="T165" s="16"/>
      <c r="U165" s="16"/>
      <c r="V165" s="16"/>
      <c r="W165" s="16"/>
      <c r="X165" s="16"/>
    </row>
    <row r="166">
      <c r="A166" s="17"/>
      <c r="B166" s="17"/>
      <c r="C166" s="17"/>
      <c r="D166" s="48"/>
      <c r="E166" s="48"/>
      <c r="F166" s="16"/>
      <c r="G166" s="16"/>
      <c r="H166" s="16"/>
      <c r="I166" s="16"/>
      <c r="J166" s="16"/>
      <c r="K166" s="16"/>
      <c r="L166" s="16"/>
      <c r="M166" s="16"/>
      <c r="N166" s="16"/>
      <c r="O166" s="16"/>
      <c r="P166" s="16"/>
      <c r="Q166" s="16"/>
      <c r="R166" s="16"/>
      <c r="S166" s="16"/>
      <c r="T166" s="16"/>
      <c r="U166" s="16"/>
      <c r="V166" s="16"/>
      <c r="W166" s="16"/>
      <c r="X166" s="16"/>
    </row>
    <row r="167">
      <c r="A167" s="17"/>
      <c r="B167" s="17"/>
      <c r="C167" s="17"/>
      <c r="D167" s="48"/>
      <c r="E167" s="48"/>
      <c r="F167" s="16"/>
      <c r="G167" s="16"/>
      <c r="H167" s="16"/>
      <c r="I167" s="16"/>
      <c r="J167" s="16"/>
      <c r="K167" s="16"/>
      <c r="L167" s="16"/>
      <c r="M167" s="16"/>
      <c r="N167" s="16"/>
      <c r="O167" s="16"/>
      <c r="P167" s="16"/>
      <c r="Q167" s="16"/>
      <c r="R167" s="16"/>
      <c r="S167" s="16"/>
      <c r="T167" s="16"/>
      <c r="U167" s="16"/>
      <c r="V167" s="16"/>
      <c r="W167" s="16"/>
      <c r="X167" s="16"/>
    </row>
    <row r="168">
      <c r="A168" s="17"/>
      <c r="B168" s="17"/>
      <c r="C168" s="17"/>
      <c r="D168" s="48"/>
      <c r="E168" s="48"/>
      <c r="F168" s="16"/>
      <c r="G168" s="16"/>
      <c r="H168" s="16"/>
      <c r="I168" s="16"/>
      <c r="J168" s="16"/>
      <c r="K168" s="16"/>
      <c r="L168" s="16"/>
      <c r="M168" s="16"/>
      <c r="N168" s="16"/>
      <c r="O168" s="16"/>
      <c r="P168" s="16"/>
      <c r="Q168" s="16"/>
      <c r="R168" s="16"/>
      <c r="S168" s="16"/>
      <c r="T168" s="16"/>
      <c r="U168" s="16"/>
      <c r="V168" s="16"/>
      <c r="W168" s="16"/>
      <c r="X168" s="16"/>
    </row>
    <row r="169">
      <c r="A169" s="17"/>
      <c r="B169" s="17"/>
      <c r="C169" s="17"/>
      <c r="D169" s="48"/>
      <c r="E169" s="48"/>
      <c r="F169" s="16"/>
      <c r="G169" s="16"/>
      <c r="H169" s="16"/>
      <c r="I169" s="16"/>
      <c r="J169" s="16"/>
      <c r="K169" s="16"/>
      <c r="L169" s="16"/>
      <c r="M169" s="16"/>
      <c r="N169" s="16"/>
      <c r="O169" s="16"/>
      <c r="P169" s="16"/>
      <c r="Q169" s="16"/>
      <c r="R169" s="16"/>
      <c r="S169" s="16"/>
      <c r="T169" s="16"/>
      <c r="U169" s="16"/>
      <c r="V169" s="16"/>
      <c r="W169" s="16"/>
      <c r="X169" s="16"/>
    </row>
    <row r="170">
      <c r="A170" s="17"/>
      <c r="B170" s="17"/>
      <c r="C170" s="17"/>
      <c r="D170" s="48"/>
      <c r="E170" s="48"/>
      <c r="F170" s="16"/>
      <c r="G170" s="16"/>
      <c r="H170" s="16"/>
      <c r="I170" s="16"/>
      <c r="J170" s="16"/>
      <c r="K170" s="16"/>
      <c r="L170" s="16"/>
      <c r="M170" s="16"/>
      <c r="N170" s="16"/>
      <c r="O170" s="16"/>
      <c r="P170" s="16"/>
      <c r="Q170" s="16"/>
      <c r="R170" s="16"/>
      <c r="S170" s="16"/>
      <c r="T170" s="16"/>
      <c r="U170" s="16"/>
      <c r="V170" s="16"/>
      <c r="W170" s="16"/>
      <c r="X170" s="16"/>
    </row>
    <row r="171">
      <c r="A171" s="17"/>
      <c r="B171" s="17"/>
      <c r="C171" s="17"/>
      <c r="D171" s="48"/>
      <c r="E171" s="48"/>
      <c r="F171" s="16"/>
      <c r="G171" s="16"/>
      <c r="H171" s="16"/>
      <c r="I171" s="16"/>
      <c r="J171" s="16"/>
      <c r="K171" s="16"/>
      <c r="L171" s="16"/>
      <c r="M171" s="16"/>
      <c r="N171" s="16"/>
      <c r="O171" s="16"/>
      <c r="P171" s="16"/>
      <c r="Q171" s="16"/>
      <c r="R171" s="16"/>
      <c r="S171" s="16"/>
      <c r="T171" s="16"/>
      <c r="U171" s="16"/>
      <c r="V171" s="16"/>
      <c r="W171" s="16"/>
      <c r="X171" s="16"/>
    </row>
    <row r="172">
      <c r="A172" s="17"/>
      <c r="B172" s="17"/>
      <c r="C172" s="17"/>
      <c r="D172" s="48"/>
      <c r="E172" s="48"/>
      <c r="F172" s="16"/>
      <c r="G172" s="16"/>
      <c r="H172" s="16"/>
      <c r="I172" s="16"/>
      <c r="J172" s="16"/>
      <c r="K172" s="16"/>
      <c r="L172" s="16"/>
      <c r="M172" s="16"/>
      <c r="N172" s="16"/>
      <c r="O172" s="16"/>
      <c r="P172" s="16"/>
      <c r="Q172" s="16"/>
      <c r="R172" s="16"/>
      <c r="S172" s="16"/>
      <c r="T172" s="16"/>
      <c r="U172" s="16"/>
      <c r="V172" s="16"/>
      <c r="W172" s="16"/>
      <c r="X172" s="16"/>
    </row>
    <row r="173">
      <c r="A173" s="17"/>
      <c r="B173" s="17"/>
      <c r="C173" s="17"/>
      <c r="D173" s="48"/>
      <c r="E173" s="48"/>
      <c r="F173" s="16"/>
      <c r="G173" s="16"/>
      <c r="H173" s="16"/>
      <c r="I173" s="16"/>
      <c r="J173" s="16"/>
      <c r="K173" s="16"/>
      <c r="L173" s="16"/>
      <c r="M173" s="16"/>
      <c r="N173" s="16"/>
      <c r="O173" s="16"/>
      <c r="P173" s="16"/>
      <c r="Q173" s="16"/>
      <c r="R173" s="16"/>
      <c r="S173" s="16"/>
      <c r="T173" s="16"/>
      <c r="U173" s="16"/>
      <c r="V173" s="16"/>
      <c r="W173" s="16"/>
      <c r="X173" s="16"/>
    </row>
    <row r="174">
      <c r="A174" s="17"/>
      <c r="B174" s="17"/>
      <c r="C174" s="17"/>
      <c r="D174" s="48"/>
      <c r="E174" s="48"/>
      <c r="F174" s="16"/>
      <c r="G174" s="16"/>
      <c r="H174" s="16"/>
      <c r="I174" s="16"/>
      <c r="J174" s="16"/>
      <c r="K174" s="16"/>
      <c r="L174" s="16"/>
      <c r="M174" s="16"/>
      <c r="N174" s="16"/>
      <c r="O174" s="16"/>
      <c r="P174" s="16"/>
      <c r="Q174" s="16"/>
      <c r="R174" s="16"/>
      <c r="S174" s="16"/>
      <c r="T174" s="16"/>
      <c r="U174" s="16"/>
      <c r="V174" s="16"/>
      <c r="W174" s="16"/>
      <c r="X174" s="16"/>
    </row>
    <row r="175">
      <c r="A175" s="17"/>
      <c r="B175" s="17"/>
      <c r="C175" s="17"/>
      <c r="D175" s="48"/>
      <c r="E175" s="48"/>
      <c r="F175" s="16"/>
      <c r="G175" s="16"/>
      <c r="H175" s="16"/>
      <c r="I175" s="16"/>
      <c r="J175" s="16"/>
      <c r="K175" s="16"/>
      <c r="L175" s="16"/>
      <c r="M175" s="16"/>
      <c r="N175" s="16"/>
      <c r="O175" s="16"/>
      <c r="P175" s="16"/>
      <c r="Q175" s="16"/>
      <c r="R175" s="16"/>
      <c r="S175" s="16"/>
      <c r="T175" s="16"/>
      <c r="U175" s="16"/>
      <c r="V175" s="16"/>
      <c r="W175" s="16"/>
      <c r="X175" s="16"/>
    </row>
    <row r="176">
      <c r="A176" s="17"/>
      <c r="B176" s="17"/>
      <c r="C176" s="17"/>
      <c r="D176" s="48"/>
      <c r="E176" s="48"/>
      <c r="F176" s="16"/>
      <c r="G176" s="16"/>
      <c r="H176" s="16"/>
      <c r="I176" s="16"/>
      <c r="J176" s="16"/>
      <c r="K176" s="16"/>
      <c r="L176" s="16"/>
      <c r="M176" s="16"/>
      <c r="N176" s="16"/>
      <c r="O176" s="16"/>
      <c r="P176" s="16"/>
      <c r="Q176" s="16"/>
      <c r="R176" s="16"/>
      <c r="S176" s="16"/>
      <c r="T176" s="16"/>
      <c r="U176" s="16"/>
      <c r="V176" s="16"/>
      <c r="W176" s="16"/>
      <c r="X176" s="16"/>
    </row>
    <row r="177">
      <c r="A177" s="17"/>
      <c r="B177" s="17"/>
      <c r="C177" s="17"/>
      <c r="D177" s="48"/>
      <c r="E177" s="48"/>
      <c r="F177" s="16"/>
      <c r="G177" s="16"/>
      <c r="H177" s="16"/>
      <c r="I177" s="16"/>
      <c r="J177" s="16"/>
      <c r="K177" s="16"/>
      <c r="L177" s="16"/>
      <c r="M177" s="16"/>
      <c r="N177" s="16"/>
      <c r="O177" s="16"/>
      <c r="P177" s="16"/>
      <c r="Q177" s="16"/>
      <c r="R177" s="16"/>
      <c r="S177" s="16"/>
      <c r="T177" s="16"/>
      <c r="U177" s="16"/>
      <c r="V177" s="16"/>
      <c r="W177" s="16"/>
      <c r="X177" s="16"/>
    </row>
    <row r="178">
      <c r="A178" s="17"/>
      <c r="B178" s="17"/>
      <c r="C178" s="17"/>
      <c r="D178" s="48"/>
      <c r="E178" s="48"/>
      <c r="F178" s="16"/>
      <c r="G178" s="16"/>
      <c r="H178" s="16"/>
      <c r="I178" s="16"/>
      <c r="J178" s="16"/>
      <c r="K178" s="16"/>
      <c r="L178" s="16"/>
      <c r="M178" s="16"/>
      <c r="N178" s="16"/>
      <c r="O178" s="16"/>
      <c r="P178" s="16"/>
      <c r="Q178" s="16"/>
      <c r="R178" s="16"/>
      <c r="S178" s="16"/>
      <c r="T178" s="16"/>
      <c r="U178" s="16"/>
      <c r="V178" s="16"/>
      <c r="W178" s="16"/>
      <c r="X178" s="16"/>
    </row>
    <row r="179">
      <c r="A179" s="17"/>
      <c r="B179" s="17"/>
      <c r="C179" s="17"/>
      <c r="D179" s="48"/>
      <c r="E179" s="48"/>
      <c r="F179" s="16"/>
      <c r="G179" s="16"/>
      <c r="H179" s="16"/>
      <c r="I179" s="16"/>
      <c r="J179" s="16"/>
      <c r="K179" s="16"/>
      <c r="L179" s="16"/>
      <c r="M179" s="16"/>
      <c r="N179" s="16"/>
      <c r="O179" s="16"/>
      <c r="P179" s="16"/>
      <c r="Q179" s="16"/>
      <c r="R179" s="16"/>
      <c r="S179" s="16"/>
      <c r="T179" s="16"/>
      <c r="U179" s="16"/>
      <c r="V179" s="16"/>
      <c r="W179" s="16"/>
      <c r="X179" s="16"/>
    </row>
    <row r="180">
      <c r="A180" s="17"/>
      <c r="B180" s="17"/>
      <c r="C180" s="17"/>
      <c r="D180" s="48"/>
      <c r="E180" s="48"/>
      <c r="F180" s="16"/>
      <c r="G180" s="16"/>
      <c r="H180" s="16"/>
      <c r="I180" s="16"/>
      <c r="J180" s="16"/>
      <c r="K180" s="16"/>
      <c r="L180" s="16"/>
      <c r="M180" s="16"/>
      <c r="N180" s="16"/>
      <c r="O180" s="16"/>
      <c r="P180" s="16"/>
      <c r="Q180" s="16"/>
      <c r="R180" s="16"/>
      <c r="S180" s="16"/>
      <c r="T180" s="16"/>
      <c r="U180" s="16"/>
      <c r="V180" s="16"/>
      <c r="W180" s="16"/>
      <c r="X180" s="16"/>
    </row>
    <row r="181">
      <c r="A181" s="17"/>
      <c r="B181" s="17"/>
      <c r="C181" s="17"/>
      <c r="D181" s="48"/>
      <c r="E181" s="48"/>
      <c r="F181" s="16"/>
      <c r="G181" s="16"/>
      <c r="H181" s="16"/>
      <c r="I181" s="16"/>
      <c r="J181" s="16"/>
      <c r="K181" s="16"/>
      <c r="L181" s="16"/>
      <c r="M181" s="16"/>
      <c r="N181" s="16"/>
      <c r="O181" s="16"/>
      <c r="P181" s="16"/>
      <c r="Q181" s="16"/>
      <c r="R181" s="16"/>
      <c r="S181" s="16"/>
      <c r="T181" s="16"/>
      <c r="U181" s="16"/>
      <c r="V181" s="16"/>
      <c r="W181" s="16"/>
      <c r="X181" s="16"/>
    </row>
    <row r="182">
      <c r="A182" s="17"/>
      <c r="B182" s="17"/>
      <c r="C182" s="17"/>
      <c r="D182" s="48"/>
      <c r="E182" s="48"/>
      <c r="F182" s="16"/>
      <c r="G182" s="16"/>
      <c r="H182" s="16"/>
      <c r="I182" s="16"/>
      <c r="J182" s="16"/>
      <c r="K182" s="16"/>
      <c r="L182" s="16"/>
      <c r="M182" s="16"/>
      <c r="N182" s="16"/>
      <c r="O182" s="16"/>
      <c r="P182" s="16"/>
      <c r="Q182" s="16"/>
      <c r="R182" s="16"/>
      <c r="S182" s="16"/>
      <c r="T182" s="16"/>
      <c r="U182" s="16"/>
      <c r="V182" s="16"/>
      <c r="W182" s="16"/>
      <c r="X182" s="16"/>
    </row>
    <row r="183">
      <c r="A183" s="17"/>
      <c r="B183" s="17"/>
      <c r="C183" s="17"/>
      <c r="D183" s="48"/>
      <c r="E183" s="48"/>
      <c r="F183" s="16"/>
      <c r="G183" s="16"/>
      <c r="H183" s="16"/>
      <c r="I183" s="16"/>
      <c r="J183" s="16"/>
      <c r="K183" s="16"/>
      <c r="L183" s="16"/>
      <c r="M183" s="16"/>
      <c r="N183" s="16"/>
      <c r="O183" s="16"/>
      <c r="P183" s="16"/>
      <c r="Q183" s="16"/>
      <c r="R183" s="16"/>
      <c r="S183" s="16"/>
      <c r="T183" s="16"/>
      <c r="U183" s="16"/>
      <c r="V183" s="16"/>
      <c r="W183" s="16"/>
      <c r="X183" s="16"/>
    </row>
    <row r="184">
      <c r="A184" s="17"/>
      <c r="B184" s="17"/>
      <c r="C184" s="17"/>
      <c r="D184" s="48"/>
      <c r="E184" s="48"/>
      <c r="F184" s="16"/>
      <c r="G184" s="16"/>
      <c r="H184" s="16"/>
      <c r="I184" s="16"/>
      <c r="J184" s="16"/>
      <c r="K184" s="16"/>
      <c r="L184" s="16"/>
      <c r="M184" s="16"/>
      <c r="N184" s="16"/>
      <c r="O184" s="16"/>
      <c r="P184" s="16"/>
      <c r="Q184" s="16"/>
      <c r="R184" s="16"/>
      <c r="S184" s="16"/>
      <c r="T184" s="16"/>
      <c r="U184" s="16"/>
      <c r="V184" s="16"/>
      <c r="W184" s="16"/>
      <c r="X184" s="16"/>
    </row>
    <row r="185">
      <c r="A185" s="17"/>
      <c r="B185" s="17"/>
      <c r="C185" s="17"/>
      <c r="D185" s="48"/>
      <c r="E185" s="48"/>
      <c r="F185" s="16"/>
      <c r="G185" s="16"/>
      <c r="H185" s="16"/>
      <c r="I185" s="16"/>
      <c r="J185" s="16"/>
      <c r="K185" s="16"/>
      <c r="L185" s="16"/>
      <c r="M185" s="16"/>
      <c r="N185" s="16"/>
      <c r="O185" s="16"/>
      <c r="P185" s="16"/>
      <c r="Q185" s="16"/>
      <c r="R185" s="16"/>
      <c r="S185" s="16"/>
      <c r="T185" s="16"/>
      <c r="U185" s="16"/>
      <c r="V185" s="16"/>
      <c r="W185" s="16"/>
      <c r="X185" s="16"/>
    </row>
    <row r="186">
      <c r="A186" s="17"/>
      <c r="B186" s="17"/>
      <c r="C186" s="17"/>
      <c r="D186" s="48"/>
      <c r="E186" s="48"/>
      <c r="F186" s="16"/>
      <c r="G186" s="16"/>
      <c r="H186" s="16"/>
      <c r="I186" s="16"/>
      <c r="J186" s="16"/>
      <c r="K186" s="16"/>
      <c r="L186" s="16"/>
      <c r="M186" s="16"/>
      <c r="N186" s="16"/>
      <c r="O186" s="16"/>
      <c r="P186" s="16"/>
      <c r="Q186" s="16"/>
      <c r="R186" s="16"/>
      <c r="S186" s="16"/>
      <c r="T186" s="16"/>
      <c r="U186" s="16"/>
      <c r="V186" s="16"/>
      <c r="W186" s="16"/>
      <c r="X186" s="16"/>
    </row>
    <row r="187">
      <c r="A187" s="17"/>
      <c r="B187" s="17"/>
      <c r="C187" s="17"/>
      <c r="D187" s="48"/>
      <c r="E187" s="48"/>
      <c r="F187" s="16"/>
      <c r="G187" s="16"/>
      <c r="H187" s="16"/>
      <c r="I187" s="16"/>
      <c r="J187" s="16"/>
      <c r="K187" s="16"/>
      <c r="L187" s="16"/>
      <c r="M187" s="16"/>
      <c r="N187" s="16"/>
      <c r="O187" s="16"/>
      <c r="P187" s="16"/>
      <c r="Q187" s="16"/>
      <c r="R187" s="16"/>
      <c r="S187" s="16"/>
      <c r="T187" s="16"/>
      <c r="U187" s="16"/>
      <c r="V187" s="16"/>
      <c r="W187" s="16"/>
      <c r="X187" s="16"/>
    </row>
    <row r="188">
      <c r="A188" s="17"/>
      <c r="B188" s="17"/>
      <c r="C188" s="17"/>
      <c r="D188" s="48"/>
      <c r="E188" s="48"/>
      <c r="F188" s="16"/>
      <c r="G188" s="16"/>
      <c r="H188" s="16"/>
      <c r="I188" s="16"/>
      <c r="J188" s="16"/>
      <c r="K188" s="16"/>
      <c r="L188" s="16"/>
      <c r="M188" s="16"/>
      <c r="N188" s="16"/>
      <c r="O188" s="16"/>
      <c r="P188" s="16"/>
      <c r="Q188" s="16"/>
      <c r="R188" s="16"/>
      <c r="S188" s="16"/>
      <c r="T188" s="16"/>
      <c r="U188" s="16"/>
      <c r="V188" s="16"/>
      <c r="W188" s="16"/>
      <c r="X188" s="16"/>
    </row>
    <row r="189">
      <c r="A189" s="17"/>
      <c r="B189" s="17"/>
      <c r="C189" s="17"/>
      <c r="D189" s="48"/>
      <c r="E189" s="48"/>
      <c r="F189" s="16"/>
      <c r="G189" s="16"/>
      <c r="H189" s="16"/>
      <c r="I189" s="16"/>
      <c r="J189" s="16"/>
      <c r="K189" s="16"/>
      <c r="L189" s="16"/>
      <c r="M189" s="16"/>
      <c r="N189" s="16"/>
      <c r="O189" s="16"/>
      <c r="P189" s="16"/>
      <c r="Q189" s="16"/>
      <c r="R189" s="16"/>
      <c r="S189" s="16"/>
      <c r="T189" s="16"/>
      <c r="U189" s="16"/>
      <c r="V189" s="16"/>
      <c r="W189" s="16"/>
      <c r="X189" s="16"/>
    </row>
    <row r="190">
      <c r="A190" s="17"/>
      <c r="B190" s="17"/>
      <c r="C190" s="17"/>
      <c r="D190" s="48"/>
      <c r="E190" s="48"/>
      <c r="F190" s="16"/>
      <c r="G190" s="16"/>
      <c r="H190" s="16"/>
      <c r="I190" s="16"/>
      <c r="J190" s="16"/>
      <c r="K190" s="16"/>
      <c r="L190" s="16"/>
      <c r="M190" s="16"/>
      <c r="N190" s="16"/>
      <c r="O190" s="16"/>
      <c r="P190" s="16"/>
      <c r="Q190" s="16"/>
      <c r="R190" s="16"/>
      <c r="S190" s="16"/>
      <c r="T190" s="16"/>
      <c r="U190" s="16"/>
      <c r="V190" s="16"/>
      <c r="W190" s="16"/>
      <c r="X190" s="16"/>
    </row>
    <row r="191">
      <c r="A191" s="17"/>
      <c r="B191" s="17"/>
      <c r="C191" s="17"/>
      <c r="D191" s="48"/>
      <c r="E191" s="48"/>
      <c r="F191" s="16"/>
      <c r="G191" s="16"/>
      <c r="H191" s="16"/>
      <c r="I191" s="16"/>
      <c r="J191" s="16"/>
      <c r="K191" s="16"/>
      <c r="L191" s="16"/>
      <c r="M191" s="16"/>
      <c r="N191" s="16"/>
      <c r="O191" s="16"/>
      <c r="P191" s="16"/>
      <c r="Q191" s="16"/>
      <c r="R191" s="16"/>
      <c r="S191" s="16"/>
      <c r="T191" s="16"/>
      <c r="U191" s="16"/>
      <c r="V191" s="16"/>
      <c r="W191" s="16"/>
      <c r="X191" s="16"/>
    </row>
    <row r="192">
      <c r="A192" s="17"/>
      <c r="B192" s="17"/>
      <c r="C192" s="17"/>
      <c r="D192" s="48"/>
      <c r="E192" s="48"/>
      <c r="F192" s="16"/>
      <c r="G192" s="16"/>
      <c r="H192" s="16"/>
      <c r="I192" s="16"/>
      <c r="J192" s="16"/>
      <c r="K192" s="16"/>
      <c r="L192" s="16"/>
      <c r="M192" s="16"/>
      <c r="N192" s="16"/>
      <c r="O192" s="16"/>
      <c r="P192" s="16"/>
      <c r="Q192" s="16"/>
      <c r="R192" s="16"/>
      <c r="S192" s="16"/>
      <c r="T192" s="16"/>
      <c r="U192" s="16"/>
      <c r="V192" s="16"/>
      <c r="W192" s="16"/>
      <c r="X192" s="16"/>
    </row>
    <row r="193">
      <c r="A193" s="17"/>
      <c r="B193" s="17"/>
      <c r="C193" s="17"/>
      <c r="D193" s="48"/>
      <c r="E193" s="48"/>
      <c r="F193" s="16"/>
      <c r="G193" s="16"/>
      <c r="H193" s="16"/>
      <c r="I193" s="16"/>
      <c r="J193" s="16"/>
      <c r="K193" s="16"/>
      <c r="L193" s="16"/>
      <c r="M193" s="16"/>
      <c r="N193" s="16"/>
      <c r="O193" s="16"/>
      <c r="P193" s="16"/>
      <c r="Q193" s="16"/>
      <c r="R193" s="16"/>
      <c r="S193" s="16"/>
      <c r="T193" s="16"/>
      <c r="U193" s="16"/>
      <c r="V193" s="16"/>
      <c r="W193" s="16"/>
      <c r="X193" s="16"/>
    </row>
    <row r="194">
      <c r="A194" s="17"/>
      <c r="B194" s="17"/>
      <c r="C194" s="17"/>
      <c r="D194" s="48"/>
      <c r="E194" s="48"/>
      <c r="F194" s="16"/>
      <c r="G194" s="16"/>
      <c r="H194" s="16"/>
      <c r="I194" s="16"/>
      <c r="J194" s="16"/>
      <c r="K194" s="16"/>
      <c r="L194" s="16"/>
      <c r="M194" s="16"/>
      <c r="N194" s="16"/>
      <c r="O194" s="16"/>
      <c r="P194" s="16"/>
      <c r="Q194" s="16"/>
      <c r="R194" s="16"/>
      <c r="S194" s="16"/>
      <c r="T194" s="16"/>
      <c r="U194" s="16"/>
      <c r="V194" s="16"/>
      <c r="W194" s="16"/>
      <c r="X194" s="16"/>
    </row>
    <row r="195">
      <c r="A195" s="17"/>
      <c r="B195" s="17"/>
      <c r="C195" s="17"/>
      <c r="D195" s="48"/>
      <c r="E195" s="48"/>
      <c r="F195" s="16"/>
      <c r="G195" s="16"/>
      <c r="H195" s="16"/>
      <c r="I195" s="16"/>
      <c r="J195" s="16"/>
      <c r="K195" s="16"/>
      <c r="L195" s="16"/>
      <c r="M195" s="16"/>
      <c r="N195" s="16"/>
      <c r="O195" s="16"/>
      <c r="P195" s="16"/>
      <c r="Q195" s="16"/>
      <c r="R195" s="16"/>
      <c r="S195" s="16"/>
      <c r="T195" s="16"/>
      <c r="U195" s="16"/>
      <c r="V195" s="16"/>
      <c r="W195" s="16"/>
      <c r="X195" s="16"/>
    </row>
    <row r="196">
      <c r="A196" s="17"/>
      <c r="B196" s="17"/>
      <c r="C196" s="17"/>
      <c r="D196" s="48"/>
      <c r="E196" s="48"/>
      <c r="F196" s="16"/>
      <c r="G196" s="16"/>
      <c r="H196" s="16"/>
      <c r="I196" s="16"/>
      <c r="J196" s="16"/>
      <c r="K196" s="16"/>
      <c r="L196" s="16"/>
      <c r="M196" s="16"/>
      <c r="N196" s="16"/>
      <c r="O196" s="16"/>
      <c r="P196" s="16"/>
      <c r="Q196" s="16"/>
      <c r="R196" s="16"/>
      <c r="S196" s="16"/>
      <c r="T196" s="16"/>
      <c r="U196" s="16"/>
      <c r="V196" s="16"/>
      <c r="W196" s="16"/>
      <c r="X196" s="16"/>
    </row>
    <row r="197">
      <c r="A197" s="17"/>
      <c r="B197" s="17"/>
      <c r="C197" s="17"/>
      <c r="D197" s="48"/>
      <c r="E197" s="48"/>
      <c r="F197" s="16"/>
      <c r="G197" s="16"/>
      <c r="H197" s="16"/>
      <c r="I197" s="16"/>
      <c r="J197" s="16"/>
      <c r="K197" s="16"/>
      <c r="L197" s="16"/>
      <c r="M197" s="16"/>
      <c r="N197" s="16"/>
      <c r="O197" s="16"/>
      <c r="P197" s="16"/>
      <c r="Q197" s="16"/>
      <c r="R197" s="16"/>
      <c r="S197" s="16"/>
      <c r="T197" s="16"/>
      <c r="U197" s="16"/>
      <c r="V197" s="16"/>
      <c r="W197" s="16"/>
      <c r="X197" s="16"/>
    </row>
    <row r="198">
      <c r="A198" s="17"/>
      <c r="B198" s="17"/>
      <c r="C198" s="17"/>
      <c r="D198" s="48"/>
      <c r="E198" s="48"/>
      <c r="F198" s="16"/>
      <c r="G198" s="16"/>
      <c r="H198" s="16"/>
      <c r="I198" s="16"/>
      <c r="J198" s="16"/>
      <c r="K198" s="16"/>
      <c r="L198" s="16"/>
      <c r="M198" s="16"/>
      <c r="N198" s="16"/>
      <c r="O198" s="16"/>
      <c r="P198" s="16"/>
      <c r="Q198" s="16"/>
      <c r="R198" s="16"/>
      <c r="S198" s="16"/>
      <c r="T198" s="16"/>
      <c r="U198" s="16"/>
      <c r="V198" s="16"/>
      <c r="W198" s="16"/>
      <c r="X198" s="16"/>
    </row>
    <row r="199">
      <c r="A199" s="17"/>
      <c r="B199" s="17"/>
      <c r="C199" s="17"/>
      <c r="D199" s="48"/>
      <c r="E199" s="48"/>
      <c r="F199" s="16"/>
      <c r="G199" s="16"/>
      <c r="H199" s="16"/>
      <c r="I199" s="16"/>
      <c r="J199" s="16"/>
      <c r="K199" s="16"/>
      <c r="L199" s="16"/>
      <c r="M199" s="16"/>
      <c r="N199" s="16"/>
      <c r="O199" s="16"/>
      <c r="P199" s="16"/>
      <c r="Q199" s="16"/>
      <c r="R199" s="16"/>
      <c r="S199" s="16"/>
      <c r="T199" s="16"/>
      <c r="U199" s="16"/>
      <c r="V199" s="16"/>
      <c r="W199" s="16"/>
      <c r="X199" s="16"/>
    </row>
    <row r="200">
      <c r="A200" s="17"/>
      <c r="B200" s="17"/>
      <c r="C200" s="17"/>
      <c r="D200" s="48"/>
      <c r="E200" s="48"/>
      <c r="F200" s="16"/>
      <c r="G200" s="16"/>
      <c r="H200" s="16"/>
      <c r="I200" s="16"/>
      <c r="J200" s="16"/>
      <c r="K200" s="16"/>
      <c r="L200" s="16"/>
      <c r="M200" s="16"/>
      <c r="N200" s="16"/>
      <c r="O200" s="16"/>
      <c r="P200" s="16"/>
      <c r="Q200" s="16"/>
      <c r="R200" s="16"/>
      <c r="S200" s="16"/>
      <c r="T200" s="16"/>
      <c r="U200" s="16"/>
      <c r="V200" s="16"/>
      <c r="W200" s="16"/>
      <c r="X200" s="16"/>
    </row>
    <row r="201">
      <c r="A201" s="17"/>
      <c r="B201" s="17"/>
      <c r="C201" s="17"/>
      <c r="D201" s="48"/>
      <c r="E201" s="48"/>
      <c r="F201" s="16"/>
      <c r="G201" s="16"/>
      <c r="H201" s="16"/>
      <c r="I201" s="16"/>
      <c r="J201" s="16"/>
      <c r="K201" s="16"/>
      <c r="L201" s="16"/>
      <c r="M201" s="16"/>
      <c r="N201" s="16"/>
      <c r="O201" s="16"/>
      <c r="P201" s="16"/>
      <c r="Q201" s="16"/>
      <c r="R201" s="16"/>
      <c r="S201" s="16"/>
      <c r="T201" s="16"/>
      <c r="U201" s="16"/>
      <c r="V201" s="16"/>
      <c r="W201" s="16"/>
      <c r="X201" s="16"/>
    </row>
    <row r="202">
      <c r="A202" s="17"/>
      <c r="B202" s="17"/>
      <c r="C202" s="17"/>
      <c r="D202" s="48"/>
      <c r="E202" s="48"/>
      <c r="F202" s="16"/>
      <c r="G202" s="16"/>
      <c r="H202" s="16"/>
      <c r="I202" s="16"/>
      <c r="J202" s="16"/>
      <c r="K202" s="16"/>
      <c r="L202" s="16"/>
      <c r="M202" s="16"/>
      <c r="N202" s="16"/>
      <c r="O202" s="16"/>
      <c r="P202" s="16"/>
      <c r="Q202" s="16"/>
      <c r="R202" s="16"/>
      <c r="S202" s="16"/>
      <c r="T202" s="16"/>
      <c r="U202" s="16"/>
      <c r="V202" s="16"/>
      <c r="W202" s="16"/>
      <c r="X202" s="16"/>
    </row>
    <row r="203">
      <c r="A203" s="17"/>
      <c r="B203" s="17"/>
      <c r="C203" s="17"/>
      <c r="D203" s="48"/>
      <c r="E203" s="48"/>
      <c r="F203" s="16"/>
      <c r="G203" s="16"/>
      <c r="H203" s="16"/>
      <c r="I203" s="16"/>
      <c r="J203" s="16"/>
      <c r="K203" s="16"/>
      <c r="L203" s="16"/>
      <c r="M203" s="16"/>
      <c r="N203" s="16"/>
      <c r="O203" s="16"/>
      <c r="P203" s="16"/>
      <c r="Q203" s="16"/>
      <c r="R203" s="16"/>
      <c r="S203" s="16"/>
      <c r="T203" s="16"/>
      <c r="U203" s="16"/>
      <c r="V203" s="16"/>
      <c r="W203" s="16"/>
      <c r="X203" s="16"/>
    </row>
    <row r="204">
      <c r="A204" s="17"/>
      <c r="B204" s="17"/>
      <c r="C204" s="17"/>
      <c r="D204" s="48"/>
      <c r="E204" s="48"/>
      <c r="F204" s="16"/>
      <c r="G204" s="16"/>
      <c r="H204" s="16"/>
      <c r="I204" s="16"/>
      <c r="J204" s="16"/>
      <c r="K204" s="16"/>
      <c r="L204" s="16"/>
      <c r="M204" s="16"/>
      <c r="N204" s="16"/>
      <c r="O204" s="16"/>
      <c r="P204" s="16"/>
      <c r="Q204" s="16"/>
      <c r="R204" s="16"/>
      <c r="S204" s="16"/>
      <c r="T204" s="16"/>
      <c r="U204" s="16"/>
      <c r="V204" s="16"/>
      <c r="W204" s="16"/>
      <c r="X204" s="16"/>
    </row>
    <row r="205">
      <c r="A205" s="17"/>
      <c r="B205" s="17"/>
      <c r="C205" s="17"/>
      <c r="D205" s="48"/>
      <c r="E205" s="48"/>
      <c r="F205" s="16"/>
      <c r="G205" s="16"/>
      <c r="H205" s="16"/>
      <c r="I205" s="16"/>
      <c r="J205" s="16"/>
      <c r="K205" s="16"/>
      <c r="L205" s="16"/>
      <c r="M205" s="16"/>
      <c r="N205" s="16"/>
      <c r="O205" s="16"/>
      <c r="P205" s="16"/>
      <c r="Q205" s="16"/>
      <c r="R205" s="16"/>
      <c r="S205" s="16"/>
      <c r="T205" s="16"/>
      <c r="U205" s="16"/>
      <c r="V205" s="16"/>
      <c r="W205" s="16"/>
      <c r="X205" s="16"/>
    </row>
    <row r="206">
      <c r="A206" s="17"/>
      <c r="B206" s="17"/>
      <c r="C206" s="17"/>
      <c r="D206" s="48"/>
      <c r="E206" s="48"/>
      <c r="F206" s="16"/>
      <c r="G206" s="16"/>
      <c r="H206" s="16"/>
      <c r="I206" s="16"/>
      <c r="J206" s="16"/>
      <c r="K206" s="16"/>
      <c r="L206" s="16"/>
      <c r="M206" s="16"/>
      <c r="N206" s="16"/>
      <c r="O206" s="16"/>
      <c r="P206" s="16"/>
      <c r="Q206" s="16"/>
      <c r="R206" s="16"/>
      <c r="S206" s="16"/>
      <c r="T206" s="16"/>
      <c r="U206" s="16"/>
      <c r="V206" s="16"/>
      <c r="W206" s="16"/>
      <c r="X206" s="16"/>
    </row>
    <row r="207">
      <c r="A207" s="17"/>
      <c r="B207" s="17"/>
      <c r="C207" s="17"/>
      <c r="D207" s="48"/>
      <c r="E207" s="48"/>
      <c r="F207" s="16"/>
      <c r="G207" s="16"/>
      <c r="H207" s="16"/>
      <c r="I207" s="16"/>
      <c r="J207" s="16"/>
      <c r="K207" s="16"/>
      <c r="L207" s="16"/>
      <c r="M207" s="16"/>
      <c r="N207" s="16"/>
      <c r="O207" s="16"/>
      <c r="P207" s="16"/>
      <c r="Q207" s="16"/>
      <c r="R207" s="16"/>
      <c r="S207" s="16"/>
      <c r="T207" s="16"/>
      <c r="U207" s="16"/>
      <c r="V207" s="16"/>
      <c r="W207" s="16"/>
      <c r="X207" s="16"/>
    </row>
    <row r="208">
      <c r="A208" s="17"/>
      <c r="B208" s="17"/>
      <c r="C208" s="17"/>
      <c r="D208" s="48"/>
      <c r="E208" s="48"/>
      <c r="F208" s="16"/>
      <c r="G208" s="16"/>
      <c r="H208" s="16"/>
      <c r="I208" s="16"/>
      <c r="J208" s="16"/>
      <c r="K208" s="16"/>
      <c r="L208" s="16"/>
      <c r="M208" s="16"/>
      <c r="N208" s="16"/>
      <c r="O208" s="16"/>
      <c r="P208" s="16"/>
      <c r="Q208" s="16"/>
      <c r="R208" s="16"/>
      <c r="S208" s="16"/>
      <c r="T208" s="16"/>
      <c r="U208" s="16"/>
      <c r="V208" s="16"/>
      <c r="W208" s="16"/>
      <c r="X208" s="16"/>
    </row>
    <row r="209">
      <c r="A209" s="17"/>
      <c r="B209" s="17"/>
      <c r="C209" s="17"/>
      <c r="D209" s="48"/>
      <c r="E209" s="48"/>
      <c r="F209" s="16"/>
      <c r="G209" s="16"/>
      <c r="H209" s="16"/>
      <c r="I209" s="16"/>
      <c r="J209" s="16"/>
      <c r="K209" s="16"/>
      <c r="L209" s="16"/>
      <c r="M209" s="16"/>
      <c r="N209" s="16"/>
      <c r="O209" s="16"/>
      <c r="P209" s="16"/>
      <c r="Q209" s="16"/>
      <c r="R209" s="16"/>
      <c r="S209" s="16"/>
      <c r="T209" s="16"/>
      <c r="U209" s="16"/>
      <c r="V209" s="16"/>
      <c r="W209" s="16"/>
      <c r="X209" s="16"/>
    </row>
    <row r="210">
      <c r="A210" s="17"/>
      <c r="B210" s="17"/>
      <c r="C210" s="17"/>
      <c r="D210" s="48"/>
      <c r="E210" s="48"/>
      <c r="F210" s="16"/>
      <c r="G210" s="16"/>
      <c r="H210" s="16"/>
      <c r="I210" s="16"/>
      <c r="J210" s="16"/>
      <c r="K210" s="16"/>
      <c r="L210" s="16"/>
      <c r="M210" s="16"/>
      <c r="N210" s="16"/>
      <c r="O210" s="16"/>
      <c r="P210" s="16"/>
      <c r="Q210" s="16"/>
      <c r="R210" s="16"/>
      <c r="S210" s="16"/>
      <c r="T210" s="16"/>
      <c r="U210" s="16"/>
      <c r="V210" s="16"/>
      <c r="W210" s="16"/>
      <c r="X210" s="16"/>
    </row>
    <row r="211">
      <c r="A211" s="17"/>
      <c r="B211" s="17"/>
      <c r="C211" s="17"/>
      <c r="D211" s="48"/>
      <c r="E211" s="48"/>
      <c r="F211" s="16"/>
      <c r="G211" s="16"/>
      <c r="H211" s="16"/>
      <c r="I211" s="16"/>
      <c r="J211" s="16"/>
      <c r="K211" s="16"/>
      <c r="L211" s="16"/>
      <c r="M211" s="16"/>
      <c r="N211" s="16"/>
      <c r="O211" s="16"/>
      <c r="P211" s="16"/>
      <c r="Q211" s="16"/>
      <c r="R211" s="16"/>
      <c r="S211" s="16"/>
      <c r="T211" s="16"/>
      <c r="U211" s="16"/>
      <c r="V211" s="16"/>
      <c r="W211" s="16"/>
      <c r="X211" s="16"/>
    </row>
    <row r="212">
      <c r="A212" s="17"/>
      <c r="B212" s="17"/>
      <c r="C212" s="17"/>
      <c r="D212" s="48"/>
      <c r="E212" s="48"/>
      <c r="F212" s="16"/>
      <c r="G212" s="16"/>
      <c r="H212" s="16"/>
      <c r="I212" s="16"/>
      <c r="J212" s="16"/>
      <c r="K212" s="16"/>
      <c r="L212" s="16"/>
      <c r="M212" s="16"/>
      <c r="N212" s="16"/>
      <c r="O212" s="16"/>
      <c r="P212" s="16"/>
      <c r="Q212" s="16"/>
      <c r="R212" s="16"/>
      <c r="S212" s="16"/>
      <c r="T212" s="16"/>
      <c r="U212" s="16"/>
      <c r="V212" s="16"/>
      <c r="W212" s="16"/>
      <c r="X212" s="16"/>
    </row>
    <row r="213">
      <c r="A213" s="17"/>
      <c r="B213" s="17"/>
      <c r="C213" s="17"/>
      <c r="D213" s="48"/>
      <c r="E213" s="48"/>
      <c r="F213" s="16"/>
      <c r="G213" s="16"/>
      <c r="H213" s="16"/>
      <c r="I213" s="16"/>
      <c r="J213" s="16"/>
      <c r="K213" s="16"/>
      <c r="L213" s="16"/>
      <c r="M213" s="16"/>
      <c r="N213" s="16"/>
      <c r="O213" s="16"/>
      <c r="P213" s="16"/>
      <c r="Q213" s="16"/>
      <c r="R213" s="16"/>
      <c r="S213" s="16"/>
      <c r="T213" s="16"/>
      <c r="U213" s="16"/>
      <c r="V213" s="16"/>
      <c r="W213" s="16"/>
      <c r="X213" s="16"/>
    </row>
    <row r="214">
      <c r="A214" s="17"/>
      <c r="B214" s="17"/>
      <c r="C214" s="17"/>
      <c r="D214" s="48"/>
      <c r="E214" s="48"/>
      <c r="F214" s="16"/>
      <c r="G214" s="16"/>
      <c r="H214" s="16"/>
      <c r="I214" s="16"/>
      <c r="J214" s="16"/>
      <c r="K214" s="16"/>
      <c r="L214" s="16"/>
      <c r="M214" s="16"/>
      <c r="N214" s="16"/>
      <c r="O214" s="16"/>
      <c r="P214" s="16"/>
      <c r="Q214" s="16"/>
      <c r="R214" s="16"/>
      <c r="S214" s="16"/>
      <c r="T214" s="16"/>
      <c r="U214" s="16"/>
      <c r="V214" s="16"/>
      <c r="W214" s="16"/>
      <c r="X214" s="16"/>
    </row>
    <row r="215">
      <c r="A215" s="17"/>
      <c r="B215" s="17"/>
      <c r="C215" s="17"/>
      <c r="D215" s="48"/>
      <c r="E215" s="48"/>
      <c r="F215" s="16"/>
      <c r="G215" s="16"/>
      <c r="H215" s="16"/>
      <c r="I215" s="16"/>
      <c r="J215" s="16"/>
      <c r="K215" s="16"/>
      <c r="L215" s="16"/>
      <c r="M215" s="16"/>
      <c r="N215" s="16"/>
      <c r="O215" s="16"/>
      <c r="P215" s="16"/>
      <c r="Q215" s="16"/>
      <c r="R215" s="16"/>
      <c r="S215" s="16"/>
      <c r="T215" s="16"/>
      <c r="U215" s="16"/>
      <c r="V215" s="16"/>
      <c r="W215" s="16"/>
      <c r="X215" s="16"/>
    </row>
    <row r="216">
      <c r="A216" s="17"/>
      <c r="B216" s="17"/>
      <c r="C216" s="17"/>
      <c r="D216" s="48"/>
      <c r="E216" s="48"/>
      <c r="F216" s="16"/>
      <c r="G216" s="16"/>
      <c r="H216" s="16"/>
      <c r="I216" s="16"/>
      <c r="J216" s="16"/>
      <c r="K216" s="16"/>
      <c r="L216" s="16"/>
      <c r="M216" s="16"/>
      <c r="N216" s="16"/>
      <c r="O216" s="16"/>
      <c r="P216" s="16"/>
      <c r="Q216" s="16"/>
      <c r="R216" s="16"/>
      <c r="S216" s="16"/>
      <c r="T216" s="16"/>
      <c r="U216" s="16"/>
      <c r="V216" s="16"/>
      <c r="W216" s="16"/>
      <c r="X216" s="16"/>
    </row>
    <row r="217">
      <c r="A217" s="17"/>
      <c r="B217" s="17"/>
      <c r="C217" s="17"/>
      <c r="D217" s="48"/>
      <c r="E217" s="48"/>
      <c r="F217" s="16"/>
      <c r="G217" s="16"/>
      <c r="H217" s="16"/>
      <c r="I217" s="16"/>
      <c r="J217" s="16"/>
      <c r="K217" s="16"/>
      <c r="L217" s="16"/>
      <c r="M217" s="16"/>
      <c r="N217" s="16"/>
      <c r="O217" s="16"/>
      <c r="P217" s="16"/>
      <c r="Q217" s="16"/>
      <c r="R217" s="16"/>
      <c r="S217" s="16"/>
      <c r="T217" s="16"/>
      <c r="U217" s="16"/>
      <c r="V217" s="16"/>
      <c r="W217" s="16"/>
      <c r="X217" s="16"/>
    </row>
    <row r="218">
      <c r="A218" s="17"/>
      <c r="B218" s="17"/>
      <c r="C218" s="17"/>
      <c r="D218" s="48"/>
      <c r="E218" s="48"/>
      <c r="F218" s="16"/>
      <c r="G218" s="16"/>
      <c r="H218" s="16"/>
      <c r="I218" s="16"/>
      <c r="J218" s="16"/>
      <c r="K218" s="16"/>
      <c r="L218" s="16"/>
      <c r="M218" s="16"/>
      <c r="N218" s="16"/>
      <c r="O218" s="16"/>
      <c r="P218" s="16"/>
      <c r="Q218" s="16"/>
      <c r="R218" s="16"/>
      <c r="S218" s="16"/>
      <c r="T218" s="16"/>
      <c r="U218" s="16"/>
      <c r="V218" s="16"/>
      <c r="W218" s="16"/>
      <c r="X218" s="16"/>
    </row>
    <row r="219">
      <c r="A219" s="17"/>
      <c r="B219" s="17"/>
      <c r="C219" s="17"/>
      <c r="D219" s="48"/>
      <c r="E219" s="48"/>
      <c r="F219" s="16"/>
      <c r="G219" s="16"/>
      <c r="H219" s="16"/>
      <c r="I219" s="16"/>
      <c r="J219" s="16"/>
      <c r="K219" s="16"/>
      <c r="L219" s="16"/>
      <c r="M219" s="16"/>
      <c r="N219" s="16"/>
      <c r="O219" s="16"/>
      <c r="P219" s="16"/>
      <c r="Q219" s="16"/>
      <c r="R219" s="16"/>
      <c r="S219" s="16"/>
      <c r="T219" s="16"/>
      <c r="U219" s="16"/>
      <c r="V219" s="16"/>
      <c r="W219" s="16"/>
      <c r="X219" s="16"/>
    </row>
    <row r="220">
      <c r="A220" s="17"/>
      <c r="B220" s="17"/>
      <c r="C220" s="17"/>
      <c r="D220" s="48"/>
      <c r="E220" s="48"/>
      <c r="F220" s="16"/>
      <c r="G220" s="16"/>
      <c r="H220" s="16"/>
      <c r="I220" s="16"/>
      <c r="J220" s="16"/>
      <c r="K220" s="16"/>
      <c r="L220" s="16"/>
      <c r="M220" s="16"/>
      <c r="N220" s="16"/>
      <c r="O220" s="16"/>
      <c r="P220" s="16"/>
      <c r="Q220" s="16"/>
      <c r="R220" s="16"/>
      <c r="S220" s="16"/>
      <c r="T220" s="16"/>
      <c r="U220" s="16"/>
      <c r="V220" s="16"/>
      <c r="W220" s="16"/>
      <c r="X220" s="16"/>
    </row>
    <row r="221">
      <c r="A221" s="17"/>
      <c r="B221" s="17"/>
      <c r="C221" s="17"/>
      <c r="D221" s="48"/>
      <c r="E221" s="48"/>
      <c r="F221" s="16"/>
      <c r="G221" s="16"/>
      <c r="H221" s="16"/>
      <c r="I221" s="16"/>
      <c r="J221" s="16"/>
      <c r="K221" s="16"/>
      <c r="L221" s="16"/>
      <c r="M221" s="16"/>
      <c r="N221" s="16"/>
      <c r="O221" s="16"/>
      <c r="P221" s="16"/>
      <c r="Q221" s="16"/>
      <c r="R221" s="16"/>
      <c r="S221" s="16"/>
      <c r="T221" s="16"/>
      <c r="U221" s="16"/>
      <c r="V221" s="16"/>
      <c r="W221" s="16"/>
      <c r="X221" s="16"/>
    </row>
    <row r="222">
      <c r="A222" s="17"/>
      <c r="B222" s="17"/>
      <c r="C222" s="17"/>
      <c r="D222" s="48"/>
      <c r="E222" s="48"/>
      <c r="F222" s="16"/>
      <c r="G222" s="16"/>
      <c r="H222" s="16"/>
      <c r="I222" s="16"/>
      <c r="J222" s="16"/>
      <c r="K222" s="16"/>
      <c r="L222" s="16"/>
      <c r="M222" s="16"/>
      <c r="N222" s="16"/>
      <c r="O222" s="16"/>
      <c r="P222" s="16"/>
      <c r="Q222" s="16"/>
      <c r="R222" s="16"/>
      <c r="S222" s="16"/>
      <c r="T222" s="16"/>
      <c r="U222" s="16"/>
      <c r="V222" s="16"/>
      <c r="W222" s="16"/>
      <c r="X222" s="16"/>
    </row>
    <row r="223">
      <c r="A223" s="17"/>
      <c r="B223" s="17"/>
      <c r="C223" s="17"/>
      <c r="D223" s="48"/>
      <c r="E223" s="48"/>
      <c r="F223" s="16"/>
      <c r="G223" s="16"/>
      <c r="H223" s="16"/>
      <c r="I223" s="16"/>
      <c r="J223" s="16"/>
      <c r="K223" s="16"/>
      <c r="L223" s="16"/>
      <c r="M223" s="16"/>
      <c r="N223" s="16"/>
      <c r="O223" s="16"/>
      <c r="P223" s="16"/>
      <c r="Q223" s="16"/>
      <c r="R223" s="16"/>
      <c r="S223" s="16"/>
      <c r="T223" s="16"/>
      <c r="U223" s="16"/>
      <c r="V223" s="16"/>
      <c r="W223" s="16"/>
      <c r="X223" s="16"/>
    </row>
    <row r="224">
      <c r="A224" s="17"/>
      <c r="B224" s="17"/>
      <c r="C224" s="17"/>
      <c r="D224" s="48"/>
      <c r="E224" s="48"/>
      <c r="F224" s="16"/>
      <c r="G224" s="16"/>
      <c r="H224" s="16"/>
      <c r="I224" s="16"/>
      <c r="J224" s="16"/>
      <c r="K224" s="16"/>
      <c r="L224" s="16"/>
      <c r="M224" s="16"/>
      <c r="N224" s="16"/>
      <c r="O224" s="16"/>
      <c r="P224" s="16"/>
      <c r="Q224" s="16"/>
      <c r="R224" s="16"/>
      <c r="S224" s="16"/>
      <c r="T224" s="16"/>
      <c r="U224" s="16"/>
      <c r="V224" s="16"/>
      <c r="W224" s="16"/>
      <c r="X224" s="16"/>
    </row>
    <row r="225">
      <c r="A225" s="17"/>
      <c r="B225" s="17"/>
      <c r="C225" s="17"/>
      <c r="D225" s="48"/>
      <c r="E225" s="48"/>
      <c r="F225" s="16"/>
      <c r="G225" s="16"/>
      <c r="H225" s="16"/>
      <c r="I225" s="16"/>
      <c r="J225" s="16"/>
      <c r="K225" s="16"/>
      <c r="L225" s="16"/>
      <c r="M225" s="16"/>
      <c r="N225" s="16"/>
      <c r="O225" s="16"/>
      <c r="P225" s="16"/>
      <c r="Q225" s="16"/>
      <c r="R225" s="16"/>
      <c r="S225" s="16"/>
      <c r="T225" s="16"/>
      <c r="U225" s="16"/>
      <c r="V225" s="16"/>
      <c r="W225" s="16"/>
      <c r="X225" s="16"/>
    </row>
    <row r="226">
      <c r="A226" s="17"/>
      <c r="B226" s="17"/>
      <c r="C226" s="17"/>
      <c r="D226" s="48"/>
      <c r="E226" s="48"/>
      <c r="F226" s="16"/>
      <c r="G226" s="16"/>
      <c r="H226" s="16"/>
      <c r="I226" s="16"/>
      <c r="J226" s="16"/>
      <c r="K226" s="16"/>
      <c r="L226" s="16"/>
      <c r="M226" s="16"/>
      <c r="N226" s="16"/>
      <c r="O226" s="16"/>
      <c r="P226" s="16"/>
      <c r="Q226" s="16"/>
      <c r="R226" s="16"/>
      <c r="S226" s="16"/>
      <c r="T226" s="16"/>
      <c r="U226" s="16"/>
      <c r="V226" s="16"/>
      <c r="W226" s="16"/>
      <c r="X226" s="16"/>
    </row>
    <row r="227">
      <c r="A227" s="17"/>
      <c r="B227" s="17"/>
      <c r="C227" s="17"/>
      <c r="D227" s="48"/>
      <c r="E227" s="48"/>
      <c r="F227" s="16"/>
      <c r="G227" s="16"/>
      <c r="H227" s="16"/>
      <c r="I227" s="16"/>
      <c r="J227" s="16"/>
      <c r="K227" s="16"/>
      <c r="L227" s="16"/>
      <c r="M227" s="16"/>
      <c r="N227" s="16"/>
      <c r="O227" s="16"/>
      <c r="P227" s="16"/>
      <c r="Q227" s="16"/>
      <c r="R227" s="16"/>
      <c r="S227" s="16"/>
      <c r="T227" s="16"/>
      <c r="U227" s="16"/>
      <c r="V227" s="16"/>
      <c r="W227" s="16"/>
      <c r="X227" s="16"/>
    </row>
    <row r="228">
      <c r="A228" s="17"/>
      <c r="B228" s="17"/>
      <c r="C228" s="17"/>
      <c r="D228" s="48"/>
      <c r="E228" s="48"/>
      <c r="F228" s="16"/>
      <c r="G228" s="16"/>
      <c r="H228" s="16"/>
      <c r="I228" s="16"/>
      <c r="J228" s="16"/>
      <c r="K228" s="16"/>
      <c r="L228" s="16"/>
      <c r="M228" s="16"/>
      <c r="N228" s="16"/>
      <c r="O228" s="16"/>
      <c r="P228" s="16"/>
      <c r="Q228" s="16"/>
      <c r="R228" s="16"/>
      <c r="S228" s="16"/>
      <c r="T228" s="16"/>
      <c r="U228" s="16"/>
      <c r="V228" s="16"/>
      <c r="W228" s="16"/>
      <c r="X228" s="16"/>
    </row>
    <row r="229">
      <c r="A229" s="17"/>
      <c r="B229" s="17"/>
      <c r="C229" s="17"/>
      <c r="D229" s="48"/>
      <c r="E229" s="48"/>
      <c r="F229" s="16"/>
      <c r="G229" s="16"/>
      <c r="H229" s="16"/>
      <c r="I229" s="16"/>
      <c r="J229" s="16"/>
      <c r="K229" s="16"/>
      <c r="L229" s="16"/>
      <c r="M229" s="16"/>
      <c r="N229" s="16"/>
      <c r="O229" s="16"/>
      <c r="P229" s="16"/>
      <c r="Q229" s="16"/>
      <c r="R229" s="16"/>
      <c r="S229" s="16"/>
      <c r="T229" s="16"/>
      <c r="U229" s="16"/>
      <c r="V229" s="16"/>
      <c r="W229" s="16"/>
      <c r="X229" s="16"/>
    </row>
    <row r="230">
      <c r="A230" s="17"/>
      <c r="B230" s="17"/>
      <c r="C230" s="17"/>
      <c r="D230" s="48"/>
      <c r="E230" s="48"/>
      <c r="F230" s="16"/>
      <c r="G230" s="16"/>
      <c r="H230" s="16"/>
      <c r="I230" s="16"/>
      <c r="J230" s="16"/>
      <c r="K230" s="16"/>
      <c r="L230" s="16"/>
      <c r="M230" s="16"/>
      <c r="N230" s="16"/>
      <c r="O230" s="16"/>
      <c r="P230" s="16"/>
      <c r="Q230" s="16"/>
      <c r="R230" s="16"/>
      <c r="S230" s="16"/>
      <c r="T230" s="16"/>
      <c r="U230" s="16"/>
      <c r="V230" s="16"/>
      <c r="W230" s="16"/>
      <c r="X230" s="16"/>
    </row>
    <row r="231">
      <c r="A231" s="17"/>
      <c r="B231" s="17"/>
      <c r="C231" s="17"/>
      <c r="D231" s="48"/>
      <c r="E231" s="48"/>
      <c r="F231" s="16"/>
      <c r="G231" s="16"/>
      <c r="H231" s="16"/>
      <c r="I231" s="16"/>
      <c r="J231" s="16"/>
      <c r="K231" s="16"/>
      <c r="L231" s="16"/>
      <c r="M231" s="16"/>
      <c r="N231" s="16"/>
      <c r="O231" s="16"/>
      <c r="P231" s="16"/>
      <c r="Q231" s="16"/>
      <c r="R231" s="16"/>
      <c r="S231" s="16"/>
      <c r="T231" s="16"/>
      <c r="U231" s="16"/>
      <c r="V231" s="16"/>
      <c r="W231" s="16"/>
      <c r="X231" s="16"/>
    </row>
    <row r="232">
      <c r="A232" s="17"/>
      <c r="B232" s="17"/>
      <c r="C232" s="17"/>
      <c r="D232" s="48"/>
      <c r="E232" s="48"/>
      <c r="F232" s="16"/>
      <c r="G232" s="16"/>
      <c r="H232" s="16"/>
      <c r="I232" s="16"/>
      <c r="J232" s="16"/>
      <c r="K232" s="16"/>
      <c r="L232" s="16"/>
      <c r="M232" s="16"/>
      <c r="N232" s="16"/>
      <c r="O232" s="16"/>
      <c r="P232" s="16"/>
      <c r="Q232" s="16"/>
      <c r="R232" s="16"/>
      <c r="S232" s="16"/>
      <c r="T232" s="16"/>
      <c r="U232" s="16"/>
      <c r="V232" s="16"/>
      <c r="W232" s="16"/>
      <c r="X232" s="16"/>
    </row>
    <row r="233">
      <c r="A233" s="17"/>
      <c r="B233" s="17"/>
      <c r="C233" s="17"/>
      <c r="D233" s="48"/>
      <c r="E233" s="48"/>
      <c r="F233" s="16"/>
      <c r="G233" s="16"/>
      <c r="H233" s="16"/>
      <c r="I233" s="16"/>
      <c r="J233" s="16"/>
      <c r="K233" s="16"/>
      <c r="L233" s="16"/>
      <c r="M233" s="16"/>
      <c r="N233" s="16"/>
      <c r="O233" s="16"/>
      <c r="P233" s="16"/>
      <c r="Q233" s="16"/>
      <c r="R233" s="16"/>
      <c r="S233" s="16"/>
      <c r="T233" s="16"/>
      <c r="U233" s="16"/>
      <c r="V233" s="16"/>
      <c r="W233" s="16"/>
      <c r="X233" s="16"/>
    </row>
    <row r="234">
      <c r="A234" s="17"/>
      <c r="B234" s="17"/>
      <c r="C234" s="17"/>
      <c r="D234" s="48"/>
      <c r="E234" s="48"/>
      <c r="F234" s="16"/>
      <c r="G234" s="16"/>
      <c r="H234" s="16"/>
      <c r="I234" s="16"/>
      <c r="J234" s="16"/>
      <c r="K234" s="16"/>
      <c r="L234" s="16"/>
      <c r="M234" s="16"/>
      <c r="N234" s="16"/>
      <c r="O234" s="16"/>
      <c r="P234" s="16"/>
      <c r="Q234" s="16"/>
      <c r="R234" s="16"/>
      <c r="S234" s="16"/>
      <c r="T234" s="16"/>
      <c r="U234" s="16"/>
      <c r="V234" s="16"/>
      <c r="W234" s="16"/>
      <c r="X234" s="16"/>
    </row>
    <row r="235">
      <c r="A235" s="17"/>
      <c r="B235" s="17"/>
      <c r="C235" s="17"/>
      <c r="D235" s="48"/>
      <c r="E235" s="48"/>
      <c r="F235" s="16"/>
      <c r="G235" s="16"/>
      <c r="H235" s="16"/>
      <c r="I235" s="16"/>
      <c r="J235" s="16"/>
      <c r="K235" s="16"/>
      <c r="L235" s="16"/>
      <c r="M235" s="16"/>
      <c r="N235" s="16"/>
      <c r="O235" s="16"/>
      <c r="P235" s="16"/>
      <c r="Q235" s="16"/>
      <c r="R235" s="16"/>
      <c r="S235" s="16"/>
      <c r="T235" s="16"/>
      <c r="U235" s="16"/>
      <c r="V235" s="16"/>
      <c r="W235" s="16"/>
      <c r="X235" s="16"/>
    </row>
    <row r="236">
      <c r="A236" s="17"/>
      <c r="B236" s="17"/>
      <c r="C236" s="17"/>
      <c r="D236" s="48"/>
      <c r="E236" s="48"/>
      <c r="F236" s="16"/>
      <c r="G236" s="16"/>
      <c r="H236" s="16"/>
      <c r="I236" s="16"/>
      <c r="J236" s="16"/>
      <c r="K236" s="16"/>
      <c r="L236" s="16"/>
      <c r="M236" s="16"/>
      <c r="N236" s="16"/>
      <c r="O236" s="16"/>
      <c r="P236" s="16"/>
      <c r="Q236" s="16"/>
      <c r="R236" s="16"/>
      <c r="S236" s="16"/>
      <c r="T236" s="16"/>
      <c r="U236" s="16"/>
      <c r="V236" s="16"/>
      <c r="W236" s="16"/>
      <c r="X236" s="16"/>
    </row>
    <row r="237">
      <c r="A237" s="17"/>
      <c r="B237" s="17"/>
      <c r="C237" s="17"/>
      <c r="D237" s="48"/>
      <c r="E237" s="48"/>
      <c r="F237" s="16"/>
      <c r="G237" s="16"/>
      <c r="H237" s="16"/>
      <c r="I237" s="16"/>
      <c r="J237" s="16"/>
      <c r="K237" s="16"/>
      <c r="L237" s="16"/>
      <c r="M237" s="16"/>
      <c r="N237" s="16"/>
      <c r="O237" s="16"/>
      <c r="P237" s="16"/>
      <c r="Q237" s="16"/>
      <c r="R237" s="16"/>
      <c r="S237" s="16"/>
      <c r="T237" s="16"/>
      <c r="U237" s="16"/>
      <c r="V237" s="16"/>
      <c r="W237" s="16"/>
      <c r="X237" s="16"/>
    </row>
    <row r="238">
      <c r="A238" s="17"/>
      <c r="B238" s="17"/>
      <c r="C238" s="17"/>
      <c r="D238" s="48"/>
      <c r="E238" s="48"/>
      <c r="F238" s="16"/>
      <c r="G238" s="16"/>
      <c r="H238" s="16"/>
      <c r="I238" s="16"/>
      <c r="J238" s="16"/>
      <c r="K238" s="16"/>
      <c r="L238" s="16"/>
      <c r="M238" s="16"/>
      <c r="N238" s="16"/>
      <c r="O238" s="16"/>
      <c r="P238" s="16"/>
      <c r="Q238" s="16"/>
      <c r="R238" s="16"/>
      <c r="S238" s="16"/>
      <c r="T238" s="16"/>
      <c r="U238" s="16"/>
      <c r="V238" s="16"/>
      <c r="W238" s="16"/>
      <c r="X238" s="16"/>
    </row>
    <row r="239">
      <c r="A239" s="17"/>
      <c r="B239" s="17"/>
      <c r="C239" s="17"/>
      <c r="D239" s="48"/>
      <c r="E239" s="48"/>
      <c r="F239" s="16"/>
      <c r="G239" s="16"/>
      <c r="H239" s="16"/>
      <c r="I239" s="16"/>
      <c r="J239" s="16"/>
      <c r="K239" s="16"/>
      <c r="L239" s="16"/>
      <c r="M239" s="16"/>
      <c r="N239" s="16"/>
      <c r="O239" s="16"/>
      <c r="P239" s="16"/>
      <c r="Q239" s="16"/>
      <c r="R239" s="16"/>
      <c r="S239" s="16"/>
      <c r="T239" s="16"/>
      <c r="U239" s="16"/>
      <c r="V239" s="16"/>
      <c r="W239" s="16"/>
      <c r="X239" s="16"/>
    </row>
    <row r="240">
      <c r="A240" s="17"/>
      <c r="B240" s="17"/>
      <c r="C240" s="17"/>
      <c r="D240" s="48"/>
      <c r="E240" s="48"/>
      <c r="F240" s="16"/>
      <c r="G240" s="16"/>
      <c r="H240" s="16"/>
      <c r="I240" s="16"/>
      <c r="J240" s="16"/>
      <c r="K240" s="16"/>
      <c r="L240" s="16"/>
      <c r="M240" s="16"/>
      <c r="N240" s="16"/>
      <c r="O240" s="16"/>
      <c r="P240" s="16"/>
      <c r="Q240" s="16"/>
      <c r="R240" s="16"/>
      <c r="S240" s="16"/>
      <c r="T240" s="16"/>
      <c r="U240" s="16"/>
      <c r="V240" s="16"/>
      <c r="W240" s="16"/>
      <c r="X240" s="16"/>
    </row>
    <row r="241">
      <c r="A241" s="17"/>
      <c r="B241" s="17"/>
      <c r="C241" s="17"/>
      <c r="D241" s="48"/>
      <c r="E241" s="48"/>
      <c r="F241" s="16"/>
      <c r="G241" s="16"/>
      <c r="H241" s="16"/>
      <c r="I241" s="16"/>
      <c r="J241" s="16"/>
      <c r="K241" s="16"/>
      <c r="L241" s="16"/>
      <c r="M241" s="16"/>
      <c r="N241" s="16"/>
      <c r="O241" s="16"/>
      <c r="P241" s="16"/>
      <c r="Q241" s="16"/>
      <c r="R241" s="16"/>
      <c r="S241" s="16"/>
      <c r="T241" s="16"/>
      <c r="U241" s="16"/>
      <c r="V241" s="16"/>
      <c r="W241" s="16"/>
      <c r="X241" s="16"/>
    </row>
    <row r="242">
      <c r="A242" s="17"/>
      <c r="B242" s="17"/>
      <c r="C242" s="17"/>
      <c r="D242" s="48"/>
      <c r="E242" s="48"/>
      <c r="F242" s="16"/>
      <c r="G242" s="16"/>
      <c r="H242" s="16"/>
      <c r="I242" s="16"/>
      <c r="J242" s="16"/>
      <c r="K242" s="16"/>
      <c r="L242" s="16"/>
      <c r="M242" s="16"/>
      <c r="N242" s="16"/>
      <c r="O242" s="16"/>
      <c r="P242" s="16"/>
      <c r="Q242" s="16"/>
      <c r="R242" s="16"/>
      <c r="S242" s="16"/>
      <c r="T242" s="16"/>
      <c r="U242" s="16"/>
      <c r="V242" s="16"/>
      <c r="W242" s="16"/>
      <c r="X242" s="16"/>
    </row>
    <row r="243">
      <c r="A243" s="17"/>
      <c r="B243" s="17"/>
      <c r="C243" s="17"/>
      <c r="D243" s="48"/>
      <c r="E243" s="48"/>
      <c r="F243" s="16"/>
      <c r="G243" s="16"/>
      <c r="H243" s="16"/>
      <c r="I243" s="16"/>
      <c r="J243" s="16"/>
      <c r="K243" s="16"/>
      <c r="L243" s="16"/>
      <c r="M243" s="16"/>
      <c r="N243" s="16"/>
      <c r="O243" s="16"/>
      <c r="P243" s="16"/>
      <c r="Q243" s="16"/>
      <c r="R243" s="16"/>
      <c r="S243" s="16"/>
      <c r="T243" s="16"/>
      <c r="U243" s="16"/>
      <c r="V243" s="16"/>
      <c r="W243" s="16"/>
      <c r="X243" s="16"/>
    </row>
    <row r="244">
      <c r="A244" s="17"/>
      <c r="B244" s="17"/>
      <c r="C244" s="17"/>
      <c r="D244" s="48"/>
      <c r="E244" s="48"/>
      <c r="F244" s="16"/>
      <c r="G244" s="16"/>
      <c r="H244" s="16"/>
      <c r="I244" s="16"/>
      <c r="J244" s="16"/>
      <c r="K244" s="16"/>
      <c r="L244" s="16"/>
      <c r="M244" s="16"/>
      <c r="N244" s="16"/>
      <c r="O244" s="16"/>
      <c r="P244" s="16"/>
      <c r="Q244" s="16"/>
      <c r="R244" s="16"/>
      <c r="S244" s="16"/>
      <c r="T244" s="16"/>
      <c r="U244" s="16"/>
      <c r="V244" s="16"/>
      <c r="W244" s="16"/>
      <c r="X244" s="16"/>
    </row>
    <row r="245">
      <c r="A245" s="17"/>
      <c r="B245" s="17"/>
      <c r="C245" s="17"/>
      <c r="D245" s="48"/>
      <c r="E245" s="48"/>
      <c r="F245" s="16"/>
      <c r="G245" s="16"/>
      <c r="H245" s="16"/>
      <c r="I245" s="16"/>
      <c r="J245" s="16"/>
      <c r="K245" s="16"/>
      <c r="L245" s="16"/>
      <c r="M245" s="16"/>
      <c r="N245" s="16"/>
      <c r="O245" s="16"/>
      <c r="P245" s="16"/>
      <c r="Q245" s="16"/>
      <c r="R245" s="16"/>
      <c r="S245" s="16"/>
      <c r="T245" s="16"/>
      <c r="U245" s="16"/>
      <c r="V245" s="16"/>
      <c r="W245" s="16"/>
      <c r="X245" s="16"/>
    </row>
    <row r="246">
      <c r="A246" s="17"/>
      <c r="B246" s="17"/>
      <c r="C246" s="17"/>
      <c r="D246" s="48"/>
      <c r="E246" s="48"/>
      <c r="F246" s="16"/>
      <c r="G246" s="16"/>
      <c r="H246" s="16"/>
      <c r="I246" s="16"/>
      <c r="J246" s="16"/>
      <c r="K246" s="16"/>
      <c r="L246" s="16"/>
      <c r="M246" s="16"/>
      <c r="N246" s="16"/>
      <c r="O246" s="16"/>
      <c r="P246" s="16"/>
      <c r="Q246" s="16"/>
      <c r="R246" s="16"/>
      <c r="S246" s="16"/>
      <c r="T246" s="16"/>
      <c r="U246" s="16"/>
      <c r="V246" s="16"/>
      <c r="W246" s="16"/>
      <c r="X246" s="16"/>
    </row>
    <row r="247">
      <c r="A247" s="17"/>
      <c r="B247" s="17"/>
      <c r="C247" s="17"/>
      <c r="D247" s="48"/>
      <c r="E247" s="48"/>
      <c r="F247" s="16"/>
      <c r="G247" s="16"/>
      <c r="H247" s="16"/>
      <c r="I247" s="16"/>
      <c r="J247" s="16"/>
      <c r="K247" s="16"/>
      <c r="L247" s="16"/>
      <c r="M247" s="16"/>
      <c r="N247" s="16"/>
      <c r="O247" s="16"/>
      <c r="P247" s="16"/>
      <c r="Q247" s="16"/>
      <c r="R247" s="16"/>
      <c r="S247" s="16"/>
      <c r="T247" s="16"/>
      <c r="U247" s="16"/>
      <c r="V247" s="16"/>
      <c r="W247" s="16"/>
      <c r="X247" s="16"/>
    </row>
    <row r="248">
      <c r="A248" s="17"/>
      <c r="B248" s="17"/>
      <c r="C248" s="17"/>
      <c r="D248" s="48"/>
      <c r="E248" s="48"/>
      <c r="F248" s="16"/>
      <c r="G248" s="16"/>
      <c r="H248" s="16"/>
      <c r="I248" s="16"/>
      <c r="J248" s="16"/>
      <c r="K248" s="16"/>
      <c r="L248" s="16"/>
      <c r="M248" s="16"/>
      <c r="N248" s="16"/>
      <c r="O248" s="16"/>
      <c r="P248" s="16"/>
      <c r="Q248" s="16"/>
      <c r="R248" s="16"/>
      <c r="S248" s="16"/>
      <c r="T248" s="16"/>
      <c r="U248" s="16"/>
      <c r="V248" s="16"/>
      <c r="W248" s="16"/>
      <c r="X248" s="16"/>
    </row>
    <row r="249">
      <c r="A249" s="17"/>
      <c r="B249" s="17"/>
      <c r="C249" s="17"/>
      <c r="D249" s="48"/>
      <c r="E249" s="48"/>
      <c r="F249" s="16"/>
      <c r="G249" s="16"/>
      <c r="H249" s="16"/>
      <c r="I249" s="16"/>
      <c r="J249" s="16"/>
      <c r="K249" s="16"/>
      <c r="L249" s="16"/>
      <c r="M249" s="16"/>
      <c r="N249" s="16"/>
      <c r="O249" s="16"/>
      <c r="P249" s="16"/>
      <c r="Q249" s="16"/>
      <c r="R249" s="16"/>
      <c r="S249" s="16"/>
      <c r="T249" s="16"/>
      <c r="U249" s="16"/>
      <c r="V249" s="16"/>
      <c r="W249" s="16"/>
      <c r="X249" s="16"/>
    </row>
    <row r="250">
      <c r="A250" s="17"/>
      <c r="B250" s="17"/>
      <c r="C250" s="17"/>
      <c r="D250" s="48"/>
      <c r="E250" s="48"/>
      <c r="F250" s="16"/>
      <c r="G250" s="16"/>
      <c r="H250" s="16"/>
      <c r="I250" s="16"/>
      <c r="J250" s="16"/>
      <c r="K250" s="16"/>
      <c r="L250" s="16"/>
      <c r="M250" s="16"/>
      <c r="N250" s="16"/>
      <c r="O250" s="16"/>
      <c r="P250" s="16"/>
      <c r="Q250" s="16"/>
      <c r="R250" s="16"/>
      <c r="S250" s="16"/>
      <c r="T250" s="16"/>
      <c r="U250" s="16"/>
      <c r="V250" s="16"/>
      <c r="W250" s="16"/>
      <c r="X250" s="16"/>
    </row>
    <row r="251">
      <c r="A251" s="17"/>
      <c r="B251" s="17"/>
      <c r="C251" s="17"/>
      <c r="D251" s="48"/>
      <c r="E251" s="48"/>
      <c r="F251" s="16"/>
      <c r="G251" s="16"/>
      <c r="H251" s="16"/>
      <c r="I251" s="16"/>
      <c r="J251" s="16"/>
      <c r="K251" s="16"/>
      <c r="L251" s="16"/>
      <c r="M251" s="16"/>
      <c r="N251" s="16"/>
      <c r="O251" s="16"/>
      <c r="P251" s="16"/>
      <c r="Q251" s="16"/>
      <c r="R251" s="16"/>
      <c r="S251" s="16"/>
      <c r="T251" s="16"/>
      <c r="U251" s="16"/>
      <c r="V251" s="16"/>
      <c r="W251" s="16"/>
      <c r="X251" s="16"/>
    </row>
    <row r="252">
      <c r="A252" s="17"/>
      <c r="B252" s="17"/>
      <c r="C252" s="17"/>
      <c r="D252" s="48"/>
      <c r="E252" s="48"/>
      <c r="F252" s="16"/>
      <c r="G252" s="16"/>
      <c r="H252" s="16"/>
      <c r="I252" s="16"/>
      <c r="J252" s="16"/>
      <c r="K252" s="16"/>
      <c r="L252" s="16"/>
      <c r="M252" s="16"/>
      <c r="N252" s="16"/>
      <c r="O252" s="16"/>
      <c r="P252" s="16"/>
      <c r="Q252" s="16"/>
      <c r="R252" s="16"/>
      <c r="S252" s="16"/>
      <c r="T252" s="16"/>
      <c r="U252" s="16"/>
      <c r="V252" s="16"/>
      <c r="W252" s="16"/>
      <c r="X252" s="16"/>
    </row>
    <row r="253">
      <c r="A253" s="17"/>
      <c r="B253" s="17"/>
      <c r="C253" s="17"/>
      <c r="D253" s="48"/>
      <c r="E253" s="48"/>
      <c r="F253" s="16"/>
      <c r="G253" s="16"/>
      <c r="H253" s="16"/>
      <c r="I253" s="16"/>
      <c r="J253" s="16"/>
      <c r="K253" s="16"/>
      <c r="L253" s="16"/>
      <c r="M253" s="16"/>
      <c r="N253" s="16"/>
      <c r="O253" s="16"/>
      <c r="P253" s="16"/>
      <c r="Q253" s="16"/>
      <c r="R253" s="16"/>
      <c r="S253" s="16"/>
      <c r="T253" s="16"/>
      <c r="U253" s="16"/>
      <c r="V253" s="16"/>
      <c r="W253" s="16"/>
      <c r="X253" s="16"/>
    </row>
    <row r="254">
      <c r="A254" s="17"/>
      <c r="B254" s="17"/>
      <c r="C254" s="17"/>
      <c r="D254" s="48"/>
      <c r="E254" s="48"/>
      <c r="F254" s="16"/>
      <c r="G254" s="16"/>
      <c r="H254" s="16"/>
      <c r="I254" s="16"/>
      <c r="J254" s="16"/>
      <c r="K254" s="16"/>
      <c r="L254" s="16"/>
      <c r="M254" s="16"/>
      <c r="N254" s="16"/>
      <c r="O254" s="16"/>
      <c r="P254" s="16"/>
      <c r="Q254" s="16"/>
      <c r="R254" s="16"/>
      <c r="S254" s="16"/>
      <c r="T254" s="16"/>
      <c r="U254" s="16"/>
      <c r="V254" s="16"/>
      <c r="W254" s="16"/>
      <c r="X254" s="16"/>
    </row>
    <row r="255">
      <c r="A255" s="17"/>
      <c r="B255" s="17"/>
      <c r="C255" s="17"/>
      <c r="D255" s="48"/>
      <c r="E255" s="48"/>
      <c r="F255" s="16"/>
      <c r="G255" s="16"/>
      <c r="H255" s="16"/>
      <c r="I255" s="16"/>
      <c r="J255" s="16"/>
      <c r="K255" s="16"/>
      <c r="L255" s="16"/>
      <c r="M255" s="16"/>
      <c r="N255" s="16"/>
      <c r="O255" s="16"/>
      <c r="P255" s="16"/>
      <c r="Q255" s="16"/>
      <c r="R255" s="16"/>
      <c r="S255" s="16"/>
      <c r="T255" s="16"/>
      <c r="U255" s="16"/>
      <c r="V255" s="16"/>
      <c r="W255" s="16"/>
      <c r="X255" s="16"/>
    </row>
    <row r="256">
      <c r="A256" s="17"/>
      <c r="B256" s="17"/>
      <c r="C256" s="17"/>
      <c r="D256" s="48"/>
      <c r="E256" s="48"/>
      <c r="F256" s="16"/>
      <c r="G256" s="16"/>
      <c r="H256" s="16"/>
      <c r="I256" s="16"/>
      <c r="J256" s="16"/>
      <c r="K256" s="16"/>
      <c r="L256" s="16"/>
      <c r="M256" s="16"/>
      <c r="N256" s="16"/>
      <c r="O256" s="16"/>
      <c r="P256" s="16"/>
      <c r="Q256" s="16"/>
      <c r="R256" s="16"/>
      <c r="S256" s="16"/>
      <c r="T256" s="16"/>
      <c r="U256" s="16"/>
      <c r="V256" s="16"/>
      <c r="W256" s="16"/>
      <c r="X256" s="16"/>
    </row>
    <row r="257">
      <c r="A257" s="17"/>
      <c r="B257" s="17"/>
      <c r="C257" s="17"/>
      <c r="D257" s="48"/>
      <c r="E257" s="48"/>
      <c r="F257" s="16"/>
      <c r="G257" s="16"/>
      <c r="H257" s="16"/>
      <c r="I257" s="16"/>
      <c r="J257" s="16"/>
      <c r="K257" s="16"/>
      <c r="L257" s="16"/>
      <c r="M257" s="16"/>
      <c r="N257" s="16"/>
      <c r="O257" s="16"/>
      <c r="P257" s="16"/>
      <c r="Q257" s="16"/>
      <c r="R257" s="16"/>
      <c r="S257" s="16"/>
      <c r="T257" s="16"/>
      <c r="U257" s="16"/>
      <c r="V257" s="16"/>
      <c r="W257" s="16"/>
      <c r="X257" s="16"/>
    </row>
    <row r="258">
      <c r="A258" s="17"/>
      <c r="B258" s="17"/>
      <c r="C258" s="17"/>
      <c r="D258" s="48"/>
      <c r="E258" s="48"/>
      <c r="F258" s="16"/>
      <c r="G258" s="16"/>
      <c r="H258" s="16"/>
      <c r="I258" s="16"/>
      <c r="J258" s="16"/>
      <c r="K258" s="16"/>
      <c r="L258" s="16"/>
      <c r="M258" s="16"/>
      <c r="N258" s="16"/>
      <c r="O258" s="16"/>
      <c r="P258" s="16"/>
      <c r="Q258" s="16"/>
      <c r="R258" s="16"/>
      <c r="S258" s="16"/>
      <c r="T258" s="16"/>
      <c r="U258" s="16"/>
      <c r="V258" s="16"/>
      <c r="W258" s="16"/>
      <c r="X258" s="16"/>
    </row>
    <row r="259">
      <c r="A259" s="17"/>
      <c r="B259" s="17"/>
      <c r="C259" s="17"/>
      <c r="D259" s="48"/>
      <c r="E259" s="48"/>
      <c r="F259" s="16"/>
      <c r="G259" s="16"/>
      <c r="H259" s="16"/>
      <c r="I259" s="16"/>
      <c r="J259" s="16"/>
      <c r="K259" s="16"/>
      <c r="L259" s="16"/>
      <c r="M259" s="16"/>
      <c r="N259" s="16"/>
      <c r="O259" s="16"/>
      <c r="P259" s="16"/>
      <c r="Q259" s="16"/>
      <c r="R259" s="16"/>
      <c r="S259" s="16"/>
      <c r="T259" s="16"/>
      <c r="U259" s="16"/>
      <c r="V259" s="16"/>
      <c r="W259" s="16"/>
      <c r="X259" s="16"/>
    </row>
    <row r="260">
      <c r="A260" s="17"/>
      <c r="B260" s="17"/>
      <c r="C260" s="17"/>
      <c r="D260" s="48"/>
      <c r="E260" s="48"/>
      <c r="F260" s="16"/>
      <c r="G260" s="16"/>
      <c r="H260" s="16"/>
      <c r="I260" s="16"/>
      <c r="J260" s="16"/>
      <c r="K260" s="16"/>
      <c r="L260" s="16"/>
      <c r="M260" s="16"/>
      <c r="N260" s="16"/>
      <c r="O260" s="16"/>
      <c r="P260" s="16"/>
      <c r="Q260" s="16"/>
      <c r="R260" s="16"/>
      <c r="S260" s="16"/>
      <c r="T260" s="16"/>
      <c r="U260" s="16"/>
      <c r="V260" s="16"/>
      <c r="W260" s="16"/>
      <c r="X260" s="16"/>
    </row>
    <row r="261">
      <c r="A261" s="17"/>
      <c r="B261" s="17"/>
      <c r="C261" s="17"/>
      <c r="D261" s="48"/>
      <c r="E261" s="48"/>
      <c r="F261" s="16"/>
      <c r="G261" s="16"/>
      <c r="H261" s="16"/>
      <c r="I261" s="16"/>
      <c r="J261" s="16"/>
      <c r="K261" s="16"/>
      <c r="L261" s="16"/>
      <c r="M261" s="16"/>
      <c r="N261" s="16"/>
      <c r="O261" s="16"/>
      <c r="P261" s="16"/>
      <c r="Q261" s="16"/>
      <c r="R261" s="16"/>
      <c r="S261" s="16"/>
      <c r="T261" s="16"/>
      <c r="U261" s="16"/>
      <c r="V261" s="16"/>
      <c r="W261" s="16"/>
      <c r="X261" s="16"/>
    </row>
    <row r="262">
      <c r="A262" s="17"/>
      <c r="B262" s="17"/>
      <c r="C262" s="17"/>
      <c r="D262" s="48"/>
      <c r="E262" s="48"/>
      <c r="F262" s="16"/>
      <c r="G262" s="16"/>
      <c r="H262" s="16"/>
      <c r="I262" s="16"/>
      <c r="J262" s="16"/>
      <c r="K262" s="16"/>
      <c r="L262" s="16"/>
      <c r="M262" s="16"/>
      <c r="N262" s="16"/>
      <c r="O262" s="16"/>
      <c r="P262" s="16"/>
      <c r="Q262" s="16"/>
      <c r="R262" s="16"/>
      <c r="S262" s="16"/>
      <c r="T262" s="16"/>
      <c r="U262" s="16"/>
      <c r="V262" s="16"/>
      <c r="W262" s="16"/>
      <c r="X262" s="16"/>
    </row>
    <row r="263">
      <c r="A263" s="17"/>
      <c r="B263" s="17"/>
      <c r="C263" s="17"/>
      <c r="D263" s="48"/>
      <c r="E263" s="48"/>
      <c r="F263" s="16"/>
      <c r="G263" s="16"/>
      <c r="H263" s="16"/>
      <c r="I263" s="16"/>
      <c r="J263" s="16"/>
      <c r="K263" s="16"/>
      <c r="L263" s="16"/>
      <c r="M263" s="16"/>
      <c r="N263" s="16"/>
      <c r="O263" s="16"/>
      <c r="P263" s="16"/>
      <c r="Q263" s="16"/>
      <c r="R263" s="16"/>
      <c r="S263" s="16"/>
      <c r="T263" s="16"/>
      <c r="U263" s="16"/>
      <c r="V263" s="16"/>
      <c r="W263" s="16"/>
      <c r="X263" s="16"/>
    </row>
    <row r="264">
      <c r="A264" s="17"/>
      <c r="B264" s="17"/>
      <c r="C264" s="17"/>
      <c r="D264" s="48"/>
      <c r="E264" s="48"/>
      <c r="F264" s="16"/>
      <c r="G264" s="16"/>
      <c r="H264" s="16"/>
      <c r="I264" s="16"/>
      <c r="J264" s="16"/>
      <c r="K264" s="16"/>
      <c r="L264" s="16"/>
      <c r="M264" s="16"/>
      <c r="N264" s="16"/>
      <c r="O264" s="16"/>
      <c r="P264" s="16"/>
      <c r="Q264" s="16"/>
      <c r="R264" s="16"/>
      <c r="S264" s="16"/>
      <c r="T264" s="16"/>
      <c r="U264" s="16"/>
      <c r="V264" s="16"/>
      <c r="W264" s="16"/>
      <c r="X264" s="16"/>
    </row>
    <row r="265">
      <c r="A265" s="17"/>
      <c r="B265" s="17"/>
      <c r="C265" s="17"/>
      <c r="D265" s="48"/>
      <c r="E265" s="48"/>
      <c r="F265" s="16"/>
      <c r="G265" s="16"/>
      <c r="H265" s="16"/>
      <c r="I265" s="16"/>
      <c r="J265" s="16"/>
      <c r="K265" s="16"/>
      <c r="L265" s="16"/>
      <c r="M265" s="16"/>
      <c r="N265" s="16"/>
      <c r="O265" s="16"/>
      <c r="P265" s="16"/>
      <c r="Q265" s="16"/>
      <c r="R265" s="16"/>
      <c r="S265" s="16"/>
      <c r="T265" s="16"/>
      <c r="U265" s="16"/>
      <c r="V265" s="16"/>
      <c r="W265" s="16"/>
      <c r="X265" s="16"/>
    </row>
    <row r="266">
      <c r="A266" s="17"/>
      <c r="B266" s="17"/>
      <c r="C266" s="17"/>
      <c r="D266" s="48"/>
      <c r="E266" s="48"/>
      <c r="F266" s="16"/>
      <c r="G266" s="16"/>
      <c r="H266" s="16"/>
      <c r="I266" s="16"/>
      <c r="J266" s="16"/>
      <c r="K266" s="16"/>
      <c r="L266" s="16"/>
      <c r="M266" s="16"/>
      <c r="N266" s="16"/>
      <c r="O266" s="16"/>
      <c r="P266" s="16"/>
      <c r="Q266" s="16"/>
      <c r="R266" s="16"/>
      <c r="S266" s="16"/>
      <c r="T266" s="16"/>
      <c r="U266" s="16"/>
      <c r="V266" s="16"/>
      <c r="W266" s="16"/>
      <c r="X266" s="16"/>
    </row>
    <row r="267">
      <c r="A267" s="17"/>
      <c r="B267" s="17"/>
      <c r="C267" s="17"/>
      <c r="D267" s="48"/>
      <c r="E267" s="48"/>
      <c r="F267" s="16"/>
      <c r="G267" s="16"/>
      <c r="H267" s="16"/>
      <c r="I267" s="16"/>
      <c r="J267" s="16"/>
      <c r="K267" s="16"/>
      <c r="L267" s="16"/>
      <c r="M267" s="16"/>
      <c r="N267" s="16"/>
      <c r="O267" s="16"/>
      <c r="P267" s="16"/>
      <c r="Q267" s="16"/>
      <c r="R267" s="16"/>
      <c r="S267" s="16"/>
      <c r="T267" s="16"/>
      <c r="U267" s="16"/>
      <c r="V267" s="16"/>
      <c r="W267" s="16"/>
      <c r="X267" s="16"/>
    </row>
    <row r="268">
      <c r="A268" s="17"/>
      <c r="B268" s="17"/>
      <c r="C268" s="17"/>
      <c r="D268" s="48"/>
      <c r="E268" s="48"/>
      <c r="F268" s="16"/>
      <c r="G268" s="16"/>
      <c r="H268" s="16"/>
      <c r="I268" s="16"/>
      <c r="J268" s="16"/>
      <c r="K268" s="16"/>
      <c r="L268" s="16"/>
      <c r="M268" s="16"/>
      <c r="N268" s="16"/>
      <c r="O268" s="16"/>
      <c r="P268" s="16"/>
      <c r="Q268" s="16"/>
      <c r="R268" s="16"/>
      <c r="S268" s="16"/>
      <c r="T268" s="16"/>
      <c r="U268" s="16"/>
      <c r="V268" s="16"/>
      <c r="W268" s="16"/>
      <c r="X268" s="16"/>
    </row>
    <row r="269">
      <c r="A269" s="17"/>
      <c r="B269" s="17"/>
      <c r="C269" s="17"/>
      <c r="D269" s="48"/>
      <c r="E269" s="48"/>
      <c r="F269" s="16"/>
      <c r="G269" s="16"/>
      <c r="H269" s="16"/>
      <c r="I269" s="16"/>
      <c r="J269" s="16"/>
      <c r="K269" s="16"/>
      <c r="L269" s="16"/>
      <c r="M269" s="16"/>
      <c r="N269" s="16"/>
      <c r="O269" s="16"/>
      <c r="P269" s="16"/>
      <c r="Q269" s="16"/>
      <c r="R269" s="16"/>
      <c r="S269" s="16"/>
      <c r="T269" s="16"/>
      <c r="U269" s="16"/>
      <c r="V269" s="16"/>
      <c r="W269" s="16"/>
      <c r="X269" s="16"/>
    </row>
    <row r="270">
      <c r="A270" s="17"/>
      <c r="B270" s="17"/>
      <c r="C270" s="17"/>
      <c r="D270" s="48"/>
      <c r="E270" s="48"/>
      <c r="F270" s="16"/>
      <c r="G270" s="16"/>
      <c r="H270" s="16"/>
      <c r="I270" s="16"/>
      <c r="J270" s="16"/>
      <c r="K270" s="16"/>
      <c r="L270" s="16"/>
      <c r="M270" s="16"/>
      <c r="N270" s="16"/>
      <c r="O270" s="16"/>
      <c r="P270" s="16"/>
      <c r="Q270" s="16"/>
      <c r="R270" s="16"/>
      <c r="S270" s="16"/>
      <c r="T270" s="16"/>
      <c r="U270" s="16"/>
      <c r="V270" s="16"/>
      <c r="W270" s="16"/>
      <c r="X270" s="16"/>
    </row>
    <row r="271">
      <c r="A271" s="17"/>
      <c r="B271" s="17"/>
      <c r="C271" s="17"/>
      <c r="D271" s="48"/>
      <c r="E271" s="48"/>
      <c r="F271" s="16"/>
      <c r="G271" s="16"/>
      <c r="H271" s="16"/>
      <c r="I271" s="16"/>
      <c r="J271" s="16"/>
      <c r="K271" s="16"/>
      <c r="L271" s="16"/>
      <c r="M271" s="16"/>
      <c r="N271" s="16"/>
      <c r="O271" s="16"/>
      <c r="P271" s="16"/>
      <c r="Q271" s="16"/>
      <c r="R271" s="16"/>
      <c r="S271" s="16"/>
      <c r="T271" s="16"/>
      <c r="U271" s="16"/>
      <c r="V271" s="16"/>
      <c r="W271" s="16"/>
      <c r="X271" s="16"/>
    </row>
    <row r="272">
      <c r="A272" s="17"/>
      <c r="B272" s="17"/>
      <c r="C272" s="17"/>
      <c r="D272" s="48"/>
      <c r="E272" s="48"/>
      <c r="F272" s="16"/>
      <c r="G272" s="16"/>
      <c r="H272" s="16"/>
      <c r="I272" s="16"/>
      <c r="J272" s="16"/>
      <c r="K272" s="16"/>
      <c r="L272" s="16"/>
      <c r="M272" s="16"/>
      <c r="N272" s="16"/>
      <c r="O272" s="16"/>
      <c r="P272" s="16"/>
      <c r="Q272" s="16"/>
      <c r="R272" s="16"/>
      <c r="S272" s="16"/>
      <c r="T272" s="16"/>
      <c r="U272" s="16"/>
      <c r="V272" s="16"/>
      <c r="W272" s="16"/>
      <c r="X272" s="16"/>
    </row>
    <row r="273">
      <c r="A273" s="17"/>
      <c r="B273" s="17"/>
      <c r="C273" s="17"/>
      <c r="D273" s="48"/>
      <c r="E273" s="48"/>
      <c r="F273" s="16"/>
      <c r="G273" s="16"/>
      <c r="H273" s="16"/>
      <c r="I273" s="16"/>
      <c r="J273" s="16"/>
      <c r="K273" s="16"/>
      <c r="L273" s="16"/>
      <c r="M273" s="16"/>
      <c r="N273" s="16"/>
      <c r="O273" s="16"/>
      <c r="P273" s="16"/>
      <c r="Q273" s="16"/>
      <c r="R273" s="16"/>
      <c r="S273" s="16"/>
      <c r="T273" s="16"/>
      <c r="U273" s="16"/>
      <c r="V273" s="16"/>
      <c r="W273" s="16"/>
      <c r="X273" s="16"/>
    </row>
    <row r="274">
      <c r="A274" s="17"/>
      <c r="B274" s="17"/>
      <c r="C274" s="17"/>
      <c r="D274" s="48"/>
      <c r="E274" s="48"/>
      <c r="F274" s="16"/>
      <c r="G274" s="16"/>
      <c r="H274" s="16"/>
      <c r="I274" s="16"/>
      <c r="J274" s="16"/>
      <c r="K274" s="16"/>
      <c r="L274" s="16"/>
      <c r="M274" s="16"/>
      <c r="N274" s="16"/>
      <c r="O274" s="16"/>
      <c r="P274" s="16"/>
      <c r="Q274" s="16"/>
      <c r="R274" s="16"/>
      <c r="S274" s="16"/>
      <c r="T274" s="16"/>
      <c r="U274" s="16"/>
      <c r="V274" s="16"/>
      <c r="W274" s="16"/>
      <c r="X274" s="16"/>
    </row>
    <row r="275">
      <c r="A275" s="17"/>
      <c r="B275" s="17"/>
      <c r="C275" s="17"/>
      <c r="D275" s="48"/>
      <c r="E275" s="48"/>
      <c r="F275" s="16"/>
      <c r="G275" s="16"/>
      <c r="H275" s="16"/>
      <c r="I275" s="16"/>
      <c r="J275" s="16"/>
      <c r="K275" s="16"/>
      <c r="L275" s="16"/>
      <c r="M275" s="16"/>
      <c r="N275" s="16"/>
      <c r="O275" s="16"/>
      <c r="P275" s="16"/>
      <c r="Q275" s="16"/>
      <c r="R275" s="16"/>
      <c r="S275" s="16"/>
      <c r="T275" s="16"/>
      <c r="U275" s="16"/>
      <c r="V275" s="16"/>
      <c r="W275" s="16"/>
      <c r="X275" s="16"/>
    </row>
    <row r="276">
      <c r="A276" s="17"/>
      <c r="B276" s="17"/>
      <c r="C276" s="17"/>
      <c r="D276" s="48"/>
      <c r="E276" s="48"/>
      <c r="F276" s="16"/>
      <c r="G276" s="16"/>
      <c r="H276" s="16"/>
      <c r="I276" s="16"/>
      <c r="J276" s="16"/>
      <c r="K276" s="16"/>
      <c r="L276" s="16"/>
      <c r="M276" s="16"/>
      <c r="N276" s="16"/>
      <c r="O276" s="16"/>
      <c r="P276" s="16"/>
      <c r="Q276" s="16"/>
      <c r="R276" s="16"/>
      <c r="S276" s="16"/>
      <c r="T276" s="16"/>
      <c r="U276" s="16"/>
      <c r="V276" s="16"/>
      <c r="W276" s="16"/>
      <c r="X276" s="16"/>
    </row>
    <row r="277">
      <c r="A277" s="17"/>
      <c r="B277" s="17"/>
      <c r="C277" s="17"/>
      <c r="D277" s="48"/>
      <c r="E277" s="48"/>
      <c r="F277" s="16"/>
      <c r="G277" s="16"/>
      <c r="H277" s="16"/>
      <c r="I277" s="16"/>
      <c r="J277" s="16"/>
      <c r="K277" s="16"/>
      <c r="L277" s="16"/>
      <c r="M277" s="16"/>
      <c r="N277" s="16"/>
      <c r="O277" s="16"/>
      <c r="P277" s="16"/>
      <c r="Q277" s="16"/>
      <c r="R277" s="16"/>
      <c r="S277" s="16"/>
      <c r="T277" s="16"/>
      <c r="U277" s="16"/>
      <c r="V277" s="16"/>
      <c r="W277" s="16"/>
      <c r="X277" s="16"/>
    </row>
    <row r="278">
      <c r="A278" s="17"/>
      <c r="B278" s="17"/>
      <c r="C278" s="17"/>
      <c r="D278" s="48"/>
      <c r="E278" s="48"/>
      <c r="F278" s="16"/>
      <c r="G278" s="16"/>
      <c r="H278" s="16"/>
      <c r="I278" s="16"/>
      <c r="J278" s="16"/>
      <c r="K278" s="16"/>
      <c r="L278" s="16"/>
      <c r="M278" s="16"/>
      <c r="N278" s="16"/>
      <c r="O278" s="16"/>
      <c r="P278" s="16"/>
      <c r="Q278" s="16"/>
      <c r="R278" s="16"/>
      <c r="S278" s="16"/>
      <c r="T278" s="16"/>
      <c r="U278" s="16"/>
      <c r="V278" s="16"/>
      <c r="W278" s="16"/>
      <c r="X278" s="16"/>
    </row>
    <row r="279">
      <c r="A279" s="17"/>
      <c r="B279" s="17"/>
      <c r="C279" s="17"/>
      <c r="D279" s="48"/>
      <c r="E279" s="48"/>
      <c r="F279" s="16"/>
      <c r="G279" s="16"/>
      <c r="H279" s="16"/>
      <c r="I279" s="16"/>
      <c r="J279" s="16"/>
      <c r="K279" s="16"/>
      <c r="L279" s="16"/>
      <c r="M279" s="16"/>
      <c r="N279" s="16"/>
      <c r="O279" s="16"/>
      <c r="P279" s="16"/>
      <c r="Q279" s="16"/>
      <c r="R279" s="16"/>
      <c r="S279" s="16"/>
      <c r="T279" s="16"/>
      <c r="U279" s="16"/>
      <c r="V279" s="16"/>
      <c r="W279" s="16"/>
      <c r="X279" s="16"/>
    </row>
    <row r="280">
      <c r="A280" s="17"/>
      <c r="B280" s="17"/>
      <c r="C280" s="17"/>
      <c r="D280" s="48"/>
      <c r="E280" s="48"/>
      <c r="F280" s="16"/>
      <c r="G280" s="16"/>
      <c r="H280" s="16"/>
      <c r="I280" s="16"/>
      <c r="J280" s="16"/>
      <c r="K280" s="16"/>
      <c r="L280" s="16"/>
      <c r="M280" s="16"/>
      <c r="N280" s="16"/>
      <c r="O280" s="16"/>
      <c r="P280" s="16"/>
      <c r="Q280" s="16"/>
      <c r="R280" s="16"/>
      <c r="S280" s="16"/>
      <c r="T280" s="16"/>
      <c r="U280" s="16"/>
      <c r="V280" s="16"/>
      <c r="W280" s="16"/>
      <c r="X280" s="16"/>
    </row>
    <row r="281">
      <c r="A281" s="17"/>
      <c r="B281" s="17"/>
      <c r="C281" s="17"/>
      <c r="D281" s="48"/>
      <c r="E281" s="48"/>
      <c r="F281" s="16"/>
      <c r="G281" s="16"/>
      <c r="H281" s="16"/>
      <c r="I281" s="16"/>
      <c r="J281" s="16"/>
      <c r="K281" s="16"/>
      <c r="L281" s="16"/>
      <c r="M281" s="16"/>
      <c r="N281" s="16"/>
      <c r="O281" s="16"/>
      <c r="P281" s="16"/>
      <c r="Q281" s="16"/>
      <c r="R281" s="16"/>
      <c r="S281" s="16"/>
      <c r="T281" s="16"/>
      <c r="U281" s="16"/>
      <c r="V281" s="16"/>
      <c r="W281" s="16"/>
      <c r="X281" s="16"/>
    </row>
    <row r="282">
      <c r="A282" s="17"/>
      <c r="B282" s="17"/>
      <c r="C282" s="17"/>
      <c r="D282" s="48"/>
      <c r="E282" s="48"/>
      <c r="F282" s="16"/>
      <c r="G282" s="16"/>
      <c r="H282" s="16"/>
      <c r="I282" s="16"/>
      <c r="J282" s="16"/>
      <c r="K282" s="16"/>
      <c r="L282" s="16"/>
      <c r="M282" s="16"/>
      <c r="N282" s="16"/>
      <c r="O282" s="16"/>
      <c r="P282" s="16"/>
      <c r="Q282" s="16"/>
      <c r="R282" s="16"/>
      <c r="S282" s="16"/>
      <c r="T282" s="16"/>
      <c r="U282" s="16"/>
      <c r="V282" s="16"/>
      <c r="W282" s="16"/>
      <c r="X282" s="16"/>
    </row>
    <row r="283">
      <c r="A283" s="17"/>
      <c r="B283" s="17"/>
      <c r="C283" s="17"/>
      <c r="D283" s="48"/>
      <c r="E283" s="48"/>
      <c r="F283" s="16"/>
      <c r="G283" s="16"/>
      <c r="H283" s="16"/>
      <c r="I283" s="16"/>
      <c r="J283" s="16"/>
      <c r="K283" s="16"/>
      <c r="L283" s="16"/>
      <c r="M283" s="16"/>
      <c r="N283" s="16"/>
      <c r="O283" s="16"/>
      <c r="P283" s="16"/>
      <c r="Q283" s="16"/>
      <c r="R283" s="16"/>
      <c r="S283" s="16"/>
      <c r="T283" s="16"/>
      <c r="U283" s="16"/>
      <c r="V283" s="16"/>
      <c r="W283" s="16"/>
      <c r="X283" s="16"/>
    </row>
    <row r="284">
      <c r="A284" s="17"/>
      <c r="B284" s="17"/>
      <c r="C284" s="17"/>
      <c r="D284" s="48"/>
      <c r="E284" s="48"/>
      <c r="F284" s="16"/>
      <c r="G284" s="16"/>
      <c r="H284" s="16"/>
      <c r="I284" s="16"/>
      <c r="J284" s="16"/>
      <c r="K284" s="16"/>
      <c r="L284" s="16"/>
      <c r="M284" s="16"/>
      <c r="N284" s="16"/>
      <c r="O284" s="16"/>
      <c r="P284" s="16"/>
      <c r="Q284" s="16"/>
      <c r="R284" s="16"/>
      <c r="S284" s="16"/>
      <c r="T284" s="16"/>
      <c r="U284" s="16"/>
      <c r="V284" s="16"/>
      <c r="W284" s="16"/>
      <c r="X284" s="16"/>
    </row>
    <row r="285">
      <c r="A285" s="17"/>
      <c r="B285" s="17"/>
      <c r="C285" s="17"/>
      <c r="D285" s="48"/>
      <c r="E285" s="48"/>
      <c r="F285" s="16"/>
      <c r="G285" s="16"/>
      <c r="H285" s="16"/>
      <c r="I285" s="16"/>
      <c r="J285" s="16"/>
      <c r="K285" s="16"/>
      <c r="L285" s="16"/>
      <c r="M285" s="16"/>
      <c r="N285" s="16"/>
      <c r="O285" s="16"/>
      <c r="P285" s="16"/>
      <c r="Q285" s="16"/>
      <c r="R285" s="16"/>
      <c r="S285" s="16"/>
      <c r="T285" s="16"/>
      <c r="U285" s="16"/>
      <c r="V285" s="16"/>
      <c r="W285" s="16"/>
      <c r="X285" s="16"/>
    </row>
    <row r="286">
      <c r="A286" s="17"/>
      <c r="B286" s="17"/>
      <c r="C286" s="17"/>
      <c r="D286" s="48"/>
      <c r="E286" s="48"/>
      <c r="F286" s="16"/>
      <c r="G286" s="16"/>
      <c r="H286" s="16"/>
      <c r="I286" s="16"/>
      <c r="J286" s="16"/>
      <c r="K286" s="16"/>
      <c r="L286" s="16"/>
      <c r="M286" s="16"/>
      <c r="N286" s="16"/>
      <c r="O286" s="16"/>
      <c r="P286" s="16"/>
      <c r="Q286" s="16"/>
      <c r="R286" s="16"/>
      <c r="S286" s="16"/>
      <c r="T286" s="16"/>
      <c r="U286" s="16"/>
      <c r="V286" s="16"/>
      <c r="W286" s="16"/>
      <c r="X286" s="16"/>
    </row>
    <row r="287">
      <c r="A287" s="17"/>
      <c r="B287" s="17"/>
      <c r="C287" s="17"/>
      <c r="D287" s="48"/>
      <c r="E287" s="48"/>
      <c r="F287" s="16"/>
      <c r="G287" s="16"/>
      <c r="H287" s="16"/>
      <c r="I287" s="16"/>
      <c r="J287" s="16"/>
      <c r="K287" s="16"/>
      <c r="L287" s="16"/>
      <c r="M287" s="16"/>
      <c r="N287" s="16"/>
      <c r="O287" s="16"/>
      <c r="P287" s="16"/>
      <c r="Q287" s="16"/>
      <c r="R287" s="16"/>
      <c r="S287" s="16"/>
      <c r="T287" s="16"/>
      <c r="U287" s="16"/>
      <c r="V287" s="16"/>
      <c r="W287" s="16"/>
      <c r="X287" s="16"/>
    </row>
    <row r="288">
      <c r="A288" s="17"/>
      <c r="B288" s="17"/>
      <c r="C288" s="17"/>
      <c r="D288" s="48"/>
      <c r="E288" s="48"/>
      <c r="F288" s="16"/>
      <c r="G288" s="16"/>
      <c r="H288" s="16"/>
      <c r="I288" s="16"/>
      <c r="J288" s="16"/>
      <c r="K288" s="16"/>
      <c r="L288" s="16"/>
      <c r="M288" s="16"/>
      <c r="N288" s="16"/>
      <c r="O288" s="16"/>
      <c r="P288" s="16"/>
      <c r="Q288" s="16"/>
      <c r="R288" s="16"/>
      <c r="S288" s="16"/>
      <c r="T288" s="16"/>
      <c r="U288" s="16"/>
      <c r="V288" s="16"/>
      <c r="W288" s="16"/>
      <c r="X288" s="16"/>
    </row>
    <row r="289">
      <c r="A289" s="17"/>
      <c r="B289" s="17"/>
      <c r="C289" s="17"/>
      <c r="D289" s="48"/>
      <c r="E289" s="48"/>
      <c r="F289" s="16"/>
      <c r="G289" s="16"/>
      <c r="H289" s="16"/>
      <c r="I289" s="16"/>
      <c r="J289" s="16"/>
      <c r="K289" s="16"/>
      <c r="L289" s="16"/>
      <c r="M289" s="16"/>
      <c r="N289" s="16"/>
      <c r="O289" s="16"/>
      <c r="P289" s="16"/>
      <c r="Q289" s="16"/>
      <c r="R289" s="16"/>
      <c r="S289" s="16"/>
      <c r="T289" s="16"/>
      <c r="U289" s="16"/>
      <c r="V289" s="16"/>
      <c r="W289" s="16"/>
      <c r="X289" s="16"/>
    </row>
    <row r="290">
      <c r="A290" s="17"/>
      <c r="B290" s="17"/>
      <c r="C290" s="17"/>
      <c r="D290" s="48"/>
      <c r="E290" s="48"/>
      <c r="F290" s="16"/>
      <c r="G290" s="16"/>
      <c r="H290" s="16"/>
      <c r="I290" s="16"/>
      <c r="J290" s="16"/>
      <c r="K290" s="16"/>
      <c r="L290" s="16"/>
      <c r="M290" s="16"/>
      <c r="N290" s="16"/>
      <c r="O290" s="16"/>
      <c r="P290" s="16"/>
      <c r="Q290" s="16"/>
      <c r="R290" s="16"/>
      <c r="S290" s="16"/>
      <c r="T290" s="16"/>
      <c r="U290" s="16"/>
      <c r="V290" s="16"/>
      <c r="W290" s="16"/>
      <c r="X290" s="16"/>
    </row>
    <row r="291">
      <c r="A291" s="17"/>
      <c r="B291" s="17"/>
      <c r="C291" s="17"/>
      <c r="D291" s="48"/>
      <c r="E291" s="48"/>
      <c r="F291" s="16"/>
      <c r="G291" s="16"/>
      <c r="H291" s="16"/>
      <c r="I291" s="16"/>
      <c r="J291" s="16"/>
      <c r="K291" s="16"/>
      <c r="L291" s="16"/>
      <c r="M291" s="16"/>
      <c r="N291" s="16"/>
      <c r="O291" s="16"/>
      <c r="P291" s="16"/>
      <c r="Q291" s="16"/>
      <c r="R291" s="16"/>
      <c r="S291" s="16"/>
      <c r="T291" s="16"/>
      <c r="U291" s="16"/>
      <c r="V291" s="16"/>
      <c r="W291" s="16"/>
      <c r="X291" s="16"/>
    </row>
    <row r="292">
      <c r="A292" s="17"/>
      <c r="B292" s="17"/>
      <c r="C292" s="17"/>
      <c r="D292" s="48"/>
      <c r="E292" s="48"/>
      <c r="F292" s="16"/>
      <c r="G292" s="16"/>
      <c r="H292" s="16"/>
      <c r="I292" s="16"/>
      <c r="J292" s="16"/>
      <c r="K292" s="16"/>
      <c r="L292" s="16"/>
      <c r="M292" s="16"/>
      <c r="N292" s="16"/>
      <c r="O292" s="16"/>
      <c r="P292" s="16"/>
      <c r="Q292" s="16"/>
      <c r="R292" s="16"/>
      <c r="S292" s="16"/>
      <c r="T292" s="16"/>
      <c r="U292" s="16"/>
      <c r="V292" s="16"/>
      <c r="W292" s="16"/>
      <c r="X292" s="16"/>
    </row>
    <row r="293">
      <c r="A293" s="17"/>
      <c r="B293" s="17"/>
      <c r="C293" s="17"/>
      <c r="D293" s="48"/>
      <c r="E293" s="48"/>
      <c r="F293" s="16"/>
      <c r="G293" s="16"/>
      <c r="H293" s="16"/>
      <c r="I293" s="16"/>
      <c r="J293" s="16"/>
      <c r="K293" s="16"/>
      <c r="L293" s="16"/>
      <c r="M293" s="16"/>
      <c r="N293" s="16"/>
      <c r="O293" s="16"/>
      <c r="P293" s="16"/>
      <c r="Q293" s="16"/>
      <c r="R293" s="16"/>
      <c r="S293" s="16"/>
      <c r="T293" s="16"/>
      <c r="U293" s="16"/>
      <c r="V293" s="16"/>
      <c r="W293" s="16"/>
      <c r="X293" s="16"/>
    </row>
    <row r="294">
      <c r="A294" s="17"/>
      <c r="B294" s="17"/>
      <c r="C294" s="17"/>
      <c r="D294" s="48"/>
      <c r="E294" s="48"/>
      <c r="F294" s="16"/>
      <c r="G294" s="16"/>
      <c r="H294" s="16"/>
      <c r="I294" s="16"/>
      <c r="J294" s="16"/>
      <c r="K294" s="16"/>
      <c r="L294" s="16"/>
      <c r="M294" s="16"/>
      <c r="N294" s="16"/>
      <c r="O294" s="16"/>
      <c r="P294" s="16"/>
      <c r="Q294" s="16"/>
      <c r="R294" s="16"/>
      <c r="S294" s="16"/>
      <c r="T294" s="16"/>
      <c r="U294" s="16"/>
      <c r="V294" s="16"/>
      <c r="W294" s="16"/>
      <c r="X294" s="16"/>
    </row>
    <row r="295">
      <c r="A295" s="17"/>
      <c r="B295" s="17"/>
      <c r="C295" s="17"/>
      <c r="D295" s="48"/>
      <c r="E295" s="48"/>
      <c r="F295" s="16"/>
      <c r="G295" s="16"/>
      <c r="H295" s="16"/>
      <c r="I295" s="16"/>
      <c r="J295" s="16"/>
      <c r="K295" s="16"/>
      <c r="L295" s="16"/>
      <c r="M295" s="16"/>
      <c r="N295" s="16"/>
      <c r="O295" s="16"/>
      <c r="P295" s="16"/>
      <c r="Q295" s="16"/>
      <c r="R295" s="16"/>
      <c r="S295" s="16"/>
      <c r="T295" s="16"/>
      <c r="U295" s="16"/>
      <c r="V295" s="16"/>
      <c r="W295" s="16"/>
      <c r="X295" s="16"/>
    </row>
    <row r="296">
      <c r="A296" s="17"/>
      <c r="B296" s="17"/>
      <c r="C296" s="17"/>
      <c r="D296" s="48"/>
      <c r="E296" s="48"/>
      <c r="F296" s="16"/>
      <c r="G296" s="16"/>
      <c r="H296" s="16"/>
      <c r="I296" s="16"/>
      <c r="J296" s="16"/>
      <c r="K296" s="16"/>
      <c r="L296" s="16"/>
      <c r="M296" s="16"/>
      <c r="N296" s="16"/>
      <c r="O296" s="16"/>
      <c r="P296" s="16"/>
      <c r="Q296" s="16"/>
      <c r="R296" s="16"/>
      <c r="S296" s="16"/>
      <c r="T296" s="16"/>
      <c r="U296" s="16"/>
      <c r="V296" s="16"/>
      <c r="W296" s="16"/>
      <c r="X296" s="16"/>
    </row>
    <row r="297">
      <c r="A297" s="17"/>
      <c r="B297" s="17"/>
      <c r="C297" s="17"/>
      <c r="D297" s="48"/>
      <c r="E297" s="48"/>
      <c r="F297" s="16"/>
      <c r="G297" s="16"/>
      <c r="H297" s="16"/>
      <c r="I297" s="16"/>
      <c r="J297" s="16"/>
      <c r="K297" s="16"/>
      <c r="L297" s="16"/>
      <c r="M297" s="16"/>
      <c r="N297" s="16"/>
      <c r="O297" s="16"/>
      <c r="P297" s="16"/>
      <c r="Q297" s="16"/>
      <c r="R297" s="16"/>
      <c r="S297" s="16"/>
      <c r="T297" s="16"/>
      <c r="U297" s="16"/>
      <c r="V297" s="16"/>
      <c r="W297" s="16"/>
      <c r="X297" s="16"/>
    </row>
    <row r="298">
      <c r="A298" s="17"/>
      <c r="B298" s="17"/>
      <c r="C298" s="17"/>
      <c r="D298" s="48"/>
      <c r="E298" s="48"/>
      <c r="F298" s="16"/>
      <c r="G298" s="16"/>
      <c r="H298" s="16"/>
      <c r="I298" s="16"/>
      <c r="J298" s="16"/>
      <c r="K298" s="16"/>
      <c r="L298" s="16"/>
      <c r="M298" s="16"/>
      <c r="N298" s="16"/>
      <c r="O298" s="16"/>
      <c r="P298" s="16"/>
      <c r="Q298" s="16"/>
      <c r="R298" s="16"/>
      <c r="S298" s="16"/>
      <c r="T298" s="16"/>
      <c r="U298" s="16"/>
      <c r="V298" s="16"/>
      <c r="W298" s="16"/>
      <c r="X298" s="16"/>
    </row>
    <row r="299">
      <c r="A299" s="17"/>
      <c r="B299" s="17"/>
      <c r="C299" s="17"/>
      <c r="D299" s="48"/>
      <c r="E299" s="48"/>
      <c r="F299" s="16"/>
      <c r="G299" s="16"/>
      <c r="H299" s="16"/>
      <c r="I299" s="16"/>
      <c r="J299" s="16"/>
      <c r="K299" s="16"/>
      <c r="L299" s="16"/>
      <c r="M299" s="16"/>
      <c r="N299" s="16"/>
      <c r="O299" s="16"/>
      <c r="P299" s="16"/>
      <c r="Q299" s="16"/>
      <c r="R299" s="16"/>
      <c r="S299" s="16"/>
      <c r="T299" s="16"/>
      <c r="U299" s="16"/>
      <c r="V299" s="16"/>
      <c r="W299" s="16"/>
      <c r="X299" s="16"/>
    </row>
    <row r="300">
      <c r="A300" s="17"/>
      <c r="B300" s="17"/>
      <c r="C300" s="17"/>
      <c r="D300" s="48"/>
      <c r="E300" s="48"/>
      <c r="F300" s="16"/>
      <c r="G300" s="16"/>
      <c r="H300" s="16"/>
      <c r="I300" s="16"/>
      <c r="J300" s="16"/>
      <c r="K300" s="16"/>
      <c r="L300" s="16"/>
      <c r="M300" s="16"/>
      <c r="N300" s="16"/>
      <c r="O300" s="16"/>
      <c r="P300" s="16"/>
      <c r="Q300" s="16"/>
      <c r="R300" s="16"/>
      <c r="S300" s="16"/>
      <c r="T300" s="16"/>
      <c r="U300" s="16"/>
      <c r="V300" s="16"/>
      <c r="W300" s="16"/>
      <c r="X300" s="16"/>
    </row>
    <row r="301">
      <c r="A301" s="17"/>
      <c r="B301" s="17"/>
      <c r="C301" s="17"/>
      <c r="D301" s="48"/>
      <c r="E301" s="48"/>
      <c r="F301" s="16"/>
      <c r="G301" s="16"/>
      <c r="H301" s="16"/>
      <c r="I301" s="16"/>
      <c r="J301" s="16"/>
      <c r="K301" s="16"/>
      <c r="L301" s="16"/>
      <c r="M301" s="16"/>
      <c r="N301" s="16"/>
      <c r="O301" s="16"/>
      <c r="P301" s="16"/>
      <c r="Q301" s="16"/>
      <c r="R301" s="16"/>
      <c r="S301" s="16"/>
      <c r="T301" s="16"/>
      <c r="U301" s="16"/>
      <c r="V301" s="16"/>
      <c r="W301" s="16"/>
      <c r="X301" s="16"/>
    </row>
    <row r="302">
      <c r="A302" s="17"/>
      <c r="B302" s="17"/>
      <c r="C302" s="17"/>
      <c r="D302" s="48"/>
      <c r="E302" s="48"/>
      <c r="F302" s="16"/>
      <c r="G302" s="16"/>
      <c r="H302" s="16"/>
      <c r="I302" s="16"/>
      <c r="J302" s="16"/>
      <c r="K302" s="16"/>
      <c r="L302" s="16"/>
      <c r="M302" s="16"/>
      <c r="N302" s="16"/>
      <c r="O302" s="16"/>
      <c r="P302" s="16"/>
      <c r="Q302" s="16"/>
      <c r="R302" s="16"/>
      <c r="S302" s="16"/>
      <c r="T302" s="16"/>
      <c r="U302" s="16"/>
      <c r="V302" s="16"/>
      <c r="W302" s="16"/>
      <c r="X302" s="16"/>
    </row>
    <row r="303">
      <c r="A303" s="17"/>
      <c r="B303" s="17"/>
      <c r="C303" s="17"/>
      <c r="D303" s="48"/>
      <c r="E303" s="48"/>
      <c r="F303" s="16"/>
      <c r="G303" s="16"/>
      <c r="H303" s="16"/>
      <c r="I303" s="16"/>
      <c r="J303" s="16"/>
      <c r="K303" s="16"/>
      <c r="L303" s="16"/>
      <c r="M303" s="16"/>
      <c r="N303" s="16"/>
      <c r="O303" s="16"/>
      <c r="P303" s="16"/>
      <c r="Q303" s="16"/>
      <c r="R303" s="16"/>
      <c r="S303" s="16"/>
      <c r="T303" s="16"/>
      <c r="U303" s="16"/>
      <c r="V303" s="16"/>
      <c r="W303" s="16"/>
      <c r="X303" s="16"/>
    </row>
    <row r="304">
      <c r="A304" s="17"/>
      <c r="B304" s="17"/>
      <c r="C304" s="17"/>
      <c r="D304" s="48"/>
      <c r="E304" s="48"/>
      <c r="F304" s="16"/>
      <c r="G304" s="16"/>
      <c r="H304" s="16"/>
      <c r="I304" s="16"/>
      <c r="J304" s="16"/>
      <c r="K304" s="16"/>
      <c r="L304" s="16"/>
      <c r="M304" s="16"/>
      <c r="N304" s="16"/>
      <c r="O304" s="16"/>
      <c r="P304" s="16"/>
      <c r="Q304" s="16"/>
      <c r="R304" s="16"/>
      <c r="S304" s="16"/>
      <c r="T304" s="16"/>
      <c r="U304" s="16"/>
      <c r="V304" s="16"/>
      <c r="W304" s="16"/>
      <c r="X304" s="16"/>
    </row>
    <row r="305">
      <c r="A305" s="17"/>
      <c r="B305" s="17"/>
      <c r="C305" s="17"/>
      <c r="D305" s="48"/>
      <c r="E305" s="48"/>
      <c r="F305" s="16"/>
      <c r="G305" s="16"/>
      <c r="H305" s="16"/>
      <c r="I305" s="16"/>
      <c r="J305" s="16"/>
      <c r="K305" s="16"/>
      <c r="L305" s="16"/>
      <c r="M305" s="16"/>
      <c r="N305" s="16"/>
      <c r="O305" s="16"/>
      <c r="P305" s="16"/>
      <c r="Q305" s="16"/>
      <c r="R305" s="16"/>
      <c r="S305" s="16"/>
      <c r="T305" s="16"/>
      <c r="U305" s="16"/>
      <c r="V305" s="16"/>
      <c r="W305" s="16"/>
      <c r="X305" s="16"/>
    </row>
    <row r="306">
      <c r="A306" s="17"/>
      <c r="B306" s="17"/>
      <c r="C306" s="17"/>
      <c r="D306" s="48"/>
      <c r="E306" s="48"/>
      <c r="F306" s="16"/>
      <c r="G306" s="16"/>
      <c r="H306" s="16"/>
      <c r="I306" s="16"/>
      <c r="J306" s="16"/>
      <c r="K306" s="16"/>
      <c r="L306" s="16"/>
      <c r="M306" s="16"/>
      <c r="N306" s="16"/>
      <c r="O306" s="16"/>
      <c r="P306" s="16"/>
      <c r="Q306" s="16"/>
      <c r="R306" s="16"/>
      <c r="S306" s="16"/>
      <c r="T306" s="16"/>
      <c r="U306" s="16"/>
      <c r="V306" s="16"/>
      <c r="W306" s="16"/>
      <c r="X306" s="16"/>
    </row>
    <row r="307">
      <c r="A307" s="17"/>
      <c r="B307" s="17"/>
      <c r="C307" s="17"/>
      <c r="D307" s="48"/>
      <c r="E307" s="48"/>
      <c r="F307" s="16"/>
      <c r="G307" s="16"/>
      <c r="H307" s="16"/>
      <c r="I307" s="16"/>
      <c r="J307" s="16"/>
      <c r="K307" s="16"/>
      <c r="L307" s="16"/>
      <c r="M307" s="16"/>
      <c r="N307" s="16"/>
      <c r="O307" s="16"/>
      <c r="P307" s="16"/>
      <c r="Q307" s="16"/>
      <c r="R307" s="16"/>
      <c r="S307" s="16"/>
      <c r="T307" s="16"/>
      <c r="U307" s="16"/>
      <c r="V307" s="16"/>
      <c r="W307" s="16"/>
      <c r="X307" s="16"/>
    </row>
    <row r="308">
      <c r="A308" s="17"/>
      <c r="B308" s="17"/>
      <c r="C308" s="17"/>
      <c r="D308" s="48"/>
      <c r="E308" s="48"/>
      <c r="F308" s="16"/>
      <c r="G308" s="16"/>
      <c r="H308" s="16"/>
      <c r="I308" s="16"/>
      <c r="J308" s="16"/>
      <c r="K308" s="16"/>
      <c r="L308" s="16"/>
      <c r="M308" s="16"/>
      <c r="N308" s="16"/>
      <c r="O308" s="16"/>
      <c r="P308" s="16"/>
      <c r="Q308" s="16"/>
      <c r="R308" s="16"/>
      <c r="S308" s="16"/>
      <c r="T308" s="16"/>
      <c r="U308" s="16"/>
      <c r="V308" s="16"/>
      <c r="W308" s="16"/>
      <c r="X308" s="16"/>
    </row>
    <row r="309">
      <c r="A309" s="17"/>
      <c r="B309" s="17"/>
      <c r="C309" s="17"/>
      <c r="D309" s="48"/>
      <c r="E309" s="48"/>
      <c r="F309" s="16"/>
      <c r="G309" s="16"/>
      <c r="H309" s="16"/>
      <c r="I309" s="16"/>
      <c r="J309" s="16"/>
      <c r="K309" s="16"/>
      <c r="L309" s="16"/>
      <c r="M309" s="16"/>
      <c r="N309" s="16"/>
      <c r="O309" s="16"/>
      <c r="P309" s="16"/>
      <c r="Q309" s="16"/>
      <c r="R309" s="16"/>
      <c r="S309" s="16"/>
      <c r="T309" s="16"/>
      <c r="U309" s="16"/>
      <c r="V309" s="16"/>
      <c r="W309" s="16"/>
      <c r="X309" s="16"/>
    </row>
    <row r="310">
      <c r="A310" s="17"/>
      <c r="B310" s="17"/>
      <c r="C310" s="17"/>
      <c r="D310" s="48"/>
      <c r="E310" s="48"/>
      <c r="F310" s="16"/>
      <c r="G310" s="16"/>
      <c r="H310" s="16"/>
      <c r="I310" s="16"/>
      <c r="J310" s="16"/>
      <c r="K310" s="16"/>
      <c r="L310" s="16"/>
      <c r="M310" s="16"/>
      <c r="N310" s="16"/>
      <c r="O310" s="16"/>
      <c r="P310" s="16"/>
      <c r="Q310" s="16"/>
      <c r="R310" s="16"/>
      <c r="S310" s="16"/>
      <c r="T310" s="16"/>
      <c r="U310" s="16"/>
      <c r="V310" s="16"/>
      <c r="W310" s="16"/>
      <c r="X310" s="16"/>
    </row>
    <row r="311">
      <c r="A311" s="17"/>
      <c r="B311" s="17"/>
      <c r="C311" s="17"/>
      <c r="D311" s="48"/>
      <c r="E311" s="48"/>
      <c r="F311" s="16"/>
      <c r="G311" s="16"/>
      <c r="H311" s="16"/>
      <c r="I311" s="16"/>
      <c r="J311" s="16"/>
      <c r="K311" s="16"/>
      <c r="L311" s="16"/>
      <c r="M311" s="16"/>
      <c r="N311" s="16"/>
      <c r="O311" s="16"/>
      <c r="P311" s="16"/>
      <c r="Q311" s="16"/>
      <c r="R311" s="16"/>
      <c r="S311" s="16"/>
      <c r="T311" s="16"/>
      <c r="U311" s="16"/>
      <c r="V311" s="16"/>
      <c r="W311" s="16"/>
      <c r="X311" s="16"/>
    </row>
    <row r="312">
      <c r="A312" s="17"/>
      <c r="B312" s="17"/>
      <c r="C312" s="17"/>
      <c r="D312" s="48"/>
      <c r="E312" s="48"/>
      <c r="F312" s="16"/>
      <c r="G312" s="16"/>
      <c r="H312" s="16"/>
      <c r="I312" s="16"/>
      <c r="J312" s="16"/>
      <c r="K312" s="16"/>
      <c r="L312" s="16"/>
      <c r="M312" s="16"/>
      <c r="N312" s="16"/>
      <c r="O312" s="16"/>
      <c r="P312" s="16"/>
      <c r="Q312" s="16"/>
      <c r="R312" s="16"/>
      <c r="S312" s="16"/>
      <c r="T312" s="16"/>
      <c r="U312" s="16"/>
      <c r="V312" s="16"/>
      <c r="W312" s="16"/>
      <c r="X312" s="16"/>
    </row>
    <row r="313">
      <c r="A313" s="17"/>
      <c r="B313" s="17"/>
      <c r="C313" s="17"/>
      <c r="D313" s="48"/>
      <c r="E313" s="48"/>
      <c r="F313" s="16"/>
      <c r="G313" s="16"/>
      <c r="H313" s="16"/>
      <c r="I313" s="16"/>
      <c r="J313" s="16"/>
      <c r="K313" s="16"/>
      <c r="L313" s="16"/>
      <c r="M313" s="16"/>
      <c r="N313" s="16"/>
      <c r="O313" s="16"/>
      <c r="P313" s="16"/>
      <c r="Q313" s="16"/>
      <c r="R313" s="16"/>
      <c r="S313" s="16"/>
      <c r="T313" s="16"/>
      <c r="U313" s="16"/>
      <c r="V313" s="16"/>
      <c r="W313" s="16"/>
      <c r="X313" s="16"/>
    </row>
    <row r="314">
      <c r="A314" s="17"/>
      <c r="B314" s="17"/>
      <c r="C314" s="17"/>
      <c r="D314" s="48"/>
      <c r="E314" s="48"/>
      <c r="F314" s="16"/>
      <c r="G314" s="16"/>
      <c r="H314" s="16"/>
      <c r="I314" s="16"/>
      <c r="J314" s="16"/>
      <c r="K314" s="16"/>
      <c r="L314" s="16"/>
      <c r="M314" s="16"/>
      <c r="N314" s="16"/>
      <c r="O314" s="16"/>
      <c r="P314" s="16"/>
      <c r="Q314" s="16"/>
      <c r="R314" s="16"/>
      <c r="S314" s="16"/>
      <c r="T314" s="16"/>
      <c r="U314" s="16"/>
      <c r="V314" s="16"/>
      <c r="W314" s="16"/>
      <c r="X314" s="16"/>
    </row>
    <row r="315">
      <c r="A315" s="17"/>
      <c r="B315" s="17"/>
      <c r="C315" s="17"/>
      <c r="D315" s="48"/>
      <c r="E315" s="48"/>
      <c r="F315" s="16"/>
      <c r="G315" s="16"/>
      <c r="H315" s="16"/>
      <c r="I315" s="16"/>
      <c r="J315" s="16"/>
      <c r="K315" s="16"/>
      <c r="L315" s="16"/>
      <c r="M315" s="16"/>
      <c r="N315" s="16"/>
      <c r="O315" s="16"/>
      <c r="P315" s="16"/>
      <c r="Q315" s="16"/>
      <c r="R315" s="16"/>
      <c r="S315" s="16"/>
      <c r="T315" s="16"/>
      <c r="U315" s="16"/>
      <c r="V315" s="16"/>
      <c r="W315" s="16"/>
      <c r="X315" s="16"/>
    </row>
    <row r="316">
      <c r="A316" s="17"/>
      <c r="B316" s="17"/>
      <c r="C316" s="17"/>
      <c r="D316" s="48"/>
      <c r="E316" s="48"/>
      <c r="F316" s="16"/>
      <c r="G316" s="16"/>
      <c r="H316" s="16"/>
      <c r="I316" s="16"/>
      <c r="J316" s="16"/>
      <c r="K316" s="16"/>
      <c r="L316" s="16"/>
      <c r="M316" s="16"/>
      <c r="N316" s="16"/>
      <c r="O316" s="16"/>
      <c r="P316" s="16"/>
      <c r="Q316" s="16"/>
      <c r="R316" s="16"/>
      <c r="S316" s="16"/>
      <c r="T316" s="16"/>
      <c r="U316" s="16"/>
      <c r="V316" s="16"/>
      <c r="W316" s="16"/>
      <c r="X316" s="16"/>
    </row>
    <row r="317">
      <c r="A317" s="17"/>
      <c r="B317" s="17"/>
      <c r="C317" s="17"/>
      <c r="D317" s="48"/>
      <c r="E317" s="48"/>
      <c r="F317" s="16"/>
      <c r="G317" s="16"/>
      <c r="H317" s="16"/>
      <c r="I317" s="16"/>
      <c r="J317" s="16"/>
      <c r="K317" s="16"/>
      <c r="L317" s="16"/>
      <c r="M317" s="16"/>
      <c r="N317" s="16"/>
      <c r="O317" s="16"/>
      <c r="P317" s="16"/>
      <c r="Q317" s="16"/>
      <c r="R317" s="16"/>
      <c r="S317" s="16"/>
      <c r="T317" s="16"/>
      <c r="U317" s="16"/>
      <c r="V317" s="16"/>
      <c r="W317" s="16"/>
      <c r="X317" s="16"/>
    </row>
    <row r="318">
      <c r="A318" s="17"/>
      <c r="B318" s="17"/>
      <c r="C318" s="17"/>
      <c r="D318" s="48"/>
      <c r="E318" s="48"/>
      <c r="F318" s="16"/>
      <c r="G318" s="16"/>
      <c r="H318" s="16"/>
      <c r="I318" s="16"/>
      <c r="J318" s="16"/>
      <c r="K318" s="16"/>
      <c r="L318" s="16"/>
      <c r="M318" s="16"/>
      <c r="N318" s="16"/>
      <c r="O318" s="16"/>
      <c r="P318" s="16"/>
      <c r="Q318" s="16"/>
      <c r="R318" s="16"/>
      <c r="S318" s="16"/>
      <c r="T318" s="16"/>
      <c r="U318" s="16"/>
      <c r="V318" s="16"/>
      <c r="W318" s="16"/>
      <c r="X318" s="16"/>
    </row>
    <row r="319">
      <c r="A319" s="17"/>
      <c r="B319" s="17"/>
      <c r="C319" s="17"/>
      <c r="D319" s="48"/>
      <c r="E319" s="48"/>
      <c r="F319" s="16"/>
      <c r="G319" s="16"/>
      <c r="H319" s="16"/>
      <c r="I319" s="16"/>
      <c r="J319" s="16"/>
      <c r="K319" s="16"/>
      <c r="L319" s="16"/>
      <c r="M319" s="16"/>
      <c r="N319" s="16"/>
      <c r="O319" s="16"/>
      <c r="P319" s="16"/>
      <c r="Q319" s="16"/>
      <c r="R319" s="16"/>
      <c r="S319" s="16"/>
      <c r="T319" s="16"/>
      <c r="U319" s="16"/>
      <c r="V319" s="16"/>
      <c r="W319" s="16"/>
      <c r="X319" s="16"/>
    </row>
    <row r="320">
      <c r="A320" s="17"/>
      <c r="B320" s="17"/>
      <c r="C320" s="17"/>
      <c r="D320" s="48"/>
      <c r="E320" s="48"/>
      <c r="F320" s="16"/>
      <c r="G320" s="16"/>
      <c r="H320" s="16"/>
      <c r="I320" s="16"/>
      <c r="J320" s="16"/>
      <c r="K320" s="16"/>
      <c r="L320" s="16"/>
      <c r="M320" s="16"/>
      <c r="N320" s="16"/>
      <c r="O320" s="16"/>
      <c r="P320" s="16"/>
      <c r="Q320" s="16"/>
      <c r="R320" s="16"/>
      <c r="S320" s="16"/>
      <c r="T320" s="16"/>
      <c r="U320" s="16"/>
      <c r="V320" s="16"/>
      <c r="W320" s="16"/>
      <c r="X320" s="16"/>
    </row>
    <row r="321">
      <c r="A321" s="17"/>
      <c r="B321" s="17"/>
      <c r="C321" s="17"/>
      <c r="D321" s="48"/>
      <c r="E321" s="48"/>
      <c r="F321" s="16"/>
      <c r="G321" s="16"/>
      <c r="H321" s="16"/>
      <c r="I321" s="16"/>
      <c r="J321" s="16"/>
      <c r="K321" s="16"/>
      <c r="L321" s="16"/>
      <c r="M321" s="16"/>
      <c r="N321" s="16"/>
      <c r="O321" s="16"/>
      <c r="P321" s="16"/>
      <c r="Q321" s="16"/>
      <c r="R321" s="16"/>
      <c r="S321" s="16"/>
      <c r="T321" s="16"/>
      <c r="U321" s="16"/>
      <c r="V321" s="16"/>
      <c r="W321" s="16"/>
      <c r="X321" s="16"/>
    </row>
    <row r="322">
      <c r="A322" s="17"/>
      <c r="B322" s="17"/>
      <c r="C322" s="17"/>
      <c r="D322" s="48"/>
      <c r="E322" s="48"/>
      <c r="F322" s="16"/>
      <c r="G322" s="16"/>
      <c r="H322" s="16"/>
      <c r="I322" s="16"/>
      <c r="J322" s="16"/>
      <c r="K322" s="16"/>
      <c r="L322" s="16"/>
      <c r="M322" s="16"/>
      <c r="N322" s="16"/>
      <c r="O322" s="16"/>
      <c r="P322" s="16"/>
      <c r="Q322" s="16"/>
      <c r="R322" s="16"/>
      <c r="S322" s="16"/>
      <c r="T322" s="16"/>
      <c r="U322" s="16"/>
      <c r="V322" s="16"/>
      <c r="W322" s="16"/>
      <c r="X322" s="16"/>
    </row>
    <row r="323">
      <c r="A323" s="17"/>
      <c r="B323" s="17"/>
      <c r="C323" s="17"/>
      <c r="D323" s="48"/>
      <c r="E323" s="48"/>
      <c r="F323" s="16"/>
      <c r="G323" s="16"/>
      <c r="H323" s="16"/>
      <c r="I323" s="16"/>
      <c r="J323" s="16"/>
      <c r="K323" s="16"/>
      <c r="L323" s="16"/>
      <c r="M323" s="16"/>
      <c r="N323" s="16"/>
      <c r="O323" s="16"/>
      <c r="P323" s="16"/>
      <c r="Q323" s="16"/>
      <c r="R323" s="16"/>
      <c r="S323" s="16"/>
      <c r="T323" s="16"/>
      <c r="U323" s="16"/>
      <c r="V323" s="16"/>
      <c r="W323" s="16"/>
      <c r="X323" s="16"/>
    </row>
    <row r="324">
      <c r="A324" s="17"/>
      <c r="B324" s="17"/>
      <c r="C324" s="17"/>
      <c r="D324" s="48"/>
      <c r="E324" s="48"/>
      <c r="F324" s="16"/>
      <c r="G324" s="16"/>
      <c r="H324" s="16"/>
      <c r="I324" s="16"/>
      <c r="J324" s="16"/>
      <c r="K324" s="16"/>
      <c r="L324" s="16"/>
      <c r="M324" s="16"/>
      <c r="N324" s="16"/>
      <c r="O324" s="16"/>
      <c r="P324" s="16"/>
      <c r="Q324" s="16"/>
      <c r="R324" s="16"/>
      <c r="S324" s="16"/>
      <c r="T324" s="16"/>
      <c r="U324" s="16"/>
      <c r="V324" s="16"/>
      <c r="W324" s="16"/>
      <c r="X324" s="16"/>
    </row>
    <row r="325">
      <c r="A325" s="17"/>
      <c r="B325" s="17"/>
      <c r="C325" s="17"/>
      <c r="D325" s="48"/>
      <c r="E325" s="48"/>
      <c r="F325" s="16"/>
      <c r="G325" s="16"/>
      <c r="H325" s="16"/>
      <c r="I325" s="16"/>
      <c r="J325" s="16"/>
      <c r="K325" s="16"/>
      <c r="L325" s="16"/>
      <c r="M325" s="16"/>
      <c r="N325" s="16"/>
      <c r="O325" s="16"/>
      <c r="P325" s="16"/>
      <c r="Q325" s="16"/>
      <c r="R325" s="16"/>
      <c r="S325" s="16"/>
      <c r="T325" s="16"/>
      <c r="U325" s="16"/>
      <c r="V325" s="16"/>
      <c r="W325" s="16"/>
      <c r="X325" s="16"/>
    </row>
    <row r="326">
      <c r="A326" s="17"/>
      <c r="B326" s="17"/>
      <c r="C326" s="17"/>
      <c r="D326" s="48"/>
      <c r="E326" s="48"/>
      <c r="F326" s="16"/>
      <c r="G326" s="16"/>
      <c r="H326" s="16"/>
      <c r="I326" s="16"/>
      <c r="J326" s="16"/>
      <c r="K326" s="16"/>
      <c r="L326" s="16"/>
      <c r="M326" s="16"/>
      <c r="N326" s="16"/>
      <c r="O326" s="16"/>
      <c r="P326" s="16"/>
      <c r="Q326" s="16"/>
      <c r="R326" s="16"/>
      <c r="S326" s="16"/>
      <c r="T326" s="16"/>
      <c r="U326" s="16"/>
      <c r="V326" s="16"/>
      <c r="W326" s="16"/>
      <c r="X326" s="16"/>
    </row>
    <row r="327">
      <c r="A327" s="17"/>
      <c r="B327" s="17"/>
      <c r="C327" s="17"/>
      <c r="D327" s="48"/>
      <c r="E327" s="48"/>
      <c r="F327" s="16"/>
      <c r="G327" s="16"/>
      <c r="H327" s="16"/>
      <c r="I327" s="16"/>
      <c r="J327" s="16"/>
      <c r="K327" s="16"/>
      <c r="L327" s="16"/>
      <c r="M327" s="16"/>
      <c r="N327" s="16"/>
      <c r="O327" s="16"/>
      <c r="P327" s="16"/>
      <c r="Q327" s="16"/>
      <c r="R327" s="16"/>
      <c r="S327" s="16"/>
      <c r="T327" s="16"/>
      <c r="U327" s="16"/>
      <c r="V327" s="16"/>
      <c r="W327" s="16"/>
      <c r="X327" s="16"/>
    </row>
    <row r="328">
      <c r="A328" s="17"/>
      <c r="B328" s="17"/>
      <c r="C328" s="17"/>
      <c r="D328" s="48"/>
      <c r="E328" s="48"/>
      <c r="F328" s="16"/>
      <c r="G328" s="16"/>
      <c r="H328" s="16"/>
      <c r="I328" s="16"/>
      <c r="J328" s="16"/>
      <c r="K328" s="16"/>
      <c r="L328" s="16"/>
      <c r="M328" s="16"/>
      <c r="N328" s="16"/>
      <c r="O328" s="16"/>
      <c r="P328" s="16"/>
      <c r="Q328" s="16"/>
      <c r="R328" s="16"/>
      <c r="S328" s="16"/>
      <c r="T328" s="16"/>
      <c r="U328" s="16"/>
      <c r="V328" s="16"/>
      <c r="W328" s="16"/>
      <c r="X328" s="16"/>
    </row>
    <row r="329">
      <c r="A329" s="17"/>
      <c r="B329" s="17"/>
      <c r="C329" s="17"/>
      <c r="D329" s="48"/>
      <c r="E329" s="48"/>
      <c r="F329" s="16"/>
      <c r="G329" s="16"/>
      <c r="H329" s="16"/>
      <c r="I329" s="16"/>
      <c r="J329" s="16"/>
      <c r="K329" s="16"/>
      <c r="L329" s="16"/>
      <c r="M329" s="16"/>
      <c r="N329" s="16"/>
      <c r="O329" s="16"/>
      <c r="P329" s="16"/>
      <c r="Q329" s="16"/>
      <c r="R329" s="16"/>
      <c r="S329" s="16"/>
      <c r="T329" s="16"/>
      <c r="U329" s="16"/>
      <c r="V329" s="16"/>
      <c r="W329" s="16"/>
      <c r="X329" s="16"/>
    </row>
    <row r="330">
      <c r="A330" s="17"/>
      <c r="B330" s="17"/>
      <c r="C330" s="17"/>
      <c r="D330" s="48"/>
      <c r="E330" s="48"/>
      <c r="F330" s="16"/>
      <c r="G330" s="16"/>
      <c r="H330" s="16"/>
      <c r="I330" s="16"/>
      <c r="J330" s="16"/>
      <c r="K330" s="16"/>
      <c r="L330" s="16"/>
      <c r="M330" s="16"/>
      <c r="N330" s="16"/>
      <c r="O330" s="16"/>
      <c r="P330" s="16"/>
      <c r="Q330" s="16"/>
      <c r="R330" s="16"/>
      <c r="S330" s="16"/>
      <c r="T330" s="16"/>
      <c r="U330" s="16"/>
      <c r="V330" s="16"/>
      <c r="W330" s="16"/>
      <c r="X330" s="16"/>
    </row>
    <row r="331">
      <c r="A331" s="17"/>
      <c r="B331" s="17"/>
      <c r="C331" s="17"/>
      <c r="D331" s="48"/>
      <c r="E331" s="48"/>
      <c r="F331" s="16"/>
      <c r="G331" s="16"/>
      <c r="H331" s="16"/>
      <c r="I331" s="16"/>
      <c r="J331" s="16"/>
      <c r="K331" s="16"/>
      <c r="L331" s="16"/>
      <c r="M331" s="16"/>
      <c r="N331" s="16"/>
      <c r="O331" s="16"/>
      <c r="P331" s="16"/>
      <c r="Q331" s="16"/>
      <c r="R331" s="16"/>
      <c r="S331" s="16"/>
      <c r="T331" s="16"/>
      <c r="U331" s="16"/>
      <c r="V331" s="16"/>
      <c r="W331" s="16"/>
      <c r="X331" s="16"/>
    </row>
    <row r="332">
      <c r="A332" s="17"/>
      <c r="B332" s="17"/>
      <c r="C332" s="17"/>
      <c r="D332" s="48"/>
      <c r="E332" s="48"/>
      <c r="F332" s="16"/>
      <c r="G332" s="16"/>
      <c r="H332" s="16"/>
      <c r="I332" s="16"/>
      <c r="J332" s="16"/>
      <c r="K332" s="16"/>
      <c r="L332" s="16"/>
      <c r="M332" s="16"/>
      <c r="N332" s="16"/>
      <c r="O332" s="16"/>
      <c r="P332" s="16"/>
      <c r="Q332" s="16"/>
      <c r="R332" s="16"/>
      <c r="S332" s="16"/>
      <c r="T332" s="16"/>
      <c r="U332" s="16"/>
      <c r="V332" s="16"/>
      <c r="W332" s="16"/>
      <c r="X332" s="16"/>
    </row>
    <row r="333">
      <c r="A333" s="17"/>
      <c r="B333" s="17"/>
      <c r="C333" s="17"/>
      <c r="D333" s="48"/>
      <c r="E333" s="48"/>
      <c r="F333" s="16"/>
      <c r="G333" s="16"/>
      <c r="H333" s="16"/>
      <c r="I333" s="16"/>
      <c r="J333" s="16"/>
      <c r="K333" s="16"/>
      <c r="L333" s="16"/>
      <c r="M333" s="16"/>
      <c r="N333" s="16"/>
      <c r="O333" s="16"/>
      <c r="P333" s="16"/>
      <c r="Q333" s="16"/>
      <c r="R333" s="16"/>
      <c r="S333" s="16"/>
      <c r="T333" s="16"/>
      <c r="U333" s="16"/>
      <c r="V333" s="16"/>
      <c r="W333" s="16"/>
      <c r="X333" s="16"/>
    </row>
    <row r="334">
      <c r="A334" s="17"/>
      <c r="B334" s="17"/>
      <c r="C334" s="17"/>
      <c r="D334" s="48"/>
      <c r="E334" s="48"/>
      <c r="F334" s="16"/>
      <c r="G334" s="16"/>
      <c r="H334" s="16"/>
      <c r="I334" s="16"/>
      <c r="J334" s="16"/>
      <c r="K334" s="16"/>
      <c r="L334" s="16"/>
      <c r="M334" s="16"/>
      <c r="N334" s="16"/>
      <c r="O334" s="16"/>
      <c r="P334" s="16"/>
      <c r="Q334" s="16"/>
      <c r="R334" s="16"/>
      <c r="S334" s="16"/>
      <c r="T334" s="16"/>
      <c r="U334" s="16"/>
      <c r="V334" s="16"/>
      <c r="W334" s="16"/>
      <c r="X334" s="16"/>
    </row>
    <row r="335">
      <c r="A335" s="17"/>
      <c r="B335" s="17"/>
      <c r="C335" s="17"/>
      <c r="D335" s="48"/>
      <c r="E335" s="48"/>
      <c r="F335" s="16"/>
      <c r="G335" s="16"/>
      <c r="H335" s="16"/>
      <c r="I335" s="16"/>
      <c r="J335" s="16"/>
      <c r="K335" s="16"/>
      <c r="L335" s="16"/>
      <c r="M335" s="16"/>
      <c r="N335" s="16"/>
      <c r="O335" s="16"/>
      <c r="P335" s="16"/>
      <c r="Q335" s="16"/>
      <c r="R335" s="16"/>
      <c r="S335" s="16"/>
      <c r="T335" s="16"/>
      <c r="U335" s="16"/>
      <c r="V335" s="16"/>
      <c r="W335" s="16"/>
      <c r="X335" s="16"/>
    </row>
    <row r="336">
      <c r="A336" s="17"/>
      <c r="B336" s="17"/>
      <c r="C336" s="17"/>
      <c r="D336" s="48"/>
      <c r="E336" s="48"/>
      <c r="F336" s="16"/>
      <c r="G336" s="16"/>
      <c r="H336" s="16"/>
      <c r="I336" s="16"/>
      <c r="J336" s="16"/>
      <c r="K336" s="16"/>
      <c r="L336" s="16"/>
      <c r="M336" s="16"/>
      <c r="N336" s="16"/>
      <c r="O336" s="16"/>
      <c r="P336" s="16"/>
      <c r="Q336" s="16"/>
      <c r="R336" s="16"/>
      <c r="S336" s="16"/>
      <c r="T336" s="16"/>
      <c r="U336" s="16"/>
      <c r="V336" s="16"/>
      <c r="W336" s="16"/>
      <c r="X336" s="16"/>
    </row>
    <row r="337">
      <c r="A337" s="17"/>
      <c r="B337" s="17"/>
      <c r="C337" s="17"/>
      <c r="D337" s="48"/>
      <c r="E337" s="48"/>
      <c r="F337" s="16"/>
      <c r="G337" s="16"/>
      <c r="H337" s="16"/>
      <c r="I337" s="16"/>
      <c r="J337" s="16"/>
      <c r="K337" s="16"/>
      <c r="L337" s="16"/>
      <c r="M337" s="16"/>
      <c r="N337" s="16"/>
      <c r="O337" s="16"/>
      <c r="P337" s="16"/>
      <c r="Q337" s="16"/>
      <c r="R337" s="16"/>
      <c r="S337" s="16"/>
      <c r="T337" s="16"/>
      <c r="U337" s="16"/>
      <c r="V337" s="16"/>
      <c r="W337" s="16"/>
      <c r="X337" s="16"/>
    </row>
    <row r="338">
      <c r="A338" s="17"/>
      <c r="B338" s="17"/>
      <c r="C338" s="17"/>
      <c r="D338" s="48"/>
      <c r="E338" s="48"/>
      <c r="F338" s="16"/>
      <c r="G338" s="16"/>
      <c r="H338" s="16"/>
      <c r="I338" s="16"/>
      <c r="J338" s="16"/>
      <c r="K338" s="16"/>
      <c r="L338" s="16"/>
      <c r="M338" s="16"/>
      <c r="N338" s="16"/>
      <c r="O338" s="16"/>
      <c r="P338" s="16"/>
      <c r="Q338" s="16"/>
      <c r="R338" s="16"/>
      <c r="S338" s="16"/>
      <c r="T338" s="16"/>
      <c r="U338" s="16"/>
      <c r="V338" s="16"/>
      <c r="W338" s="16"/>
      <c r="X338" s="16"/>
    </row>
    <row r="339">
      <c r="A339" s="17"/>
      <c r="B339" s="17"/>
      <c r="C339" s="17"/>
      <c r="D339" s="48"/>
      <c r="E339" s="48"/>
      <c r="F339" s="16"/>
      <c r="G339" s="16"/>
      <c r="H339" s="16"/>
      <c r="I339" s="16"/>
      <c r="J339" s="16"/>
      <c r="K339" s="16"/>
      <c r="L339" s="16"/>
      <c r="M339" s="16"/>
      <c r="N339" s="16"/>
      <c r="O339" s="16"/>
      <c r="P339" s="16"/>
      <c r="Q339" s="16"/>
      <c r="R339" s="16"/>
      <c r="S339" s="16"/>
      <c r="T339" s="16"/>
      <c r="U339" s="16"/>
      <c r="V339" s="16"/>
      <c r="W339" s="16"/>
      <c r="X339" s="16"/>
    </row>
    <row r="340">
      <c r="A340" s="17"/>
      <c r="B340" s="17"/>
      <c r="C340" s="17"/>
      <c r="D340" s="48"/>
      <c r="E340" s="48"/>
      <c r="F340" s="16"/>
      <c r="G340" s="16"/>
      <c r="H340" s="16"/>
      <c r="I340" s="16"/>
      <c r="J340" s="16"/>
      <c r="K340" s="16"/>
      <c r="L340" s="16"/>
      <c r="M340" s="16"/>
      <c r="N340" s="16"/>
      <c r="O340" s="16"/>
      <c r="P340" s="16"/>
      <c r="Q340" s="16"/>
      <c r="R340" s="16"/>
      <c r="S340" s="16"/>
      <c r="T340" s="16"/>
      <c r="U340" s="16"/>
      <c r="V340" s="16"/>
      <c r="W340" s="16"/>
      <c r="X340" s="16"/>
    </row>
    <row r="341">
      <c r="A341" s="17"/>
      <c r="B341" s="17"/>
      <c r="C341" s="17"/>
      <c r="D341" s="48"/>
      <c r="E341" s="48"/>
      <c r="F341" s="16"/>
      <c r="G341" s="16"/>
      <c r="H341" s="16"/>
      <c r="I341" s="16"/>
      <c r="J341" s="16"/>
      <c r="K341" s="16"/>
      <c r="L341" s="16"/>
      <c r="M341" s="16"/>
      <c r="N341" s="16"/>
      <c r="O341" s="16"/>
      <c r="P341" s="16"/>
      <c r="Q341" s="16"/>
      <c r="R341" s="16"/>
      <c r="S341" s="16"/>
      <c r="T341" s="16"/>
      <c r="U341" s="16"/>
      <c r="V341" s="16"/>
      <c r="W341" s="16"/>
      <c r="X341" s="16"/>
    </row>
    <row r="342">
      <c r="A342" s="17"/>
      <c r="B342" s="17"/>
      <c r="C342" s="17"/>
      <c r="D342" s="48"/>
      <c r="E342" s="48"/>
      <c r="F342" s="16"/>
      <c r="G342" s="16"/>
      <c r="H342" s="16"/>
      <c r="I342" s="16"/>
      <c r="J342" s="16"/>
      <c r="K342" s="16"/>
      <c r="L342" s="16"/>
      <c r="M342" s="16"/>
      <c r="N342" s="16"/>
      <c r="O342" s="16"/>
      <c r="P342" s="16"/>
      <c r="Q342" s="16"/>
      <c r="R342" s="16"/>
      <c r="S342" s="16"/>
      <c r="T342" s="16"/>
      <c r="U342" s="16"/>
      <c r="V342" s="16"/>
      <c r="W342" s="16"/>
      <c r="X342" s="16"/>
    </row>
    <row r="343">
      <c r="A343" s="17"/>
      <c r="B343" s="17"/>
      <c r="C343" s="17"/>
      <c r="D343" s="48"/>
      <c r="E343" s="48"/>
      <c r="F343" s="16"/>
      <c r="G343" s="16"/>
      <c r="H343" s="16"/>
      <c r="I343" s="16"/>
      <c r="J343" s="16"/>
      <c r="K343" s="16"/>
      <c r="L343" s="16"/>
      <c r="M343" s="16"/>
      <c r="N343" s="16"/>
      <c r="O343" s="16"/>
      <c r="P343" s="16"/>
      <c r="Q343" s="16"/>
      <c r="R343" s="16"/>
      <c r="S343" s="16"/>
      <c r="T343" s="16"/>
      <c r="U343" s="16"/>
      <c r="V343" s="16"/>
      <c r="W343" s="16"/>
      <c r="X343" s="16"/>
    </row>
    <row r="344">
      <c r="A344" s="17"/>
      <c r="B344" s="17"/>
      <c r="C344" s="17"/>
      <c r="D344" s="48"/>
      <c r="E344" s="48"/>
      <c r="F344" s="16"/>
      <c r="G344" s="16"/>
      <c r="H344" s="16"/>
      <c r="I344" s="16"/>
      <c r="J344" s="16"/>
      <c r="K344" s="16"/>
      <c r="L344" s="16"/>
      <c r="M344" s="16"/>
      <c r="N344" s="16"/>
      <c r="O344" s="16"/>
      <c r="P344" s="16"/>
      <c r="Q344" s="16"/>
      <c r="R344" s="16"/>
      <c r="S344" s="16"/>
      <c r="T344" s="16"/>
      <c r="U344" s="16"/>
      <c r="V344" s="16"/>
      <c r="W344" s="16"/>
      <c r="X344" s="16"/>
    </row>
    <row r="345">
      <c r="A345" s="17"/>
      <c r="B345" s="17"/>
      <c r="C345" s="17"/>
      <c r="D345" s="48"/>
      <c r="E345" s="48"/>
      <c r="F345" s="16"/>
      <c r="G345" s="16"/>
      <c r="H345" s="16"/>
      <c r="I345" s="16"/>
      <c r="J345" s="16"/>
      <c r="K345" s="16"/>
      <c r="L345" s="16"/>
      <c r="M345" s="16"/>
      <c r="N345" s="16"/>
      <c r="O345" s="16"/>
      <c r="P345" s="16"/>
      <c r="Q345" s="16"/>
      <c r="R345" s="16"/>
      <c r="S345" s="16"/>
      <c r="T345" s="16"/>
      <c r="U345" s="16"/>
      <c r="V345" s="16"/>
      <c r="W345" s="16"/>
      <c r="X345" s="16"/>
    </row>
    <row r="346">
      <c r="A346" s="17"/>
      <c r="B346" s="17"/>
      <c r="C346" s="17"/>
      <c r="D346" s="48"/>
      <c r="E346" s="48"/>
      <c r="F346" s="16"/>
      <c r="G346" s="16"/>
      <c r="H346" s="16"/>
      <c r="I346" s="16"/>
      <c r="J346" s="16"/>
      <c r="K346" s="16"/>
      <c r="L346" s="16"/>
      <c r="M346" s="16"/>
      <c r="N346" s="16"/>
      <c r="O346" s="16"/>
      <c r="P346" s="16"/>
      <c r="Q346" s="16"/>
      <c r="R346" s="16"/>
      <c r="S346" s="16"/>
      <c r="T346" s="16"/>
      <c r="U346" s="16"/>
      <c r="V346" s="16"/>
      <c r="W346" s="16"/>
      <c r="X346" s="16"/>
    </row>
    <row r="347">
      <c r="A347" s="17"/>
      <c r="B347" s="17"/>
      <c r="C347" s="17"/>
      <c r="D347" s="48"/>
      <c r="E347" s="48"/>
      <c r="F347" s="16"/>
      <c r="G347" s="16"/>
      <c r="H347" s="16"/>
      <c r="I347" s="16"/>
      <c r="J347" s="16"/>
      <c r="K347" s="16"/>
      <c r="L347" s="16"/>
      <c r="M347" s="16"/>
      <c r="N347" s="16"/>
      <c r="O347" s="16"/>
      <c r="P347" s="16"/>
      <c r="Q347" s="16"/>
      <c r="R347" s="16"/>
      <c r="S347" s="16"/>
      <c r="T347" s="16"/>
      <c r="U347" s="16"/>
      <c r="V347" s="16"/>
      <c r="W347" s="16"/>
      <c r="X347" s="16"/>
    </row>
    <row r="348">
      <c r="A348" s="17"/>
      <c r="B348" s="17"/>
      <c r="C348" s="17"/>
      <c r="D348" s="48"/>
      <c r="E348" s="48"/>
      <c r="F348" s="16"/>
      <c r="G348" s="16"/>
      <c r="H348" s="16"/>
      <c r="I348" s="16"/>
      <c r="J348" s="16"/>
      <c r="K348" s="16"/>
      <c r="L348" s="16"/>
      <c r="M348" s="16"/>
      <c r="N348" s="16"/>
      <c r="O348" s="16"/>
      <c r="P348" s="16"/>
      <c r="Q348" s="16"/>
      <c r="R348" s="16"/>
      <c r="S348" s="16"/>
      <c r="T348" s="16"/>
      <c r="U348" s="16"/>
      <c r="V348" s="16"/>
      <c r="W348" s="16"/>
      <c r="X348" s="16"/>
    </row>
    <row r="349">
      <c r="A349" s="17"/>
      <c r="B349" s="17"/>
      <c r="C349" s="17"/>
      <c r="D349" s="48"/>
      <c r="E349" s="48"/>
      <c r="F349" s="16"/>
      <c r="G349" s="16"/>
      <c r="H349" s="16"/>
      <c r="I349" s="16"/>
      <c r="J349" s="16"/>
      <c r="K349" s="16"/>
      <c r="L349" s="16"/>
      <c r="M349" s="16"/>
      <c r="N349" s="16"/>
      <c r="O349" s="16"/>
      <c r="P349" s="16"/>
      <c r="Q349" s="16"/>
      <c r="R349" s="16"/>
      <c r="S349" s="16"/>
      <c r="T349" s="16"/>
      <c r="U349" s="16"/>
      <c r="V349" s="16"/>
      <c r="W349" s="16"/>
      <c r="X349" s="16"/>
    </row>
    <row r="350">
      <c r="A350" s="17"/>
      <c r="B350" s="17"/>
      <c r="C350" s="17"/>
      <c r="D350" s="48"/>
      <c r="E350" s="48"/>
      <c r="F350" s="16"/>
      <c r="G350" s="16"/>
      <c r="H350" s="16"/>
      <c r="I350" s="16"/>
      <c r="J350" s="16"/>
      <c r="K350" s="16"/>
      <c r="L350" s="16"/>
      <c r="M350" s="16"/>
      <c r="N350" s="16"/>
      <c r="O350" s="16"/>
      <c r="P350" s="16"/>
      <c r="Q350" s="16"/>
      <c r="R350" s="16"/>
      <c r="S350" s="16"/>
      <c r="T350" s="16"/>
      <c r="U350" s="16"/>
      <c r="V350" s="16"/>
      <c r="W350" s="16"/>
      <c r="X350" s="16"/>
    </row>
    <row r="351">
      <c r="A351" s="17"/>
      <c r="B351" s="17"/>
      <c r="C351" s="17"/>
      <c r="D351" s="48"/>
      <c r="E351" s="48"/>
      <c r="F351" s="16"/>
      <c r="G351" s="16"/>
      <c r="H351" s="16"/>
      <c r="I351" s="16"/>
      <c r="J351" s="16"/>
      <c r="K351" s="16"/>
      <c r="L351" s="16"/>
      <c r="M351" s="16"/>
      <c r="N351" s="16"/>
      <c r="O351" s="16"/>
      <c r="P351" s="16"/>
      <c r="Q351" s="16"/>
      <c r="R351" s="16"/>
      <c r="S351" s="16"/>
      <c r="T351" s="16"/>
      <c r="U351" s="16"/>
      <c r="V351" s="16"/>
      <c r="W351" s="16"/>
      <c r="X351" s="16"/>
    </row>
    <row r="352">
      <c r="A352" s="17"/>
      <c r="B352" s="17"/>
      <c r="C352" s="17"/>
      <c r="D352" s="48"/>
      <c r="E352" s="48"/>
      <c r="F352" s="16"/>
      <c r="G352" s="16"/>
      <c r="H352" s="16"/>
      <c r="I352" s="16"/>
      <c r="J352" s="16"/>
      <c r="K352" s="16"/>
      <c r="L352" s="16"/>
      <c r="M352" s="16"/>
      <c r="N352" s="16"/>
      <c r="O352" s="16"/>
      <c r="P352" s="16"/>
      <c r="Q352" s="16"/>
      <c r="R352" s="16"/>
      <c r="S352" s="16"/>
      <c r="T352" s="16"/>
      <c r="U352" s="16"/>
      <c r="V352" s="16"/>
      <c r="W352" s="16"/>
      <c r="X352" s="16"/>
    </row>
    <row r="353">
      <c r="A353" s="17"/>
      <c r="B353" s="17"/>
      <c r="C353" s="17"/>
      <c r="D353" s="48"/>
      <c r="E353" s="48"/>
      <c r="F353" s="16"/>
      <c r="G353" s="16"/>
      <c r="H353" s="16"/>
      <c r="I353" s="16"/>
      <c r="J353" s="16"/>
      <c r="K353" s="16"/>
      <c r="L353" s="16"/>
      <c r="M353" s="16"/>
      <c r="N353" s="16"/>
      <c r="O353" s="16"/>
      <c r="P353" s="16"/>
      <c r="Q353" s="16"/>
      <c r="R353" s="16"/>
      <c r="S353" s="16"/>
      <c r="T353" s="16"/>
      <c r="U353" s="16"/>
      <c r="V353" s="16"/>
      <c r="W353" s="16"/>
      <c r="X353" s="16"/>
    </row>
    <row r="354">
      <c r="A354" s="17"/>
      <c r="B354" s="17"/>
      <c r="C354" s="17"/>
      <c r="D354" s="48"/>
      <c r="E354" s="48"/>
      <c r="F354" s="16"/>
      <c r="G354" s="16"/>
      <c r="H354" s="16"/>
      <c r="I354" s="16"/>
      <c r="J354" s="16"/>
      <c r="K354" s="16"/>
      <c r="L354" s="16"/>
      <c r="M354" s="16"/>
      <c r="N354" s="16"/>
      <c r="O354" s="16"/>
      <c r="P354" s="16"/>
      <c r="Q354" s="16"/>
      <c r="R354" s="16"/>
      <c r="S354" s="16"/>
      <c r="T354" s="16"/>
      <c r="U354" s="16"/>
      <c r="V354" s="16"/>
      <c r="W354" s="16"/>
      <c r="X354" s="16"/>
    </row>
    <row r="355">
      <c r="A355" s="17"/>
      <c r="B355" s="17"/>
      <c r="C355" s="17"/>
      <c r="D355" s="48"/>
      <c r="E355" s="48"/>
      <c r="F355" s="16"/>
      <c r="G355" s="16"/>
      <c r="H355" s="16"/>
      <c r="I355" s="16"/>
      <c r="J355" s="16"/>
      <c r="K355" s="16"/>
      <c r="L355" s="16"/>
      <c r="M355" s="16"/>
      <c r="N355" s="16"/>
      <c r="O355" s="16"/>
      <c r="P355" s="16"/>
      <c r="Q355" s="16"/>
      <c r="R355" s="16"/>
      <c r="S355" s="16"/>
      <c r="T355" s="16"/>
      <c r="U355" s="16"/>
      <c r="V355" s="16"/>
      <c r="W355" s="16"/>
      <c r="X355" s="16"/>
    </row>
    <row r="356">
      <c r="A356" s="17"/>
      <c r="B356" s="17"/>
      <c r="C356" s="17"/>
      <c r="D356" s="48"/>
      <c r="E356" s="48"/>
      <c r="F356" s="16"/>
      <c r="G356" s="16"/>
      <c r="H356" s="16"/>
      <c r="I356" s="16"/>
      <c r="J356" s="16"/>
      <c r="K356" s="16"/>
      <c r="L356" s="16"/>
      <c r="M356" s="16"/>
      <c r="N356" s="16"/>
      <c r="O356" s="16"/>
      <c r="P356" s="16"/>
      <c r="Q356" s="16"/>
      <c r="R356" s="16"/>
      <c r="S356" s="16"/>
      <c r="T356" s="16"/>
      <c r="U356" s="16"/>
      <c r="V356" s="16"/>
      <c r="W356" s="16"/>
      <c r="X356" s="16"/>
    </row>
    <row r="357">
      <c r="A357" s="17"/>
      <c r="B357" s="17"/>
      <c r="C357" s="17"/>
      <c r="D357" s="48"/>
      <c r="E357" s="48"/>
      <c r="F357" s="16"/>
      <c r="G357" s="16"/>
      <c r="H357" s="16"/>
      <c r="I357" s="16"/>
      <c r="J357" s="16"/>
      <c r="K357" s="16"/>
      <c r="L357" s="16"/>
      <c r="M357" s="16"/>
      <c r="N357" s="16"/>
      <c r="O357" s="16"/>
      <c r="P357" s="16"/>
      <c r="Q357" s="16"/>
      <c r="R357" s="16"/>
      <c r="S357" s="16"/>
      <c r="T357" s="16"/>
      <c r="U357" s="16"/>
      <c r="V357" s="16"/>
      <c r="W357" s="16"/>
      <c r="X357" s="16"/>
    </row>
    <row r="358">
      <c r="A358" s="17"/>
      <c r="B358" s="17"/>
      <c r="C358" s="17"/>
      <c r="D358" s="48"/>
      <c r="E358" s="48"/>
      <c r="F358" s="16"/>
      <c r="G358" s="16"/>
      <c r="H358" s="16"/>
      <c r="I358" s="16"/>
      <c r="J358" s="16"/>
      <c r="K358" s="16"/>
      <c r="L358" s="16"/>
      <c r="M358" s="16"/>
      <c r="N358" s="16"/>
      <c r="O358" s="16"/>
      <c r="P358" s="16"/>
      <c r="Q358" s="16"/>
      <c r="R358" s="16"/>
      <c r="S358" s="16"/>
      <c r="T358" s="16"/>
      <c r="U358" s="16"/>
      <c r="V358" s="16"/>
      <c r="W358" s="16"/>
      <c r="X358" s="16"/>
    </row>
    <row r="359">
      <c r="A359" s="17"/>
      <c r="B359" s="17"/>
      <c r="C359" s="17"/>
      <c r="D359" s="48"/>
      <c r="E359" s="48"/>
      <c r="F359" s="16"/>
      <c r="G359" s="16"/>
      <c r="H359" s="16"/>
      <c r="I359" s="16"/>
      <c r="J359" s="16"/>
      <c r="K359" s="16"/>
      <c r="L359" s="16"/>
      <c r="M359" s="16"/>
      <c r="N359" s="16"/>
      <c r="O359" s="16"/>
      <c r="P359" s="16"/>
      <c r="Q359" s="16"/>
      <c r="R359" s="16"/>
      <c r="S359" s="16"/>
      <c r="T359" s="16"/>
      <c r="U359" s="16"/>
      <c r="V359" s="16"/>
      <c r="W359" s="16"/>
      <c r="X359" s="16"/>
    </row>
    <row r="360">
      <c r="A360" s="17"/>
      <c r="B360" s="17"/>
      <c r="C360" s="17"/>
      <c r="D360" s="48"/>
      <c r="E360" s="48"/>
      <c r="F360" s="16"/>
      <c r="G360" s="16"/>
      <c r="H360" s="16"/>
      <c r="I360" s="16"/>
      <c r="J360" s="16"/>
      <c r="K360" s="16"/>
      <c r="L360" s="16"/>
      <c r="M360" s="16"/>
      <c r="N360" s="16"/>
      <c r="O360" s="16"/>
      <c r="P360" s="16"/>
      <c r="Q360" s="16"/>
      <c r="R360" s="16"/>
      <c r="S360" s="16"/>
      <c r="T360" s="16"/>
      <c r="U360" s="16"/>
      <c r="V360" s="16"/>
      <c r="W360" s="16"/>
      <c r="X360" s="16"/>
    </row>
    <row r="361">
      <c r="A361" s="17"/>
      <c r="B361" s="17"/>
      <c r="C361" s="17"/>
      <c r="D361" s="48"/>
      <c r="E361" s="48"/>
      <c r="F361" s="16"/>
      <c r="G361" s="16"/>
      <c r="H361" s="16"/>
      <c r="I361" s="16"/>
      <c r="J361" s="16"/>
      <c r="K361" s="16"/>
      <c r="L361" s="16"/>
      <c r="M361" s="16"/>
      <c r="N361" s="16"/>
      <c r="O361" s="16"/>
      <c r="P361" s="16"/>
      <c r="Q361" s="16"/>
      <c r="R361" s="16"/>
      <c r="S361" s="16"/>
      <c r="T361" s="16"/>
      <c r="U361" s="16"/>
      <c r="V361" s="16"/>
      <c r="W361" s="16"/>
      <c r="X361" s="16"/>
    </row>
    <row r="362">
      <c r="A362" s="17"/>
      <c r="B362" s="17"/>
      <c r="C362" s="17"/>
      <c r="D362" s="48"/>
      <c r="E362" s="48"/>
      <c r="F362" s="16"/>
      <c r="G362" s="16"/>
      <c r="H362" s="16"/>
      <c r="I362" s="16"/>
      <c r="J362" s="16"/>
      <c r="K362" s="16"/>
      <c r="L362" s="16"/>
      <c r="M362" s="16"/>
      <c r="N362" s="16"/>
      <c r="O362" s="16"/>
      <c r="P362" s="16"/>
      <c r="Q362" s="16"/>
      <c r="R362" s="16"/>
      <c r="S362" s="16"/>
      <c r="T362" s="16"/>
      <c r="U362" s="16"/>
      <c r="V362" s="16"/>
      <c r="W362" s="16"/>
      <c r="X362" s="16"/>
    </row>
    <row r="363">
      <c r="A363" s="17"/>
      <c r="B363" s="17"/>
      <c r="C363" s="17"/>
      <c r="D363" s="48"/>
      <c r="E363" s="48"/>
      <c r="F363" s="16"/>
      <c r="G363" s="16"/>
      <c r="H363" s="16"/>
      <c r="I363" s="16"/>
      <c r="J363" s="16"/>
      <c r="K363" s="16"/>
      <c r="L363" s="16"/>
      <c r="M363" s="16"/>
      <c r="N363" s="16"/>
      <c r="O363" s="16"/>
      <c r="P363" s="16"/>
      <c r="Q363" s="16"/>
      <c r="R363" s="16"/>
      <c r="S363" s="16"/>
      <c r="T363" s="16"/>
      <c r="U363" s="16"/>
      <c r="V363" s="16"/>
      <c r="W363" s="16"/>
      <c r="X363" s="16"/>
    </row>
    <row r="364">
      <c r="A364" s="17"/>
      <c r="B364" s="17"/>
      <c r="C364" s="17"/>
      <c r="D364" s="48"/>
      <c r="E364" s="48"/>
      <c r="F364" s="16"/>
      <c r="G364" s="16"/>
      <c r="H364" s="16"/>
      <c r="I364" s="16"/>
      <c r="J364" s="16"/>
      <c r="K364" s="16"/>
      <c r="L364" s="16"/>
      <c r="M364" s="16"/>
      <c r="N364" s="16"/>
      <c r="O364" s="16"/>
      <c r="P364" s="16"/>
      <c r="Q364" s="16"/>
      <c r="R364" s="16"/>
      <c r="S364" s="16"/>
      <c r="T364" s="16"/>
      <c r="U364" s="16"/>
      <c r="V364" s="16"/>
      <c r="W364" s="16"/>
      <c r="X364" s="16"/>
    </row>
    <row r="365">
      <c r="A365" s="17"/>
      <c r="B365" s="17"/>
      <c r="C365" s="17"/>
      <c r="D365" s="48"/>
      <c r="E365" s="48"/>
      <c r="F365" s="16"/>
      <c r="G365" s="16"/>
      <c r="H365" s="16"/>
      <c r="I365" s="16"/>
      <c r="J365" s="16"/>
      <c r="K365" s="16"/>
      <c r="L365" s="16"/>
      <c r="M365" s="16"/>
      <c r="N365" s="16"/>
      <c r="O365" s="16"/>
      <c r="P365" s="16"/>
      <c r="Q365" s="16"/>
      <c r="R365" s="16"/>
      <c r="S365" s="16"/>
      <c r="T365" s="16"/>
      <c r="U365" s="16"/>
      <c r="V365" s="16"/>
      <c r="W365" s="16"/>
      <c r="X365" s="16"/>
    </row>
    <row r="366">
      <c r="A366" s="17"/>
      <c r="B366" s="17"/>
      <c r="C366" s="17"/>
      <c r="D366" s="48"/>
      <c r="E366" s="48"/>
      <c r="F366" s="16"/>
      <c r="G366" s="16"/>
      <c r="H366" s="16"/>
      <c r="I366" s="16"/>
      <c r="J366" s="16"/>
      <c r="K366" s="16"/>
      <c r="L366" s="16"/>
      <c r="M366" s="16"/>
      <c r="N366" s="16"/>
      <c r="O366" s="16"/>
      <c r="P366" s="16"/>
      <c r="Q366" s="16"/>
      <c r="R366" s="16"/>
      <c r="S366" s="16"/>
      <c r="T366" s="16"/>
      <c r="U366" s="16"/>
      <c r="V366" s="16"/>
      <c r="W366" s="16"/>
      <c r="X366" s="16"/>
    </row>
    <row r="367">
      <c r="A367" s="17"/>
      <c r="B367" s="17"/>
      <c r="C367" s="17"/>
      <c r="D367" s="48"/>
      <c r="E367" s="48"/>
      <c r="F367" s="16"/>
      <c r="G367" s="16"/>
      <c r="H367" s="16"/>
      <c r="I367" s="16"/>
      <c r="J367" s="16"/>
      <c r="K367" s="16"/>
      <c r="L367" s="16"/>
      <c r="M367" s="16"/>
      <c r="N367" s="16"/>
      <c r="O367" s="16"/>
      <c r="P367" s="16"/>
      <c r="Q367" s="16"/>
      <c r="R367" s="16"/>
      <c r="S367" s="16"/>
      <c r="T367" s="16"/>
      <c r="U367" s="16"/>
      <c r="V367" s="16"/>
      <c r="W367" s="16"/>
      <c r="X367" s="16"/>
    </row>
    <row r="368">
      <c r="A368" s="17"/>
      <c r="B368" s="17"/>
      <c r="C368" s="17"/>
      <c r="D368" s="48"/>
      <c r="E368" s="48"/>
      <c r="F368" s="16"/>
      <c r="G368" s="16"/>
      <c r="H368" s="16"/>
      <c r="I368" s="16"/>
      <c r="J368" s="16"/>
      <c r="K368" s="16"/>
      <c r="L368" s="16"/>
      <c r="M368" s="16"/>
      <c r="N368" s="16"/>
      <c r="O368" s="16"/>
      <c r="P368" s="16"/>
      <c r="Q368" s="16"/>
      <c r="R368" s="16"/>
      <c r="S368" s="16"/>
      <c r="T368" s="16"/>
      <c r="U368" s="16"/>
      <c r="V368" s="16"/>
      <c r="W368" s="16"/>
      <c r="X368" s="16"/>
    </row>
    <row r="369">
      <c r="A369" s="17"/>
      <c r="B369" s="17"/>
      <c r="C369" s="17"/>
      <c r="D369" s="48"/>
      <c r="E369" s="48"/>
      <c r="F369" s="16"/>
      <c r="G369" s="16"/>
      <c r="H369" s="16"/>
      <c r="I369" s="16"/>
      <c r="J369" s="16"/>
      <c r="K369" s="16"/>
      <c r="L369" s="16"/>
      <c r="M369" s="16"/>
      <c r="N369" s="16"/>
      <c r="O369" s="16"/>
      <c r="P369" s="16"/>
      <c r="Q369" s="16"/>
      <c r="R369" s="16"/>
      <c r="S369" s="16"/>
      <c r="T369" s="16"/>
      <c r="U369" s="16"/>
      <c r="V369" s="16"/>
      <c r="W369" s="16"/>
      <c r="X369" s="16"/>
    </row>
    <row r="370">
      <c r="A370" s="17"/>
      <c r="B370" s="17"/>
      <c r="C370" s="17"/>
      <c r="D370" s="48"/>
      <c r="E370" s="48"/>
      <c r="F370" s="16"/>
      <c r="G370" s="16"/>
      <c r="H370" s="16"/>
      <c r="I370" s="16"/>
      <c r="J370" s="16"/>
      <c r="K370" s="16"/>
      <c r="L370" s="16"/>
      <c r="M370" s="16"/>
      <c r="N370" s="16"/>
      <c r="O370" s="16"/>
      <c r="P370" s="16"/>
      <c r="Q370" s="16"/>
      <c r="R370" s="16"/>
      <c r="S370" s="16"/>
      <c r="T370" s="16"/>
      <c r="U370" s="16"/>
      <c r="V370" s="16"/>
      <c r="W370" s="16"/>
      <c r="X370" s="16"/>
    </row>
    <row r="371">
      <c r="A371" s="17"/>
      <c r="B371" s="17"/>
      <c r="C371" s="17"/>
      <c r="D371" s="48"/>
      <c r="E371" s="48"/>
      <c r="F371" s="16"/>
      <c r="G371" s="16"/>
      <c r="H371" s="16"/>
      <c r="I371" s="16"/>
      <c r="J371" s="16"/>
      <c r="K371" s="16"/>
      <c r="L371" s="16"/>
      <c r="M371" s="16"/>
      <c r="N371" s="16"/>
      <c r="O371" s="16"/>
      <c r="P371" s="16"/>
      <c r="Q371" s="16"/>
      <c r="R371" s="16"/>
      <c r="S371" s="16"/>
      <c r="T371" s="16"/>
      <c r="U371" s="16"/>
      <c r="V371" s="16"/>
      <c r="W371" s="16"/>
      <c r="X371" s="16"/>
    </row>
    <row r="372">
      <c r="A372" s="17"/>
      <c r="B372" s="17"/>
      <c r="C372" s="17"/>
      <c r="D372" s="48"/>
      <c r="E372" s="48"/>
      <c r="F372" s="16"/>
      <c r="G372" s="16"/>
      <c r="H372" s="16"/>
      <c r="I372" s="16"/>
      <c r="J372" s="16"/>
      <c r="K372" s="16"/>
      <c r="L372" s="16"/>
      <c r="M372" s="16"/>
      <c r="N372" s="16"/>
      <c r="O372" s="16"/>
      <c r="P372" s="16"/>
      <c r="Q372" s="16"/>
      <c r="R372" s="16"/>
      <c r="S372" s="16"/>
      <c r="T372" s="16"/>
      <c r="U372" s="16"/>
      <c r="V372" s="16"/>
      <c r="W372" s="16"/>
      <c r="X372" s="16"/>
    </row>
    <row r="373">
      <c r="A373" s="17"/>
      <c r="B373" s="17"/>
      <c r="C373" s="17"/>
      <c r="D373" s="48"/>
      <c r="E373" s="48"/>
      <c r="F373" s="16"/>
      <c r="G373" s="16"/>
      <c r="H373" s="16"/>
      <c r="I373" s="16"/>
      <c r="J373" s="16"/>
      <c r="K373" s="16"/>
      <c r="L373" s="16"/>
      <c r="M373" s="16"/>
      <c r="N373" s="16"/>
      <c r="O373" s="16"/>
      <c r="P373" s="16"/>
      <c r="Q373" s="16"/>
      <c r="R373" s="16"/>
      <c r="S373" s="16"/>
      <c r="T373" s="16"/>
      <c r="U373" s="16"/>
      <c r="V373" s="16"/>
      <c r="W373" s="16"/>
      <c r="X373" s="16"/>
    </row>
    <row r="374">
      <c r="A374" s="17"/>
      <c r="B374" s="17"/>
      <c r="C374" s="17"/>
      <c r="D374" s="48"/>
      <c r="E374" s="48"/>
      <c r="F374" s="16"/>
      <c r="G374" s="16"/>
      <c r="H374" s="16"/>
      <c r="I374" s="16"/>
      <c r="J374" s="16"/>
      <c r="K374" s="16"/>
      <c r="L374" s="16"/>
      <c r="M374" s="16"/>
      <c r="N374" s="16"/>
      <c r="O374" s="16"/>
      <c r="P374" s="16"/>
      <c r="Q374" s="16"/>
      <c r="R374" s="16"/>
      <c r="S374" s="16"/>
      <c r="T374" s="16"/>
      <c r="U374" s="16"/>
      <c r="V374" s="16"/>
      <c r="W374" s="16"/>
      <c r="X374" s="16"/>
    </row>
    <row r="375">
      <c r="A375" s="17"/>
      <c r="B375" s="17"/>
      <c r="C375" s="17"/>
      <c r="D375" s="48"/>
      <c r="E375" s="48"/>
      <c r="F375" s="16"/>
      <c r="G375" s="16"/>
      <c r="H375" s="16"/>
      <c r="I375" s="16"/>
      <c r="J375" s="16"/>
      <c r="K375" s="16"/>
      <c r="L375" s="16"/>
      <c r="M375" s="16"/>
      <c r="N375" s="16"/>
      <c r="O375" s="16"/>
      <c r="P375" s="16"/>
      <c r="Q375" s="16"/>
      <c r="R375" s="16"/>
      <c r="S375" s="16"/>
      <c r="T375" s="16"/>
      <c r="U375" s="16"/>
      <c r="V375" s="16"/>
      <c r="W375" s="16"/>
      <c r="X375" s="16"/>
    </row>
    <row r="376">
      <c r="A376" s="17"/>
      <c r="B376" s="17"/>
      <c r="C376" s="17"/>
      <c r="D376" s="48"/>
      <c r="E376" s="48"/>
      <c r="F376" s="16"/>
      <c r="G376" s="16"/>
      <c r="H376" s="16"/>
      <c r="I376" s="16"/>
      <c r="J376" s="16"/>
      <c r="K376" s="16"/>
      <c r="L376" s="16"/>
      <c r="M376" s="16"/>
      <c r="N376" s="16"/>
      <c r="O376" s="16"/>
      <c r="P376" s="16"/>
      <c r="Q376" s="16"/>
      <c r="R376" s="16"/>
      <c r="S376" s="16"/>
      <c r="T376" s="16"/>
      <c r="U376" s="16"/>
      <c r="V376" s="16"/>
      <c r="W376" s="16"/>
      <c r="X376" s="16"/>
    </row>
    <row r="377">
      <c r="A377" s="17"/>
      <c r="B377" s="17"/>
      <c r="C377" s="17"/>
      <c r="D377" s="48"/>
      <c r="E377" s="48"/>
      <c r="F377" s="16"/>
      <c r="G377" s="16"/>
      <c r="H377" s="16"/>
      <c r="I377" s="16"/>
      <c r="J377" s="16"/>
      <c r="K377" s="16"/>
      <c r="L377" s="16"/>
      <c r="M377" s="16"/>
      <c r="N377" s="16"/>
      <c r="O377" s="16"/>
      <c r="P377" s="16"/>
      <c r="Q377" s="16"/>
      <c r="R377" s="16"/>
      <c r="S377" s="16"/>
      <c r="T377" s="16"/>
      <c r="U377" s="16"/>
      <c r="V377" s="16"/>
      <c r="W377" s="16"/>
      <c r="X377" s="16"/>
    </row>
    <row r="378">
      <c r="A378" s="17"/>
      <c r="B378" s="17"/>
      <c r="C378" s="17"/>
      <c r="D378" s="48"/>
      <c r="E378" s="48"/>
      <c r="F378" s="16"/>
      <c r="G378" s="16"/>
      <c r="H378" s="16"/>
      <c r="I378" s="16"/>
      <c r="J378" s="16"/>
      <c r="K378" s="16"/>
      <c r="L378" s="16"/>
      <c r="M378" s="16"/>
      <c r="N378" s="16"/>
      <c r="O378" s="16"/>
      <c r="P378" s="16"/>
      <c r="Q378" s="16"/>
      <c r="R378" s="16"/>
      <c r="S378" s="16"/>
      <c r="T378" s="16"/>
      <c r="U378" s="16"/>
      <c r="V378" s="16"/>
      <c r="W378" s="16"/>
      <c r="X378" s="16"/>
    </row>
    <row r="379">
      <c r="A379" s="17"/>
      <c r="B379" s="17"/>
      <c r="C379" s="17"/>
      <c r="D379" s="48"/>
      <c r="E379" s="48"/>
      <c r="F379" s="16"/>
      <c r="G379" s="16"/>
      <c r="H379" s="16"/>
      <c r="I379" s="16"/>
      <c r="J379" s="16"/>
      <c r="K379" s="16"/>
      <c r="L379" s="16"/>
      <c r="M379" s="16"/>
      <c r="N379" s="16"/>
      <c r="O379" s="16"/>
      <c r="P379" s="16"/>
      <c r="Q379" s="16"/>
      <c r="R379" s="16"/>
      <c r="S379" s="16"/>
      <c r="T379" s="16"/>
      <c r="U379" s="16"/>
      <c r="V379" s="16"/>
      <c r="W379" s="16"/>
      <c r="X379" s="16"/>
    </row>
    <row r="380">
      <c r="A380" s="17"/>
      <c r="B380" s="17"/>
      <c r="C380" s="17"/>
      <c r="D380" s="48"/>
      <c r="E380" s="48"/>
      <c r="F380" s="16"/>
      <c r="G380" s="16"/>
      <c r="H380" s="16"/>
      <c r="I380" s="16"/>
      <c r="J380" s="16"/>
      <c r="K380" s="16"/>
      <c r="L380" s="16"/>
      <c r="M380" s="16"/>
      <c r="N380" s="16"/>
      <c r="O380" s="16"/>
      <c r="P380" s="16"/>
      <c r="Q380" s="16"/>
      <c r="R380" s="16"/>
      <c r="S380" s="16"/>
      <c r="T380" s="16"/>
      <c r="U380" s="16"/>
      <c r="V380" s="16"/>
      <c r="W380" s="16"/>
      <c r="X380" s="16"/>
    </row>
    <row r="381">
      <c r="A381" s="17"/>
      <c r="B381" s="17"/>
      <c r="C381" s="17"/>
      <c r="D381" s="48"/>
      <c r="E381" s="48"/>
      <c r="F381" s="16"/>
      <c r="G381" s="16"/>
      <c r="H381" s="16"/>
      <c r="I381" s="16"/>
      <c r="J381" s="16"/>
      <c r="K381" s="16"/>
      <c r="L381" s="16"/>
      <c r="M381" s="16"/>
      <c r="N381" s="16"/>
      <c r="O381" s="16"/>
      <c r="P381" s="16"/>
      <c r="Q381" s="16"/>
      <c r="R381" s="16"/>
      <c r="S381" s="16"/>
      <c r="T381" s="16"/>
      <c r="U381" s="16"/>
      <c r="V381" s="16"/>
      <c r="W381" s="16"/>
      <c r="X381" s="16"/>
    </row>
    <row r="382">
      <c r="A382" s="17"/>
      <c r="B382" s="17"/>
      <c r="C382" s="17"/>
      <c r="D382" s="48"/>
      <c r="E382" s="48"/>
      <c r="F382" s="16"/>
      <c r="G382" s="16"/>
      <c r="H382" s="16"/>
      <c r="I382" s="16"/>
      <c r="J382" s="16"/>
      <c r="K382" s="16"/>
      <c r="L382" s="16"/>
      <c r="M382" s="16"/>
      <c r="N382" s="16"/>
      <c r="O382" s="16"/>
      <c r="P382" s="16"/>
      <c r="Q382" s="16"/>
      <c r="R382" s="16"/>
      <c r="S382" s="16"/>
      <c r="T382" s="16"/>
      <c r="U382" s="16"/>
      <c r="V382" s="16"/>
      <c r="W382" s="16"/>
      <c r="X382" s="16"/>
    </row>
    <row r="383">
      <c r="A383" s="17"/>
      <c r="B383" s="17"/>
      <c r="C383" s="17"/>
      <c r="D383" s="48"/>
      <c r="E383" s="48"/>
      <c r="F383" s="16"/>
      <c r="G383" s="16"/>
      <c r="H383" s="16"/>
      <c r="I383" s="16"/>
      <c r="J383" s="16"/>
      <c r="K383" s="16"/>
      <c r="L383" s="16"/>
      <c r="M383" s="16"/>
      <c r="N383" s="16"/>
      <c r="O383" s="16"/>
      <c r="P383" s="16"/>
      <c r="Q383" s="16"/>
      <c r="R383" s="16"/>
      <c r="S383" s="16"/>
      <c r="T383" s="16"/>
      <c r="U383" s="16"/>
      <c r="V383" s="16"/>
      <c r="W383" s="16"/>
      <c r="X383" s="16"/>
    </row>
    <row r="384">
      <c r="A384" s="17"/>
      <c r="B384" s="17"/>
      <c r="C384" s="17"/>
      <c r="D384" s="48"/>
      <c r="E384" s="48"/>
      <c r="F384" s="16"/>
      <c r="G384" s="16"/>
      <c r="H384" s="16"/>
      <c r="I384" s="16"/>
      <c r="J384" s="16"/>
      <c r="K384" s="16"/>
      <c r="L384" s="16"/>
      <c r="M384" s="16"/>
      <c r="N384" s="16"/>
      <c r="O384" s="16"/>
      <c r="P384" s="16"/>
      <c r="Q384" s="16"/>
      <c r="R384" s="16"/>
      <c r="S384" s="16"/>
      <c r="T384" s="16"/>
      <c r="U384" s="16"/>
      <c r="V384" s="16"/>
      <c r="W384" s="16"/>
      <c r="X384" s="16"/>
    </row>
    <row r="385">
      <c r="A385" s="17"/>
      <c r="B385" s="17"/>
      <c r="C385" s="17"/>
      <c r="D385" s="48"/>
      <c r="E385" s="48"/>
      <c r="F385" s="16"/>
      <c r="G385" s="16"/>
      <c r="H385" s="16"/>
      <c r="I385" s="16"/>
      <c r="J385" s="16"/>
      <c r="K385" s="16"/>
      <c r="L385" s="16"/>
      <c r="M385" s="16"/>
      <c r="N385" s="16"/>
      <c r="O385" s="16"/>
      <c r="P385" s="16"/>
      <c r="Q385" s="16"/>
      <c r="R385" s="16"/>
      <c r="S385" s="16"/>
      <c r="T385" s="16"/>
      <c r="U385" s="16"/>
      <c r="V385" s="16"/>
      <c r="W385" s="16"/>
      <c r="X385" s="16"/>
    </row>
    <row r="386">
      <c r="A386" s="17"/>
      <c r="B386" s="17"/>
      <c r="C386" s="17"/>
      <c r="D386" s="48"/>
      <c r="E386" s="48"/>
      <c r="F386" s="16"/>
      <c r="G386" s="16"/>
      <c r="H386" s="16"/>
      <c r="I386" s="16"/>
      <c r="J386" s="16"/>
      <c r="K386" s="16"/>
      <c r="L386" s="16"/>
      <c r="M386" s="16"/>
      <c r="N386" s="16"/>
      <c r="O386" s="16"/>
      <c r="P386" s="16"/>
      <c r="Q386" s="16"/>
      <c r="R386" s="16"/>
      <c r="S386" s="16"/>
      <c r="T386" s="16"/>
      <c r="U386" s="16"/>
      <c r="V386" s="16"/>
      <c r="W386" s="16"/>
      <c r="X386" s="16"/>
    </row>
    <row r="387">
      <c r="A387" s="17"/>
      <c r="B387" s="17"/>
      <c r="C387" s="17"/>
      <c r="D387" s="48"/>
      <c r="E387" s="48"/>
      <c r="F387" s="16"/>
      <c r="G387" s="16"/>
      <c r="H387" s="16"/>
      <c r="I387" s="16"/>
      <c r="J387" s="16"/>
      <c r="K387" s="16"/>
      <c r="L387" s="16"/>
      <c r="M387" s="16"/>
      <c r="N387" s="16"/>
      <c r="O387" s="16"/>
      <c r="P387" s="16"/>
      <c r="Q387" s="16"/>
      <c r="R387" s="16"/>
      <c r="S387" s="16"/>
      <c r="T387" s="16"/>
      <c r="U387" s="16"/>
      <c r="V387" s="16"/>
      <c r="W387" s="16"/>
      <c r="X387" s="16"/>
    </row>
    <row r="388">
      <c r="A388" s="17"/>
      <c r="B388" s="17"/>
      <c r="C388" s="17"/>
      <c r="D388" s="48"/>
      <c r="E388" s="48"/>
      <c r="F388" s="16"/>
      <c r="G388" s="16"/>
      <c r="H388" s="16"/>
      <c r="I388" s="16"/>
      <c r="J388" s="16"/>
      <c r="K388" s="16"/>
      <c r="L388" s="16"/>
      <c r="M388" s="16"/>
      <c r="N388" s="16"/>
      <c r="O388" s="16"/>
      <c r="P388" s="16"/>
      <c r="Q388" s="16"/>
      <c r="R388" s="16"/>
      <c r="S388" s="16"/>
      <c r="T388" s="16"/>
      <c r="U388" s="16"/>
      <c r="V388" s="16"/>
      <c r="W388" s="16"/>
      <c r="X388" s="16"/>
    </row>
    <row r="389">
      <c r="A389" s="17"/>
      <c r="B389" s="17"/>
      <c r="C389" s="17"/>
      <c r="D389" s="48"/>
      <c r="E389" s="48"/>
      <c r="F389" s="16"/>
      <c r="G389" s="16"/>
      <c r="H389" s="16"/>
      <c r="I389" s="16"/>
      <c r="J389" s="16"/>
      <c r="K389" s="16"/>
      <c r="L389" s="16"/>
      <c r="M389" s="16"/>
      <c r="N389" s="16"/>
      <c r="O389" s="16"/>
      <c r="P389" s="16"/>
      <c r="Q389" s="16"/>
      <c r="R389" s="16"/>
      <c r="S389" s="16"/>
      <c r="T389" s="16"/>
      <c r="U389" s="16"/>
      <c r="V389" s="16"/>
      <c r="W389" s="16"/>
      <c r="X389" s="16"/>
    </row>
    <row r="390">
      <c r="A390" s="17"/>
      <c r="B390" s="17"/>
      <c r="C390" s="17"/>
      <c r="D390" s="48"/>
      <c r="E390" s="48"/>
      <c r="F390" s="16"/>
      <c r="G390" s="16"/>
      <c r="H390" s="16"/>
      <c r="I390" s="16"/>
      <c r="J390" s="16"/>
      <c r="K390" s="16"/>
      <c r="L390" s="16"/>
      <c r="M390" s="16"/>
      <c r="N390" s="16"/>
      <c r="O390" s="16"/>
      <c r="P390" s="16"/>
      <c r="Q390" s="16"/>
      <c r="R390" s="16"/>
      <c r="S390" s="16"/>
      <c r="T390" s="16"/>
      <c r="U390" s="16"/>
      <c r="V390" s="16"/>
      <c r="W390" s="16"/>
      <c r="X390" s="16"/>
    </row>
    <row r="391">
      <c r="A391" s="17"/>
      <c r="B391" s="17"/>
      <c r="C391" s="17"/>
      <c r="D391" s="48"/>
      <c r="E391" s="48"/>
      <c r="F391" s="16"/>
      <c r="G391" s="16"/>
      <c r="H391" s="16"/>
      <c r="I391" s="16"/>
      <c r="J391" s="16"/>
      <c r="K391" s="16"/>
      <c r="L391" s="16"/>
      <c r="M391" s="16"/>
      <c r="N391" s="16"/>
      <c r="O391" s="16"/>
      <c r="P391" s="16"/>
      <c r="Q391" s="16"/>
      <c r="R391" s="16"/>
      <c r="S391" s="16"/>
      <c r="T391" s="16"/>
      <c r="U391" s="16"/>
      <c r="V391" s="16"/>
      <c r="W391" s="16"/>
      <c r="X391" s="16"/>
    </row>
    <row r="392">
      <c r="A392" s="17"/>
      <c r="B392" s="17"/>
      <c r="C392" s="17"/>
      <c r="D392" s="48"/>
      <c r="E392" s="48"/>
      <c r="F392" s="16"/>
      <c r="G392" s="16"/>
      <c r="H392" s="16"/>
      <c r="I392" s="16"/>
      <c r="J392" s="16"/>
      <c r="K392" s="16"/>
      <c r="L392" s="16"/>
      <c r="M392" s="16"/>
      <c r="N392" s="16"/>
      <c r="O392" s="16"/>
      <c r="P392" s="16"/>
      <c r="Q392" s="16"/>
      <c r="R392" s="16"/>
      <c r="S392" s="16"/>
      <c r="T392" s="16"/>
      <c r="U392" s="16"/>
      <c r="V392" s="16"/>
      <c r="W392" s="16"/>
      <c r="X392" s="16"/>
    </row>
    <row r="393">
      <c r="A393" s="17"/>
      <c r="B393" s="17"/>
      <c r="C393" s="17"/>
      <c r="D393" s="48"/>
      <c r="E393" s="48"/>
      <c r="F393" s="16"/>
      <c r="G393" s="16"/>
      <c r="H393" s="16"/>
      <c r="I393" s="16"/>
      <c r="J393" s="16"/>
      <c r="K393" s="16"/>
      <c r="L393" s="16"/>
      <c r="M393" s="16"/>
      <c r="N393" s="16"/>
      <c r="O393" s="16"/>
      <c r="P393" s="16"/>
      <c r="Q393" s="16"/>
      <c r="R393" s="16"/>
      <c r="S393" s="16"/>
      <c r="T393" s="16"/>
      <c r="U393" s="16"/>
      <c r="V393" s="16"/>
      <c r="W393" s="16"/>
      <c r="X393" s="16"/>
    </row>
    <row r="394">
      <c r="A394" s="17"/>
      <c r="B394" s="17"/>
      <c r="C394" s="17"/>
      <c r="D394" s="48"/>
      <c r="E394" s="48"/>
      <c r="F394" s="16"/>
      <c r="G394" s="16"/>
      <c r="H394" s="16"/>
      <c r="I394" s="16"/>
      <c r="J394" s="16"/>
      <c r="K394" s="16"/>
      <c r="L394" s="16"/>
      <c r="M394" s="16"/>
      <c r="N394" s="16"/>
      <c r="O394" s="16"/>
      <c r="P394" s="16"/>
      <c r="Q394" s="16"/>
      <c r="R394" s="16"/>
      <c r="S394" s="16"/>
      <c r="T394" s="16"/>
      <c r="U394" s="16"/>
      <c r="V394" s="16"/>
      <c r="W394" s="16"/>
      <c r="X394" s="16"/>
    </row>
    <row r="395">
      <c r="A395" s="17"/>
      <c r="B395" s="17"/>
      <c r="C395" s="17"/>
      <c r="D395" s="48"/>
      <c r="E395" s="48"/>
      <c r="F395" s="16"/>
      <c r="G395" s="16"/>
      <c r="H395" s="16"/>
      <c r="I395" s="16"/>
      <c r="J395" s="16"/>
      <c r="K395" s="16"/>
      <c r="L395" s="16"/>
      <c r="M395" s="16"/>
      <c r="N395" s="16"/>
      <c r="O395" s="16"/>
      <c r="P395" s="16"/>
      <c r="Q395" s="16"/>
      <c r="R395" s="16"/>
      <c r="S395" s="16"/>
      <c r="T395" s="16"/>
      <c r="U395" s="16"/>
      <c r="V395" s="16"/>
      <c r="W395" s="16"/>
      <c r="X395" s="16"/>
    </row>
    <row r="396">
      <c r="A396" s="17"/>
      <c r="B396" s="17"/>
      <c r="C396" s="17"/>
      <c r="D396" s="48"/>
      <c r="E396" s="48"/>
      <c r="F396" s="16"/>
      <c r="G396" s="16"/>
      <c r="H396" s="16"/>
      <c r="I396" s="16"/>
      <c r="J396" s="16"/>
      <c r="K396" s="16"/>
      <c r="L396" s="16"/>
      <c r="M396" s="16"/>
      <c r="N396" s="16"/>
      <c r="O396" s="16"/>
      <c r="P396" s="16"/>
      <c r="Q396" s="16"/>
      <c r="R396" s="16"/>
      <c r="S396" s="16"/>
      <c r="T396" s="16"/>
      <c r="U396" s="16"/>
      <c r="V396" s="16"/>
      <c r="W396" s="16"/>
      <c r="X396" s="16"/>
    </row>
    <row r="397">
      <c r="A397" s="17"/>
      <c r="B397" s="17"/>
      <c r="C397" s="17"/>
      <c r="D397" s="48"/>
      <c r="E397" s="48"/>
      <c r="F397" s="16"/>
      <c r="G397" s="16"/>
      <c r="H397" s="16"/>
      <c r="I397" s="16"/>
      <c r="J397" s="16"/>
      <c r="K397" s="16"/>
      <c r="L397" s="16"/>
      <c r="M397" s="16"/>
      <c r="N397" s="16"/>
      <c r="O397" s="16"/>
      <c r="P397" s="16"/>
      <c r="Q397" s="16"/>
      <c r="R397" s="16"/>
      <c r="S397" s="16"/>
      <c r="T397" s="16"/>
      <c r="U397" s="16"/>
      <c r="V397" s="16"/>
      <c r="W397" s="16"/>
      <c r="X397" s="16"/>
    </row>
    <row r="398">
      <c r="A398" s="17"/>
      <c r="B398" s="17"/>
      <c r="C398" s="17"/>
      <c r="D398" s="48"/>
      <c r="E398" s="48"/>
      <c r="F398" s="16"/>
      <c r="G398" s="16"/>
      <c r="H398" s="16"/>
      <c r="I398" s="16"/>
      <c r="J398" s="16"/>
      <c r="K398" s="16"/>
      <c r="L398" s="16"/>
      <c r="M398" s="16"/>
      <c r="N398" s="16"/>
      <c r="O398" s="16"/>
      <c r="P398" s="16"/>
      <c r="Q398" s="16"/>
      <c r="R398" s="16"/>
      <c r="S398" s="16"/>
      <c r="T398" s="16"/>
      <c r="U398" s="16"/>
      <c r="V398" s="16"/>
      <c r="W398" s="16"/>
      <c r="X398" s="16"/>
    </row>
    <row r="399">
      <c r="A399" s="17"/>
      <c r="B399" s="17"/>
      <c r="C399" s="17"/>
      <c r="D399" s="48"/>
      <c r="E399" s="48"/>
      <c r="F399" s="16"/>
      <c r="G399" s="16"/>
      <c r="H399" s="16"/>
      <c r="I399" s="16"/>
      <c r="J399" s="16"/>
      <c r="K399" s="16"/>
      <c r="L399" s="16"/>
      <c r="M399" s="16"/>
      <c r="N399" s="16"/>
      <c r="O399" s="16"/>
      <c r="P399" s="16"/>
      <c r="Q399" s="16"/>
      <c r="R399" s="16"/>
      <c r="S399" s="16"/>
      <c r="T399" s="16"/>
      <c r="U399" s="16"/>
      <c r="V399" s="16"/>
      <c r="W399" s="16"/>
      <c r="X399" s="16"/>
    </row>
    <row r="400">
      <c r="A400" s="17"/>
      <c r="B400" s="17"/>
      <c r="C400" s="17"/>
      <c r="D400" s="48"/>
      <c r="E400" s="48"/>
      <c r="F400" s="16"/>
      <c r="G400" s="16"/>
      <c r="H400" s="16"/>
      <c r="I400" s="16"/>
      <c r="J400" s="16"/>
      <c r="K400" s="16"/>
      <c r="L400" s="16"/>
      <c r="M400" s="16"/>
      <c r="N400" s="16"/>
      <c r="O400" s="16"/>
      <c r="P400" s="16"/>
      <c r="Q400" s="16"/>
      <c r="R400" s="16"/>
      <c r="S400" s="16"/>
      <c r="T400" s="16"/>
      <c r="U400" s="16"/>
      <c r="V400" s="16"/>
      <c r="W400" s="16"/>
      <c r="X400" s="16"/>
    </row>
    <row r="401">
      <c r="A401" s="17"/>
      <c r="B401" s="17"/>
      <c r="C401" s="17"/>
      <c r="D401" s="48"/>
      <c r="E401" s="48"/>
      <c r="F401" s="16"/>
      <c r="G401" s="16"/>
      <c r="H401" s="16"/>
      <c r="I401" s="16"/>
      <c r="J401" s="16"/>
      <c r="K401" s="16"/>
      <c r="L401" s="16"/>
      <c r="M401" s="16"/>
      <c r="N401" s="16"/>
      <c r="O401" s="16"/>
      <c r="P401" s="16"/>
      <c r="Q401" s="16"/>
      <c r="R401" s="16"/>
      <c r="S401" s="16"/>
      <c r="T401" s="16"/>
      <c r="U401" s="16"/>
      <c r="V401" s="16"/>
      <c r="W401" s="16"/>
      <c r="X401" s="16"/>
    </row>
    <row r="402">
      <c r="A402" s="17"/>
      <c r="B402" s="17"/>
      <c r="C402" s="17"/>
      <c r="D402" s="48"/>
      <c r="E402" s="48"/>
      <c r="F402" s="16"/>
      <c r="G402" s="16"/>
      <c r="H402" s="16"/>
      <c r="I402" s="16"/>
      <c r="J402" s="16"/>
      <c r="K402" s="16"/>
      <c r="L402" s="16"/>
      <c r="M402" s="16"/>
      <c r="N402" s="16"/>
      <c r="O402" s="16"/>
      <c r="P402" s="16"/>
      <c r="Q402" s="16"/>
      <c r="R402" s="16"/>
      <c r="S402" s="16"/>
      <c r="T402" s="16"/>
      <c r="U402" s="16"/>
      <c r="V402" s="16"/>
      <c r="W402" s="16"/>
      <c r="X402" s="16"/>
    </row>
    <row r="403">
      <c r="A403" s="17"/>
      <c r="B403" s="17"/>
      <c r="C403" s="17"/>
      <c r="D403" s="48"/>
      <c r="E403" s="48"/>
      <c r="F403" s="16"/>
      <c r="G403" s="16"/>
      <c r="H403" s="16"/>
      <c r="I403" s="16"/>
      <c r="J403" s="16"/>
      <c r="K403" s="16"/>
      <c r="L403" s="16"/>
      <c r="M403" s="16"/>
      <c r="N403" s="16"/>
      <c r="O403" s="16"/>
      <c r="P403" s="16"/>
      <c r="Q403" s="16"/>
      <c r="R403" s="16"/>
      <c r="S403" s="16"/>
      <c r="T403" s="16"/>
      <c r="U403" s="16"/>
      <c r="V403" s="16"/>
      <c r="W403" s="16"/>
      <c r="X403" s="16"/>
    </row>
    <row r="404">
      <c r="A404" s="17"/>
      <c r="B404" s="17"/>
      <c r="C404" s="17"/>
      <c r="D404" s="48"/>
      <c r="E404" s="48"/>
      <c r="F404" s="16"/>
      <c r="G404" s="16"/>
      <c r="H404" s="16"/>
      <c r="I404" s="16"/>
      <c r="J404" s="16"/>
      <c r="K404" s="16"/>
      <c r="L404" s="16"/>
      <c r="M404" s="16"/>
      <c r="N404" s="16"/>
      <c r="O404" s="16"/>
      <c r="P404" s="16"/>
      <c r="Q404" s="16"/>
      <c r="R404" s="16"/>
      <c r="S404" s="16"/>
      <c r="T404" s="16"/>
      <c r="U404" s="16"/>
      <c r="V404" s="16"/>
      <c r="W404" s="16"/>
      <c r="X404" s="16"/>
    </row>
    <row r="405">
      <c r="A405" s="17"/>
      <c r="B405" s="17"/>
      <c r="C405" s="17"/>
      <c r="D405" s="48"/>
      <c r="E405" s="48"/>
      <c r="F405" s="16"/>
      <c r="G405" s="16"/>
      <c r="H405" s="16"/>
      <c r="I405" s="16"/>
      <c r="J405" s="16"/>
      <c r="K405" s="16"/>
      <c r="L405" s="16"/>
      <c r="M405" s="16"/>
      <c r="N405" s="16"/>
      <c r="O405" s="16"/>
      <c r="P405" s="16"/>
      <c r="Q405" s="16"/>
      <c r="R405" s="16"/>
      <c r="S405" s="16"/>
      <c r="T405" s="16"/>
      <c r="U405" s="16"/>
      <c r="V405" s="16"/>
      <c r="W405" s="16"/>
      <c r="X405" s="16"/>
    </row>
    <row r="406">
      <c r="A406" s="17"/>
      <c r="B406" s="17"/>
      <c r="C406" s="17"/>
      <c r="D406" s="48"/>
      <c r="E406" s="48"/>
      <c r="F406" s="16"/>
      <c r="G406" s="16"/>
      <c r="H406" s="16"/>
      <c r="I406" s="16"/>
      <c r="J406" s="16"/>
      <c r="K406" s="16"/>
      <c r="L406" s="16"/>
      <c r="M406" s="16"/>
      <c r="N406" s="16"/>
      <c r="O406" s="16"/>
      <c r="P406" s="16"/>
      <c r="Q406" s="16"/>
      <c r="R406" s="16"/>
      <c r="S406" s="16"/>
      <c r="T406" s="16"/>
      <c r="U406" s="16"/>
      <c r="V406" s="16"/>
      <c r="W406" s="16"/>
      <c r="X406" s="16"/>
    </row>
    <row r="407">
      <c r="A407" s="17"/>
      <c r="B407" s="17"/>
      <c r="C407" s="17"/>
      <c r="D407" s="48"/>
      <c r="E407" s="48"/>
      <c r="F407" s="16"/>
      <c r="G407" s="16"/>
      <c r="H407" s="16"/>
      <c r="I407" s="16"/>
      <c r="J407" s="16"/>
      <c r="K407" s="16"/>
      <c r="L407" s="16"/>
      <c r="M407" s="16"/>
      <c r="N407" s="16"/>
      <c r="O407" s="16"/>
      <c r="P407" s="16"/>
      <c r="Q407" s="16"/>
      <c r="R407" s="16"/>
      <c r="S407" s="16"/>
      <c r="T407" s="16"/>
      <c r="U407" s="16"/>
      <c r="V407" s="16"/>
      <c r="W407" s="16"/>
      <c r="X407" s="16"/>
    </row>
    <row r="408">
      <c r="A408" s="17"/>
      <c r="B408" s="17"/>
      <c r="C408" s="17"/>
      <c r="D408" s="48"/>
      <c r="E408" s="48"/>
      <c r="F408" s="16"/>
      <c r="G408" s="16"/>
      <c r="H408" s="16"/>
      <c r="I408" s="16"/>
      <c r="J408" s="16"/>
      <c r="K408" s="16"/>
      <c r="L408" s="16"/>
      <c r="M408" s="16"/>
      <c r="N408" s="16"/>
      <c r="O408" s="16"/>
      <c r="P408" s="16"/>
      <c r="Q408" s="16"/>
      <c r="R408" s="16"/>
      <c r="S408" s="16"/>
      <c r="T408" s="16"/>
      <c r="U408" s="16"/>
      <c r="V408" s="16"/>
      <c r="W408" s="16"/>
      <c r="X408" s="16"/>
    </row>
    <row r="409">
      <c r="A409" s="17"/>
      <c r="B409" s="17"/>
      <c r="C409" s="17"/>
      <c r="D409" s="48"/>
      <c r="E409" s="48"/>
      <c r="F409" s="16"/>
      <c r="G409" s="16"/>
      <c r="H409" s="16"/>
      <c r="I409" s="16"/>
      <c r="J409" s="16"/>
      <c r="K409" s="16"/>
      <c r="L409" s="16"/>
      <c r="M409" s="16"/>
      <c r="N409" s="16"/>
      <c r="O409" s="16"/>
      <c r="P409" s="16"/>
      <c r="Q409" s="16"/>
      <c r="R409" s="16"/>
      <c r="S409" s="16"/>
      <c r="T409" s="16"/>
      <c r="U409" s="16"/>
      <c r="V409" s="16"/>
      <c r="W409" s="16"/>
      <c r="X409" s="16"/>
    </row>
    <row r="410">
      <c r="A410" s="17"/>
      <c r="B410" s="17"/>
      <c r="C410" s="17"/>
      <c r="D410" s="48"/>
      <c r="E410" s="48"/>
      <c r="F410" s="16"/>
      <c r="G410" s="16"/>
      <c r="H410" s="16"/>
      <c r="I410" s="16"/>
      <c r="J410" s="16"/>
      <c r="K410" s="16"/>
      <c r="L410" s="16"/>
      <c r="M410" s="16"/>
      <c r="N410" s="16"/>
      <c r="O410" s="16"/>
      <c r="P410" s="16"/>
      <c r="Q410" s="16"/>
      <c r="R410" s="16"/>
      <c r="S410" s="16"/>
      <c r="T410" s="16"/>
      <c r="U410" s="16"/>
      <c r="V410" s="16"/>
      <c r="W410" s="16"/>
      <c r="X410" s="16"/>
    </row>
    <row r="411">
      <c r="A411" s="17"/>
      <c r="B411" s="17"/>
      <c r="C411" s="17"/>
      <c r="D411" s="48"/>
      <c r="E411" s="48"/>
      <c r="F411" s="16"/>
      <c r="G411" s="16"/>
      <c r="H411" s="16"/>
      <c r="I411" s="16"/>
      <c r="J411" s="16"/>
      <c r="K411" s="16"/>
      <c r="L411" s="16"/>
      <c r="M411" s="16"/>
      <c r="N411" s="16"/>
      <c r="O411" s="16"/>
      <c r="P411" s="16"/>
      <c r="Q411" s="16"/>
      <c r="R411" s="16"/>
      <c r="S411" s="16"/>
      <c r="T411" s="16"/>
      <c r="U411" s="16"/>
      <c r="V411" s="16"/>
      <c r="W411" s="16"/>
      <c r="X411" s="16"/>
    </row>
    <row r="412">
      <c r="A412" s="17"/>
      <c r="B412" s="17"/>
      <c r="C412" s="17"/>
      <c r="D412" s="48"/>
      <c r="E412" s="48"/>
      <c r="F412" s="16"/>
      <c r="G412" s="16"/>
      <c r="H412" s="16"/>
      <c r="I412" s="16"/>
      <c r="J412" s="16"/>
      <c r="K412" s="16"/>
      <c r="L412" s="16"/>
      <c r="M412" s="16"/>
      <c r="N412" s="16"/>
      <c r="O412" s="16"/>
      <c r="P412" s="16"/>
      <c r="Q412" s="16"/>
      <c r="R412" s="16"/>
      <c r="S412" s="16"/>
      <c r="T412" s="16"/>
      <c r="U412" s="16"/>
      <c r="V412" s="16"/>
      <c r="W412" s="16"/>
      <c r="X412" s="16"/>
    </row>
    <row r="413">
      <c r="A413" s="17"/>
      <c r="B413" s="17"/>
      <c r="C413" s="17"/>
      <c r="D413" s="48"/>
      <c r="E413" s="48"/>
      <c r="F413" s="16"/>
      <c r="G413" s="16"/>
      <c r="H413" s="16"/>
      <c r="I413" s="16"/>
      <c r="J413" s="16"/>
      <c r="K413" s="16"/>
      <c r="L413" s="16"/>
      <c r="M413" s="16"/>
      <c r="N413" s="16"/>
      <c r="O413" s="16"/>
      <c r="P413" s="16"/>
      <c r="Q413" s="16"/>
      <c r="R413" s="16"/>
      <c r="S413" s="16"/>
      <c r="T413" s="16"/>
      <c r="U413" s="16"/>
      <c r="V413" s="16"/>
      <c r="W413" s="16"/>
      <c r="X413" s="16"/>
    </row>
    <row r="414">
      <c r="A414" s="17"/>
      <c r="B414" s="17"/>
      <c r="C414" s="17"/>
      <c r="D414" s="48"/>
      <c r="E414" s="48"/>
      <c r="F414" s="16"/>
      <c r="G414" s="16"/>
      <c r="H414" s="16"/>
      <c r="I414" s="16"/>
      <c r="J414" s="16"/>
      <c r="K414" s="16"/>
      <c r="L414" s="16"/>
      <c r="M414" s="16"/>
      <c r="N414" s="16"/>
      <c r="O414" s="16"/>
      <c r="P414" s="16"/>
      <c r="Q414" s="16"/>
      <c r="R414" s="16"/>
      <c r="S414" s="16"/>
      <c r="T414" s="16"/>
      <c r="U414" s="16"/>
      <c r="V414" s="16"/>
      <c r="W414" s="16"/>
      <c r="X414" s="16"/>
    </row>
    <row r="415">
      <c r="A415" s="17"/>
      <c r="B415" s="17"/>
      <c r="C415" s="17"/>
      <c r="D415" s="48"/>
      <c r="E415" s="48"/>
      <c r="F415" s="16"/>
      <c r="G415" s="16"/>
      <c r="H415" s="16"/>
      <c r="I415" s="16"/>
      <c r="J415" s="16"/>
      <c r="K415" s="16"/>
      <c r="L415" s="16"/>
      <c r="M415" s="16"/>
      <c r="N415" s="16"/>
      <c r="O415" s="16"/>
      <c r="P415" s="16"/>
      <c r="Q415" s="16"/>
      <c r="R415" s="16"/>
      <c r="S415" s="16"/>
      <c r="T415" s="16"/>
      <c r="U415" s="16"/>
      <c r="V415" s="16"/>
      <c r="W415" s="16"/>
      <c r="X415" s="16"/>
    </row>
    <row r="416">
      <c r="A416" s="17"/>
      <c r="B416" s="17"/>
      <c r="C416" s="17"/>
      <c r="D416" s="48"/>
      <c r="E416" s="48"/>
      <c r="F416" s="16"/>
      <c r="G416" s="16"/>
      <c r="H416" s="16"/>
      <c r="I416" s="16"/>
      <c r="J416" s="16"/>
      <c r="K416" s="16"/>
      <c r="L416" s="16"/>
      <c r="M416" s="16"/>
      <c r="N416" s="16"/>
      <c r="O416" s="16"/>
      <c r="P416" s="16"/>
      <c r="Q416" s="16"/>
      <c r="R416" s="16"/>
      <c r="S416" s="16"/>
      <c r="T416" s="16"/>
      <c r="U416" s="16"/>
      <c r="V416" s="16"/>
      <c r="W416" s="16"/>
      <c r="X416" s="16"/>
    </row>
    <row r="417">
      <c r="A417" s="17"/>
      <c r="B417" s="17"/>
      <c r="C417" s="17"/>
      <c r="D417" s="48"/>
      <c r="E417" s="48"/>
      <c r="F417" s="16"/>
      <c r="G417" s="16"/>
      <c r="H417" s="16"/>
      <c r="I417" s="16"/>
      <c r="J417" s="16"/>
      <c r="K417" s="16"/>
      <c r="L417" s="16"/>
      <c r="M417" s="16"/>
      <c r="N417" s="16"/>
      <c r="O417" s="16"/>
      <c r="P417" s="16"/>
      <c r="Q417" s="16"/>
      <c r="R417" s="16"/>
      <c r="S417" s="16"/>
      <c r="T417" s="16"/>
      <c r="U417" s="16"/>
      <c r="V417" s="16"/>
      <c r="W417" s="16"/>
      <c r="X417" s="16"/>
    </row>
    <row r="418">
      <c r="A418" s="17"/>
      <c r="B418" s="17"/>
      <c r="C418" s="17"/>
      <c r="D418" s="48"/>
      <c r="E418" s="48"/>
      <c r="F418" s="16"/>
      <c r="G418" s="16"/>
      <c r="H418" s="16"/>
      <c r="I418" s="16"/>
      <c r="J418" s="16"/>
      <c r="K418" s="16"/>
      <c r="L418" s="16"/>
      <c r="M418" s="16"/>
      <c r="N418" s="16"/>
      <c r="O418" s="16"/>
      <c r="P418" s="16"/>
      <c r="Q418" s="16"/>
      <c r="R418" s="16"/>
      <c r="S418" s="16"/>
      <c r="T418" s="16"/>
      <c r="U418" s="16"/>
      <c r="V418" s="16"/>
      <c r="W418" s="16"/>
      <c r="X418" s="16"/>
    </row>
    <row r="419">
      <c r="A419" s="17"/>
      <c r="B419" s="17"/>
      <c r="C419" s="17"/>
      <c r="D419" s="48"/>
      <c r="E419" s="48"/>
      <c r="F419" s="16"/>
      <c r="G419" s="16"/>
      <c r="H419" s="16"/>
      <c r="I419" s="16"/>
      <c r="J419" s="16"/>
      <c r="K419" s="16"/>
      <c r="L419" s="16"/>
      <c r="M419" s="16"/>
      <c r="N419" s="16"/>
      <c r="O419" s="16"/>
      <c r="P419" s="16"/>
      <c r="Q419" s="16"/>
      <c r="R419" s="16"/>
      <c r="S419" s="16"/>
      <c r="T419" s="16"/>
      <c r="U419" s="16"/>
      <c r="V419" s="16"/>
      <c r="W419" s="16"/>
      <c r="X419" s="16"/>
    </row>
    <row r="420">
      <c r="A420" s="17"/>
      <c r="B420" s="17"/>
      <c r="C420" s="17"/>
      <c r="D420" s="48"/>
      <c r="E420" s="48"/>
      <c r="F420" s="16"/>
      <c r="G420" s="16"/>
      <c r="H420" s="16"/>
      <c r="I420" s="16"/>
      <c r="J420" s="16"/>
      <c r="K420" s="16"/>
      <c r="L420" s="16"/>
      <c r="M420" s="16"/>
      <c r="N420" s="16"/>
      <c r="O420" s="16"/>
      <c r="P420" s="16"/>
      <c r="Q420" s="16"/>
      <c r="R420" s="16"/>
      <c r="S420" s="16"/>
      <c r="T420" s="16"/>
      <c r="U420" s="16"/>
      <c r="V420" s="16"/>
      <c r="W420" s="16"/>
      <c r="X420" s="16"/>
    </row>
    <row r="421">
      <c r="A421" s="17"/>
      <c r="B421" s="17"/>
      <c r="C421" s="17"/>
      <c r="D421" s="48"/>
      <c r="E421" s="48"/>
      <c r="F421" s="16"/>
      <c r="G421" s="16"/>
      <c r="H421" s="16"/>
      <c r="I421" s="16"/>
      <c r="J421" s="16"/>
      <c r="K421" s="16"/>
      <c r="L421" s="16"/>
      <c r="M421" s="16"/>
      <c r="N421" s="16"/>
      <c r="O421" s="16"/>
      <c r="P421" s="16"/>
      <c r="Q421" s="16"/>
      <c r="R421" s="16"/>
      <c r="S421" s="16"/>
      <c r="T421" s="16"/>
      <c r="U421" s="16"/>
      <c r="V421" s="16"/>
      <c r="W421" s="16"/>
      <c r="X421" s="16"/>
    </row>
    <row r="422">
      <c r="A422" s="17"/>
      <c r="B422" s="17"/>
      <c r="C422" s="17"/>
      <c r="D422" s="48"/>
      <c r="E422" s="48"/>
      <c r="F422" s="16"/>
      <c r="G422" s="16"/>
      <c r="H422" s="16"/>
      <c r="I422" s="16"/>
      <c r="J422" s="16"/>
      <c r="K422" s="16"/>
      <c r="L422" s="16"/>
      <c r="M422" s="16"/>
      <c r="N422" s="16"/>
      <c r="O422" s="16"/>
      <c r="P422" s="16"/>
      <c r="Q422" s="16"/>
      <c r="R422" s="16"/>
      <c r="S422" s="16"/>
      <c r="T422" s="16"/>
      <c r="U422" s="16"/>
      <c r="V422" s="16"/>
      <c r="W422" s="16"/>
      <c r="X422" s="16"/>
    </row>
    <row r="423">
      <c r="A423" s="17"/>
      <c r="B423" s="17"/>
      <c r="C423" s="17"/>
      <c r="D423" s="48"/>
      <c r="E423" s="48"/>
      <c r="F423" s="16"/>
      <c r="G423" s="16"/>
      <c r="H423" s="16"/>
      <c r="I423" s="16"/>
      <c r="J423" s="16"/>
      <c r="K423" s="16"/>
      <c r="L423" s="16"/>
      <c r="M423" s="16"/>
      <c r="N423" s="16"/>
      <c r="O423" s="16"/>
      <c r="P423" s="16"/>
      <c r="Q423" s="16"/>
      <c r="R423" s="16"/>
      <c r="S423" s="16"/>
      <c r="T423" s="16"/>
      <c r="U423" s="16"/>
      <c r="V423" s="16"/>
      <c r="W423" s="16"/>
      <c r="X423" s="16"/>
    </row>
    <row r="424">
      <c r="A424" s="17"/>
      <c r="B424" s="17"/>
      <c r="C424" s="17"/>
      <c r="D424" s="48"/>
      <c r="E424" s="48"/>
      <c r="F424" s="16"/>
      <c r="G424" s="16"/>
      <c r="H424" s="16"/>
      <c r="I424" s="16"/>
      <c r="J424" s="16"/>
      <c r="K424" s="16"/>
      <c r="L424" s="16"/>
      <c r="M424" s="16"/>
      <c r="N424" s="16"/>
      <c r="O424" s="16"/>
      <c r="P424" s="16"/>
      <c r="Q424" s="16"/>
      <c r="R424" s="16"/>
      <c r="S424" s="16"/>
      <c r="T424" s="16"/>
      <c r="U424" s="16"/>
      <c r="V424" s="16"/>
      <c r="W424" s="16"/>
      <c r="X424" s="16"/>
    </row>
    <row r="425">
      <c r="A425" s="17"/>
      <c r="B425" s="17"/>
      <c r="C425" s="17"/>
      <c r="D425" s="48"/>
      <c r="E425" s="48"/>
      <c r="F425" s="16"/>
      <c r="G425" s="16"/>
      <c r="H425" s="16"/>
      <c r="I425" s="16"/>
      <c r="J425" s="16"/>
      <c r="K425" s="16"/>
      <c r="L425" s="16"/>
      <c r="M425" s="16"/>
      <c r="N425" s="16"/>
      <c r="O425" s="16"/>
      <c r="P425" s="16"/>
      <c r="Q425" s="16"/>
      <c r="R425" s="16"/>
      <c r="S425" s="16"/>
      <c r="T425" s="16"/>
      <c r="U425" s="16"/>
      <c r="V425" s="16"/>
      <c r="W425" s="16"/>
      <c r="X425" s="16"/>
    </row>
    <row r="426">
      <c r="A426" s="17"/>
      <c r="B426" s="17"/>
      <c r="C426" s="17"/>
      <c r="D426" s="48"/>
      <c r="E426" s="48"/>
      <c r="F426" s="16"/>
      <c r="G426" s="16"/>
      <c r="H426" s="16"/>
      <c r="I426" s="16"/>
      <c r="J426" s="16"/>
      <c r="K426" s="16"/>
      <c r="L426" s="16"/>
      <c r="M426" s="16"/>
      <c r="N426" s="16"/>
      <c r="O426" s="16"/>
      <c r="P426" s="16"/>
      <c r="Q426" s="16"/>
      <c r="R426" s="16"/>
      <c r="S426" s="16"/>
      <c r="T426" s="16"/>
      <c r="U426" s="16"/>
      <c r="V426" s="16"/>
      <c r="W426" s="16"/>
      <c r="X426" s="16"/>
    </row>
    <row r="427">
      <c r="A427" s="17"/>
      <c r="B427" s="17"/>
      <c r="C427" s="17"/>
      <c r="D427" s="48"/>
      <c r="E427" s="48"/>
      <c r="F427" s="16"/>
      <c r="G427" s="16"/>
      <c r="H427" s="16"/>
      <c r="I427" s="16"/>
      <c r="J427" s="16"/>
      <c r="K427" s="16"/>
      <c r="L427" s="16"/>
      <c r="M427" s="16"/>
      <c r="N427" s="16"/>
      <c r="O427" s="16"/>
      <c r="P427" s="16"/>
      <c r="Q427" s="16"/>
      <c r="R427" s="16"/>
      <c r="S427" s="16"/>
      <c r="T427" s="16"/>
      <c r="U427" s="16"/>
      <c r="V427" s="16"/>
      <c r="W427" s="16"/>
      <c r="X427" s="16"/>
    </row>
    <row r="428">
      <c r="A428" s="17"/>
      <c r="B428" s="17"/>
      <c r="C428" s="17"/>
      <c r="D428" s="48"/>
      <c r="E428" s="48"/>
      <c r="F428" s="16"/>
      <c r="G428" s="16"/>
      <c r="H428" s="16"/>
      <c r="I428" s="16"/>
      <c r="J428" s="16"/>
      <c r="K428" s="16"/>
      <c r="L428" s="16"/>
      <c r="M428" s="16"/>
      <c r="N428" s="16"/>
      <c r="O428" s="16"/>
      <c r="P428" s="16"/>
      <c r="Q428" s="16"/>
      <c r="R428" s="16"/>
      <c r="S428" s="16"/>
      <c r="T428" s="16"/>
      <c r="U428" s="16"/>
      <c r="V428" s="16"/>
      <c r="W428" s="16"/>
      <c r="X428" s="16"/>
    </row>
    <row r="429">
      <c r="A429" s="17"/>
      <c r="B429" s="17"/>
      <c r="C429" s="17"/>
      <c r="D429" s="48"/>
      <c r="E429" s="48"/>
      <c r="F429" s="16"/>
      <c r="G429" s="16"/>
      <c r="H429" s="16"/>
      <c r="I429" s="16"/>
      <c r="J429" s="16"/>
      <c r="K429" s="16"/>
      <c r="L429" s="16"/>
      <c r="M429" s="16"/>
      <c r="N429" s="16"/>
      <c r="O429" s="16"/>
      <c r="P429" s="16"/>
      <c r="Q429" s="16"/>
      <c r="R429" s="16"/>
      <c r="S429" s="16"/>
      <c r="T429" s="16"/>
      <c r="U429" s="16"/>
      <c r="V429" s="16"/>
      <c r="W429" s="16"/>
      <c r="X429" s="16"/>
    </row>
    <row r="430">
      <c r="A430" s="17"/>
      <c r="B430" s="17"/>
      <c r="C430" s="17"/>
      <c r="D430" s="48"/>
      <c r="E430" s="48"/>
      <c r="F430" s="16"/>
      <c r="G430" s="16"/>
      <c r="H430" s="16"/>
      <c r="I430" s="16"/>
      <c r="J430" s="16"/>
      <c r="K430" s="16"/>
      <c r="L430" s="16"/>
      <c r="M430" s="16"/>
      <c r="N430" s="16"/>
      <c r="O430" s="16"/>
      <c r="P430" s="16"/>
      <c r="Q430" s="16"/>
      <c r="R430" s="16"/>
      <c r="S430" s="16"/>
      <c r="T430" s="16"/>
      <c r="U430" s="16"/>
      <c r="V430" s="16"/>
      <c r="W430" s="16"/>
      <c r="X430" s="16"/>
    </row>
    <row r="431">
      <c r="A431" s="17"/>
      <c r="B431" s="17"/>
      <c r="C431" s="17"/>
      <c r="D431" s="48"/>
      <c r="E431" s="48"/>
      <c r="F431" s="16"/>
      <c r="G431" s="16"/>
      <c r="H431" s="16"/>
      <c r="I431" s="16"/>
      <c r="J431" s="16"/>
      <c r="K431" s="16"/>
      <c r="L431" s="16"/>
      <c r="M431" s="16"/>
      <c r="N431" s="16"/>
      <c r="O431" s="16"/>
      <c r="P431" s="16"/>
      <c r="Q431" s="16"/>
      <c r="R431" s="16"/>
      <c r="S431" s="16"/>
      <c r="T431" s="16"/>
      <c r="U431" s="16"/>
      <c r="V431" s="16"/>
      <c r="W431" s="16"/>
      <c r="X431" s="16"/>
    </row>
    <row r="432">
      <c r="A432" s="17"/>
      <c r="B432" s="17"/>
      <c r="C432" s="17"/>
      <c r="D432" s="48"/>
      <c r="E432" s="48"/>
      <c r="F432" s="16"/>
      <c r="G432" s="16"/>
      <c r="H432" s="16"/>
      <c r="I432" s="16"/>
      <c r="J432" s="16"/>
      <c r="K432" s="16"/>
      <c r="L432" s="16"/>
      <c r="M432" s="16"/>
      <c r="N432" s="16"/>
      <c r="O432" s="16"/>
      <c r="P432" s="16"/>
      <c r="Q432" s="16"/>
      <c r="R432" s="16"/>
      <c r="S432" s="16"/>
      <c r="T432" s="16"/>
      <c r="U432" s="16"/>
      <c r="V432" s="16"/>
      <c r="W432" s="16"/>
      <c r="X432" s="16"/>
    </row>
    <row r="433">
      <c r="A433" s="17"/>
      <c r="B433" s="17"/>
      <c r="C433" s="17"/>
      <c r="D433" s="48"/>
      <c r="E433" s="48"/>
      <c r="F433" s="16"/>
      <c r="G433" s="16"/>
      <c r="H433" s="16"/>
      <c r="I433" s="16"/>
      <c r="J433" s="16"/>
      <c r="K433" s="16"/>
      <c r="L433" s="16"/>
      <c r="M433" s="16"/>
      <c r="N433" s="16"/>
      <c r="O433" s="16"/>
      <c r="P433" s="16"/>
      <c r="Q433" s="16"/>
      <c r="R433" s="16"/>
      <c r="S433" s="16"/>
      <c r="T433" s="16"/>
      <c r="U433" s="16"/>
      <c r="V433" s="16"/>
      <c r="W433" s="16"/>
      <c r="X433" s="16"/>
    </row>
    <row r="434">
      <c r="A434" s="17"/>
      <c r="B434" s="17"/>
      <c r="C434" s="17"/>
      <c r="D434" s="48"/>
      <c r="E434" s="48"/>
      <c r="F434" s="16"/>
      <c r="G434" s="16"/>
      <c r="H434" s="16"/>
      <c r="I434" s="16"/>
      <c r="J434" s="16"/>
      <c r="K434" s="16"/>
      <c r="L434" s="16"/>
      <c r="M434" s="16"/>
      <c r="N434" s="16"/>
      <c r="O434" s="16"/>
      <c r="P434" s="16"/>
      <c r="Q434" s="16"/>
      <c r="R434" s="16"/>
      <c r="S434" s="16"/>
      <c r="T434" s="16"/>
      <c r="U434" s="16"/>
      <c r="V434" s="16"/>
      <c r="W434" s="16"/>
      <c r="X434" s="16"/>
    </row>
    <row r="435">
      <c r="A435" s="17"/>
      <c r="B435" s="17"/>
      <c r="C435" s="17"/>
      <c r="D435" s="48"/>
      <c r="E435" s="48"/>
      <c r="F435" s="16"/>
      <c r="G435" s="16"/>
      <c r="H435" s="16"/>
      <c r="I435" s="16"/>
      <c r="J435" s="16"/>
      <c r="K435" s="16"/>
      <c r="L435" s="16"/>
      <c r="M435" s="16"/>
      <c r="N435" s="16"/>
      <c r="O435" s="16"/>
      <c r="P435" s="16"/>
      <c r="Q435" s="16"/>
      <c r="R435" s="16"/>
      <c r="S435" s="16"/>
      <c r="T435" s="16"/>
      <c r="U435" s="16"/>
      <c r="V435" s="16"/>
      <c r="W435" s="16"/>
      <c r="X435" s="16"/>
    </row>
    <row r="436">
      <c r="A436" s="17"/>
      <c r="B436" s="17"/>
      <c r="C436" s="17"/>
      <c r="D436" s="48"/>
      <c r="E436" s="48"/>
      <c r="F436" s="16"/>
      <c r="G436" s="16"/>
      <c r="H436" s="16"/>
      <c r="I436" s="16"/>
      <c r="J436" s="16"/>
      <c r="K436" s="16"/>
      <c r="L436" s="16"/>
      <c r="M436" s="16"/>
      <c r="N436" s="16"/>
      <c r="O436" s="16"/>
      <c r="P436" s="16"/>
      <c r="Q436" s="16"/>
      <c r="R436" s="16"/>
      <c r="S436" s="16"/>
      <c r="T436" s="16"/>
      <c r="U436" s="16"/>
      <c r="V436" s="16"/>
      <c r="W436" s="16"/>
      <c r="X436" s="16"/>
    </row>
    <row r="437">
      <c r="A437" s="17"/>
      <c r="B437" s="17"/>
      <c r="C437" s="17"/>
      <c r="D437" s="48"/>
      <c r="E437" s="48"/>
      <c r="F437" s="16"/>
      <c r="G437" s="16"/>
      <c r="H437" s="16"/>
      <c r="I437" s="16"/>
      <c r="J437" s="16"/>
      <c r="K437" s="16"/>
      <c r="L437" s="16"/>
      <c r="M437" s="16"/>
      <c r="N437" s="16"/>
      <c r="O437" s="16"/>
      <c r="P437" s="16"/>
      <c r="Q437" s="16"/>
      <c r="R437" s="16"/>
      <c r="S437" s="16"/>
      <c r="T437" s="16"/>
      <c r="U437" s="16"/>
      <c r="V437" s="16"/>
      <c r="W437" s="16"/>
      <c r="X437" s="16"/>
    </row>
    <row r="438">
      <c r="A438" s="17"/>
      <c r="B438" s="17"/>
      <c r="C438" s="17"/>
      <c r="D438" s="48"/>
      <c r="E438" s="48"/>
      <c r="F438" s="16"/>
      <c r="G438" s="16"/>
      <c r="H438" s="16"/>
      <c r="I438" s="16"/>
      <c r="J438" s="16"/>
      <c r="K438" s="16"/>
      <c r="L438" s="16"/>
      <c r="M438" s="16"/>
      <c r="N438" s="16"/>
      <c r="O438" s="16"/>
      <c r="P438" s="16"/>
      <c r="Q438" s="16"/>
      <c r="R438" s="16"/>
      <c r="S438" s="16"/>
      <c r="T438" s="16"/>
      <c r="U438" s="16"/>
      <c r="V438" s="16"/>
      <c r="W438" s="16"/>
      <c r="X438" s="16"/>
    </row>
    <row r="439">
      <c r="A439" s="17"/>
      <c r="B439" s="17"/>
      <c r="C439" s="17"/>
      <c r="D439" s="48"/>
      <c r="E439" s="48"/>
      <c r="F439" s="16"/>
      <c r="G439" s="16"/>
      <c r="H439" s="16"/>
      <c r="I439" s="16"/>
      <c r="J439" s="16"/>
      <c r="K439" s="16"/>
      <c r="L439" s="16"/>
      <c r="M439" s="16"/>
      <c r="N439" s="16"/>
      <c r="O439" s="16"/>
      <c r="P439" s="16"/>
      <c r="Q439" s="16"/>
      <c r="R439" s="16"/>
      <c r="S439" s="16"/>
      <c r="T439" s="16"/>
      <c r="U439" s="16"/>
      <c r="V439" s="16"/>
      <c r="W439" s="16"/>
      <c r="X439" s="16"/>
    </row>
    <row r="440">
      <c r="A440" s="17"/>
      <c r="B440" s="17"/>
      <c r="C440" s="17"/>
      <c r="D440" s="48"/>
      <c r="E440" s="48"/>
      <c r="F440" s="16"/>
      <c r="G440" s="16"/>
      <c r="H440" s="16"/>
      <c r="I440" s="16"/>
      <c r="J440" s="16"/>
      <c r="K440" s="16"/>
      <c r="L440" s="16"/>
      <c r="M440" s="16"/>
      <c r="N440" s="16"/>
      <c r="O440" s="16"/>
      <c r="P440" s="16"/>
      <c r="Q440" s="16"/>
      <c r="R440" s="16"/>
      <c r="S440" s="16"/>
      <c r="T440" s="16"/>
      <c r="U440" s="16"/>
      <c r="V440" s="16"/>
      <c r="W440" s="16"/>
      <c r="X440" s="16"/>
    </row>
    <row r="441">
      <c r="A441" s="17"/>
      <c r="B441" s="17"/>
      <c r="C441" s="17"/>
      <c r="D441" s="48"/>
      <c r="E441" s="48"/>
      <c r="F441" s="16"/>
      <c r="G441" s="16"/>
      <c r="H441" s="16"/>
      <c r="I441" s="16"/>
      <c r="J441" s="16"/>
      <c r="K441" s="16"/>
      <c r="L441" s="16"/>
      <c r="M441" s="16"/>
      <c r="N441" s="16"/>
      <c r="O441" s="16"/>
      <c r="P441" s="16"/>
      <c r="Q441" s="16"/>
      <c r="R441" s="16"/>
      <c r="S441" s="16"/>
      <c r="T441" s="16"/>
      <c r="U441" s="16"/>
      <c r="V441" s="16"/>
      <c r="W441" s="16"/>
      <c r="X441" s="16"/>
    </row>
    <row r="442">
      <c r="A442" s="17"/>
      <c r="B442" s="17"/>
      <c r="C442" s="17"/>
      <c r="D442" s="48"/>
      <c r="E442" s="48"/>
      <c r="F442" s="16"/>
      <c r="G442" s="16"/>
      <c r="H442" s="16"/>
      <c r="I442" s="16"/>
      <c r="J442" s="16"/>
      <c r="K442" s="16"/>
      <c r="L442" s="16"/>
      <c r="M442" s="16"/>
      <c r="N442" s="16"/>
      <c r="O442" s="16"/>
      <c r="P442" s="16"/>
      <c r="Q442" s="16"/>
      <c r="R442" s="16"/>
      <c r="S442" s="16"/>
      <c r="T442" s="16"/>
      <c r="U442" s="16"/>
      <c r="V442" s="16"/>
      <c r="W442" s="16"/>
      <c r="X442" s="16"/>
    </row>
    <row r="443">
      <c r="A443" s="17"/>
      <c r="B443" s="17"/>
      <c r="C443" s="17"/>
      <c r="D443" s="48"/>
      <c r="E443" s="48"/>
      <c r="F443" s="16"/>
      <c r="G443" s="16"/>
      <c r="H443" s="16"/>
      <c r="I443" s="16"/>
      <c r="J443" s="16"/>
      <c r="K443" s="16"/>
      <c r="L443" s="16"/>
      <c r="M443" s="16"/>
      <c r="N443" s="16"/>
      <c r="O443" s="16"/>
      <c r="P443" s="16"/>
      <c r="Q443" s="16"/>
      <c r="R443" s="16"/>
      <c r="S443" s="16"/>
      <c r="T443" s="16"/>
      <c r="U443" s="16"/>
      <c r="V443" s="16"/>
      <c r="W443" s="16"/>
      <c r="X443" s="16"/>
    </row>
    <row r="444">
      <c r="A444" s="17"/>
      <c r="B444" s="17"/>
      <c r="C444" s="17"/>
      <c r="D444" s="48"/>
      <c r="E444" s="48"/>
      <c r="F444" s="16"/>
      <c r="G444" s="16"/>
      <c r="H444" s="16"/>
      <c r="I444" s="16"/>
      <c r="J444" s="16"/>
      <c r="K444" s="16"/>
      <c r="L444" s="16"/>
      <c r="M444" s="16"/>
      <c r="N444" s="16"/>
      <c r="O444" s="16"/>
      <c r="P444" s="16"/>
      <c r="Q444" s="16"/>
      <c r="R444" s="16"/>
      <c r="S444" s="16"/>
      <c r="T444" s="16"/>
      <c r="U444" s="16"/>
      <c r="V444" s="16"/>
      <c r="W444" s="16"/>
      <c r="X444" s="16"/>
    </row>
    <row r="445">
      <c r="A445" s="17"/>
      <c r="B445" s="17"/>
      <c r="C445" s="17"/>
      <c r="D445" s="48"/>
      <c r="E445" s="48"/>
      <c r="F445" s="16"/>
      <c r="G445" s="16"/>
      <c r="H445" s="16"/>
      <c r="I445" s="16"/>
      <c r="J445" s="16"/>
      <c r="K445" s="16"/>
      <c r="L445" s="16"/>
      <c r="M445" s="16"/>
      <c r="N445" s="16"/>
      <c r="O445" s="16"/>
      <c r="P445" s="16"/>
      <c r="Q445" s="16"/>
      <c r="R445" s="16"/>
      <c r="S445" s="16"/>
      <c r="T445" s="16"/>
      <c r="U445" s="16"/>
      <c r="V445" s="16"/>
      <c r="W445" s="16"/>
      <c r="X445" s="16"/>
    </row>
    <row r="446">
      <c r="A446" s="17"/>
      <c r="B446" s="17"/>
      <c r="C446" s="17"/>
      <c r="D446" s="48"/>
      <c r="E446" s="48"/>
      <c r="F446" s="16"/>
      <c r="G446" s="16"/>
      <c r="H446" s="16"/>
      <c r="I446" s="16"/>
      <c r="J446" s="16"/>
      <c r="K446" s="16"/>
      <c r="L446" s="16"/>
      <c r="M446" s="16"/>
      <c r="N446" s="16"/>
      <c r="O446" s="16"/>
      <c r="P446" s="16"/>
      <c r="Q446" s="16"/>
      <c r="R446" s="16"/>
      <c r="S446" s="16"/>
      <c r="T446" s="16"/>
      <c r="U446" s="16"/>
      <c r="V446" s="16"/>
      <c r="W446" s="16"/>
      <c r="X446" s="16"/>
    </row>
    <row r="447">
      <c r="A447" s="17"/>
      <c r="B447" s="17"/>
      <c r="C447" s="17"/>
      <c r="D447" s="48"/>
      <c r="E447" s="48"/>
      <c r="F447" s="16"/>
      <c r="G447" s="16"/>
      <c r="H447" s="16"/>
      <c r="I447" s="16"/>
      <c r="J447" s="16"/>
      <c r="K447" s="16"/>
      <c r="L447" s="16"/>
      <c r="M447" s="16"/>
      <c r="N447" s="16"/>
      <c r="O447" s="16"/>
      <c r="P447" s="16"/>
      <c r="Q447" s="16"/>
      <c r="R447" s="16"/>
      <c r="S447" s="16"/>
      <c r="T447" s="16"/>
      <c r="U447" s="16"/>
      <c r="V447" s="16"/>
      <c r="W447" s="16"/>
      <c r="X447" s="16"/>
    </row>
    <row r="448">
      <c r="A448" s="17"/>
      <c r="B448" s="17"/>
      <c r="C448" s="17"/>
      <c r="D448" s="48"/>
      <c r="E448" s="48"/>
      <c r="F448" s="16"/>
      <c r="G448" s="16"/>
      <c r="H448" s="16"/>
      <c r="I448" s="16"/>
      <c r="J448" s="16"/>
      <c r="K448" s="16"/>
      <c r="L448" s="16"/>
      <c r="M448" s="16"/>
      <c r="N448" s="16"/>
      <c r="O448" s="16"/>
      <c r="P448" s="16"/>
      <c r="Q448" s="16"/>
      <c r="R448" s="16"/>
      <c r="S448" s="16"/>
      <c r="T448" s="16"/>
      <c r="U448" s="16"/>
      <c r="V448" s="16"/>
      <c r="W448" s="16"/>
      <c r="X448" s="16"/>
    </row>
    <row r="449">
      <c r="A449" s="17"/>
      <c r="B449" s="17"/>
      <c r="C449" s="17"/>
      <c r="D449" s="48"/>
      <c r="E449" s="48"/>
      <c r="F449" s="16"/>
      <c r="G449" s="16"/>
      <c r="H449" s="16"/>
      <c r="I449" s="16"/>
      <c r="J449" s="16"/>
      <c r="K449" s="16"/>
      <c r="L449" s="16"/>
      <c r="M449" s="16"/>
      <c r="N449" s="16"/>
      <c r="O449" s="16"/>
      <c r="P449" s="16"/>
      <c r="Q449" s="16"/>
      <c r="R449" s="16"/>
      <c r="S449" s="16"/>
      <c r="T449" s="16"/>
      <c r="U449" s="16"/>
      <c r="V449" s="16"/>
      <c r="W449" s="16"/>
      <c r="X449" s="16"/>
    </row>
    <row r="450">
      <c r="A450" s="17"/>
      <c r="B450" s="17"/>
      <c r="C450" s="17"/>
      <c r="D450" s="48"/>
      <c r="E450" s="48"/>
      <c r="F450" s="16"/>
      <c r="G450" s="16"/>
      <c r="H450" s="16"/>
      <c r="I450" s="16"/>
      <c r="J450" s="16"/>
      <c r="K450" s="16"/>
      <c r="L450" s="16"/>
      <c r="M450" s="16"/>
      <c r="N450" s="16"/>
      <c r="O450" s="16"/>
      <c r="P450" s="16"/>
      <c r="Q450" s="16"/>
      <c r="R450" s="16"/>
      <c r="S450" s="16"/>
      <c r="T450" s="16"/>
      <c r="U450" s="16"/>
      <c r="V450" s="16"/>
      <c r="W450" s="16"/>
      <c r="X450" s="16"/>
    </row>
    <row r="451">
      <c r="A451" s="17"/>
      <c r="B451" s="17"/>
      <c r="C451" s="17"/>
      <c r="D451" s="48"/>
      <c r="E451" s="48"/>
      <c r="F451" s="16"/>
      <c r="G451" s="16"/>
      <c r="H451" s="16"/>
      <c r="I451" s="16"/>
      <c r="J451" s="16"/>
      <c r="K451" s="16"/>
      <c r="L451" s="16"/>
      <c r="M451" s="16"/>
      <c r="N451" s="16"/>
      <c r="O451" s="16"/>
      <c r="P451" s="16"/>
      <c r="Q451" s="16"/>
      <c r="R451" s="16"/>
      <c r="S451" s="16"/>
      <c r="T451" s="16"/>
      <c r="U451" s="16"/>
      <c r="V451" s="16"/>
      <c r="W451" s="16"/>
      <c r="X451" s="16"/>
    </row>
    <row r="452">
      <c r="A452" s="17"/>
      <c r="B452" s="17"/>
      <c r="C452" s="17"/>
      <c r="D452" s="48"/>
      <c r="E452" s="48"/>
      <c r="F452" s="16"/>
      <c r="G452" s="16"/>
      <c r="H452" s="16"/>
      <c r="I452" s="16"/>
      <c r="J452" s="16"/>
      <c r="K452" s="16"/>
      <c r="L452" s="16"/>
      <c r="M452" s="16"/>
      <c r="N452" s="16"/>
      <c r="O452" s="16"/>
      <c r="P452" s="16"/>
      <c r="Q452" s="16"/>
      <c r="R452" s="16"/>
      <c r="S452" s="16"/>
      <c r="T452" s="16"/>
      <c r="U452" s="16"/>
      <c r="V452" s="16"/>
      <c r="W452" s="16"/>
      <c r="X452" s="16"/>
    </row>
    <row r="453">
      <c r="A453" s="17"/>
      <c r="B453" s="17"/>
      <c r="C453" s="17"/>
      <c r="D453" s="48"/>
      <c r="E453" s="48"/>
      <c r="F453" s="16"/>
      <c r="G453" s="16"/>
      <c r="H453" s="16"/>
      <c r="I453" s="16"/>
      <c r="J453" s="16"/>
      <c r="K453" s="16"/>
      <c r="L453" s="16"/>
      <c r="M453" s="16"/>
      <c r="N453" s="16"/>
      <c r="O453" s="16"/>
      <c r="P453" s="16"/>
      <c r="Q453" s="16"/>
      <c r="R453" s="16"/>
      <c r="S453" s="16"/>
      <c r="T453" s="16"/>
      <c r="U453" s="16"/>
      <c r="V453" s="16"/>
      <c r="W453" s="16"/>
      <c r="X453" s="16"/>
    </row>
    <row r="454">
      <c r="A454" s="17"/>
      <c r="B454" s="17"/>
      <c r="C454" s="17"/>
      <c r="D454" s="48"/>
      <c r="E454" s="48"/>
      <c r="F454" s="16"/>
      <c r="G454" s="16"/>
      <c r="H454" s="16"/>
      <c r="I454" s="16"/>
      <c r="J454" s="16"/>
      <c r="K454" s="16"/>
      <c r="L454" s="16"/>
      <c r="M454" s="16"/>
      <c r="N454" s="16"/>
      <c r="O454" s="16"/>
      <c r="P454" s="16"/>
      <c r="Q454" s="16"/>
      <c r="R454" s="16"/>
      <c r="S454" s="16"/>
      <c r="T454" s="16"/>
      <c r="U454" s="16"/>
      <c r="V454" s="16"/>
      <c r="W454" s="16"/>
      <c r="X454" s="16"/>
    </row>
    <row r="455">
      <c r="A455" s="17"/>
      <c r="B455" s="17"/>
      <c r="C455" s="17"/>
      <c r="D455" s="48"/>
      <c r="E455" s="48"/>
      <c r="F455" s="16"/>
      <c r="G455" s="16"/>
      <c r="H455" s="16"/>
      <c r="I455" s="16"/>
      <c r="J455" s="16"/>
      <c r="K455" s="16"/>
      <c r="L455" s="16"/>
      <c r="M455" s="16"/>
      <c r="N455" s="16"/>
      <c r="O455" s="16"/>
      <c r="P455" s="16"/>
      <c r="Q455" s="16"/>
      <c r="R455" s="16"/>
      <c r="S455" s="16"/>
      <c r="T455" s="16"/>
      <c r="U455" s="16"/>
      <c r="V455" s="16"/>
      <c r="W455" s="16"/>
      <c r="X455" s="16"/>
    </row>
    <row r="456">
      <c r="A456" s="17"/>
      <c r="B456" s="17"/>
      <c r="C456" s="17"/>
      <c r="D456" s="48"/>
      <c r="E456" s="48"/>
      <c r="F456" s="16"/>
      <c r="G456" s="16"/>
      <c r="H456" s="16"/>
      <c r="I456" s="16"/>
      <c r="J456" s="16"/>
      <c r="K456" s="16"/>
      <c r="L456" s="16"/>
      <c r="M456" s="16"/>
      <c r="N456" s="16"/>
      <c r="O456" s="16"/>
      <c r="P456" s="16"/>
      <c r="Q456" s="16"/>
      <c r="R456" s="16"/>
      <c r="S456" s="16"/>
      <c r="T456" s="16"/>
      <c r="U456" s="16"/>
      <c r="V456" s="16"/>
      <c r="W456" s="16"/>
      <c r="X456" s="16"/>
    </row>
    <row r="457">
      <c r="A457" s="17"/>
      <c r="B457" s="17"/>
      <c r="C457" s="17"/>
      <c r="D457" s="48"/>
      <c r="E457" s="48"/>
      <c r="F457" s="16"/>
      <c r="G457" s="16"/>
      <c r="H457" s="16"/>
      <c r="I457" s="16"/>
      <c r="J457" s="16"/>
      <c r="K457" s="16"/>
      <c r="L457" s="16"/>
      <c r="M457" s="16"/>
      <c r="N457" s="16"/>
      <c r="O457" s="16"/>
      <c r="P457" s="16"/>
      <c r="Q457" s="16"/>
      <c r="R457" s="16"/>
      <c r="S457" s="16"/>
      <c r="T457" s="16"/>
      <c r="U457" s="16"/>
      <c r="V457" s="16"/>
      <c r="W457" s="16"/>
      <c r="X457" s="16"/>
    </row>
    <row r="458">
      <c r="A458" s="17"/>
      <c r="B458" s="17"/>
      <c r="C458" s="17"/>
      <c r="D458" s="48"/>
      <c r="E458" s="48"/>
      <c r="F458" s="16"/>
      <c r="G458" s="16"/>
      <c r="H458" s="16"/>
      <c r="I458" s="16"/>
      <c r="J458" s="16"/>
      <c r="K458" s="16"/>
      <c r="L458" s="16"/>
      <c r="M458" s="16"/>
      <c r="N458" s="16"/>
      <c r="O458" s="16"/>
      <c r="P458" s="16"/>
      <c r="Q458" s="16"/>
      <c r="R458" s="16"/>
      <c r="S458" s="16"/>
      <c r="T458" s="16"/>
      <c r="U458" s="16"/>
      <c r="V458" s="16"/>
      <c r="W458" s="16"/>
      <c r="X458" s="16"/>
    </row>
    <row r="459">
      <c r="A459" s="17"/>
      <c r="B459" s="17"/>
      <c r="C459" s="17"/>
      <c r="D459" s="48"/>
      <c r="E459" s="48"/>
      <c r="F459" s="16"/>
      <c r="G459" s="16"/>
      <c r="H459" s="16"/>
      <c r="I459" s="16"/>
      <c r="J459" s="16"/>
      <c r="K459" s="16"/>
      <c r="L459" s="16"/>
      <c r="M459" s="16"/>
      <c r="N459" s="16"/>
      <c r="O459" s="16"/>
      <c r="P459" s="16"/>
      <c r="Q459" s="16"/>
      <c r="R459" s="16"/>
      <c r="S459" s="16"/>
      <c r="T459" s="16"/>
      <c r="U459" s="16"/>
      <c r="V459" s="16"/>
      <c r="W459" s="16"/>
      <c r="X459" s="16"/>
    </row>
    <row r="460">
      <c r="A460" s="17"/>
      <c r="B460" s="17"/>
      <c r="C460" s="17"/>
      <c r="D460" s="48"/>
      <c r="E460" s="48"/>
      <c r="F460" s="16"/>
      <c r="G460" s="16"/>
      <c r="H460" s="16"/>
      <c r="I460" s="16"/>
      <c r="J460" s="16"/>
      <c r="K460" s="16"/>
      <c r="L460" s="16"/>
      <c r="M460" s="16"/>
      <c r="N460" s="16"/>
      <c r="O460" s="16"/>
      <c r="P460" s="16"/>
      <c r="Q460" s="16"/>
      <c r="R460" s="16"/>
      <c r="S460" s="16"/>
      <c r="T460" s="16"/>
      <c r="U460" s="16"/>
      <c r="V460" s="16"/>
      <c r="W460" s="16"/>
      <c r="X460" s="16"/>
    </row>
    <row r="461">
      <c r="A461" s="17"/>
      <c r="B461" s="17"/>
      <c r="C461" s="17"/>
      <c r="D461" s="48"/>
      <c r="E461" s="48"/>
      <c r="F461" s="16"/>
      <c r="G461" s="16"/>
      <c r="H461" s="16"/>
      <c r="I461" s="16"/>
      <c r="J461" s="16"/>
      <c r="K461" s="16"/>
      <c r="L461" s="16"/>
      <c r="M461" s="16"/>
      <c r="N461" s="16"/>
      <c r="O461" s="16"/>
      <c r="P461" s="16"/>
      <c r="Q461" s="16"/>
      <c r="R461" s="16"/>
      <c r="S461" s="16"/>
      <c r="T461" s="16"/>
      <c r="U461" s="16"/>
      <c r="V461" s="16"/>
      <c r="W461" s="16"/>
      <c r="X461" s="16"/>
    </row>
    <row r="462">
      <c r="A462" s="17"/>
      <c r="B462" s="17"/>
      <c r="C462" s="17"/>
      <c r="D462" s="48"/>
      <c r="E462" s="48"/>
      <c r="F462" s="16"/>
      <c r="G462" s="16"/>
      <c r="H462" s="16"/>
      <c r="I462" s="16"/>
      <c r="J462" s="16"/>
      <c r="K462" s="16"/>
      <c r="L462" s="16"/>
      <c r="M462" s="16"/>
      <c r="N462" s="16"/>
      <c r="O462" s="16"/>
      <c r="P462" s="16"/>
      <c r="Q462" s="16"/>
      <c r="R462" s="16"/>
      <c r="S462" s="16"/>
      <c r="T462" s="16"/>
      <c r="U462" s="16"/>
      <c r="V462" s="16"/>
      <c r="W462" s="16"/>
      <c r="X462" s="16"/>
    </row>
    <row r="463">
      <c r="A463" s="17"/>
      <c r="B463" s="17"/>
      <c r="C463" s="17"/>
      <c r="D463" s="48"/>
      <c r="E463" s="48"/>
      <c r="F463" s="16"/>
      <c r="G463" s="16"/>
      <c r="H463" s="16"/>
      <c r="I463" s="16"/>
      <c r="J463" s="16"/>
      <c r="K463" s="16"/>
      <c r="L463" s="16"/>
      <c r="M463" s="16"/>
      <c r="N463" s="16"/>
      <c r="O463" s="16"/>
      <c r="P463" s="16"/>
      <c r="Q463" s="16"/>
      <c r="R463" s="16"/>
      <c r="S463" s="16"/>
      <c r="T463" s="16"/>
      <c r="U463" s="16"/>
      <c r="V463" s="16"/>
      <c r="W463" s="16"/>
      <c r="X463" s="16"/>
    </row>
    <row r="464">
      <c r="A464" s="17"/>
      <c r="B464" s="17"/>
      <c r="C464" s="17"/>
      <c r="D464" s="48"/>
      <c r="E464" s="48"/>
      <c r="F464" s="16"/>
      <c r="G464" s="16"/>
      <c r="H464" s="16"/>
      <c r="I464" s="16"/>
      <c r="J464" s="16"/>
      <c r="K464" s="16"/>
      <c r="L464" s="16"/>
      <c r="M464" s="16"/>
      <c r="N464" s="16"/>
      <c r="O464" s="16"/>
      <c r="P464" s="16"/>
      <c r="Q464" s="16"/>
      <c r="R464" s="16"/>
      <c r="S464" s="16"/>
      <c r="T464" s="16"/>
      <c r="U464" s="16"/>
      <c r="V464" s="16"/>
      <c r="W464" s="16"/>
      <c r="X464" s="16"/>
    </row>
    <row r="465">
      <c r="A465" s="17"/>
      <c r="B465" s="17"/>
      <c r="C465" s="17"/>
      <c r="D465" s="48"/>
      <c r="E465" s="48"/>
      <c r="F465" s="16"/>
      <c r="G465" s="16"/>
      <c r="H465" s="16"/>
      <c r="I465" s="16"/>
      <c r="J465" s="16"/>
      <c r="K465" s="16"/>
      <c r="L465" s="16"/>
      <c r="M465" s="16"/>
      <c r="N465" s="16"/>
      <c r="O465" s="16"/>
      <c r="P465" s="16"/>
      <c r="Q465" s="16"/>
      <c r="R465" s="16"/>
      <c r="S465" s="16"/>
      <c r="T465" s="16"/>
      <c r="U465" s="16"/>
      <c r="V465" s="16"/>
      <c r="W465" s="16"/>
      <c r="X465" s="16"/>
    </row>
    <row r="466">
      <c r="A466" s="17"/>
      <c r="B466" s="17"/>
      <c r="C466" s="17"/>
      <c r="D466" s="48"/>
      <c r="E466" s="48"/>
      <c r="F466" s="16"/>
      <c r="G466" s="16"/>
      <c r="H466" s="16"/>
      <c r="I466" s="16"/>
      <c r="J466" s="16"/>
      <c r="K466" s="16"/>
      <c r="L466" s="16"/>
      <c r="M466" s="16"/>
      <c r="N466" s="16"/>
      <c r="O466" s="16"/>
      <c r="P466" s="16"/>
      <c r="Q466" s="16"/>
      <c r="R466" s="16"/>
      <c r="S466" s="16"/>
      <c r="T466" s="16"/>
      <c r="U466" s="16"/>
      <c r="V466" s="16"/>
      <c r="W466" s="16"/>
      <c r="X466" s="16"/>
    </row>
    <row r="467">
      <c r="A467" s="17"/>
      <c r="B467" s="17"/>
      <c r="C467" s="17"/>
      <c r="D467" s="48"/>
      <c r="E467" s="48"/>
      <c r="F467" s="16"/>
      <c r="G467" s="16"/>
      <c r="H467" s="16"/>
      <c r="I467" s="16"/>
      <c r="J467" s="16"/>
      <c r="K467" s="16"/>
      <c r="L467" s="16"/>
      <c r="M467" s="16"/>
      <c r="N467" s="16"/>
      <c r="O467" s="16"/>
      <c r="P467" s="16"/>
      <c r="Q467" s="16"/>
      <c r="R467" s="16"/>
      <c r="S467" s="16"/>
      <c r="T467" s="16"/>
      <c r="U467" s="16"/>
      <c r="V467" s="16"/>
      <c r="W467" s="16"/>
      <c r="X467" s="16"/>
    </row>
    <row r="468">
      <c r="A468" s="17"/>
      <c r="B468" s="17"/>
      <c r="C468" s="17"/>
      <c r="D468" s="48"/>
      <c r="E468" s="48"/>
      <c r="F468" s="16"/>
      <c r="G468" s="16"/>
      <c r="H468" s="16"/>
      <c r="I468" s="16"/>
      <c r="J468" s="16"/>
      <c r="K468" s="16"/>
      <c r="L468" s="16"/>
      <c r="M468" s="16"/>
      <c r="N468" s="16"/>
      <c r="O468" s="16"/>
      <c r="P468" s="16"/>
      <c r="Q468" s="16"/>
      <c r="R468" s="16"/>
      <c r="S468" s="16"/>
      <c r="T468" s="16"/>
      <c r="U468" s="16"/>
      <c r="V468" s="16"/>
      <c r="W468" s="16"/>
      <c r="X468" s="16"/>
    </row>
    <row r="469">
      <c r="A469" s="17"/>
      <c r="B469" s="17"/>
      <c r="C469" s="17"/>
      <c r="D469" s="48"/>
      <c r="E469" s="48"/>
      <c r="F469" s="16"/>
      <c r="G469" s="16"/>
      <c r="H469" s="16"/>
      <c r="I469" s="16"/>
      <c r="J469" s="16"/>
      <c r="K469" s="16"/>
      <c r="L469" s="16"/>
      <c r="M469" s="16"/>
      <c r="N469" s="16"/>
      <c r="O469" s="16"/>
      <c r="P469" s="16"/>
      <c r="Q469" s="16"/>
      <c r="R469" s="16"/>
      <c r="S469" s="16"/>
      <c r="T469" s="16"/>
      <c r="U469" s="16"/>
      <c r="V469" s="16"/>
      <c r="W469" s="16"/>
      <c r="X469" s="16"/>
    </row>
    <row r="470">
      <c r="A470" s="17"/>
      <c r="B470" s="17"/>
      <c r="C470" s="17"/>
      <c r="D470" s="48"/>
      <c r="E470" s="48"/>
      <c r="F470" s="16"/>
      <c r="G470" s="16"/>
      <c r="H470" s="16"/>
      <c r="I470" s="16"/>
      <c r="J470" s="16"/>
      <c r="K470" s="16"/>
      <c r="L470" s="16"/>
      <c r="M470" s="16"/>
      <c r="N470" s="16"/>
      <c r="O470" s="16"/>
      <c r="P470" s="16"/>
      <c r="Q470" s="16"/>
      <c r="R470" s="16"/>
      <c r="S470" s="16"/>
      <c r="T470" s="16"/>
      <c r="U470" s="16"/>
      <c r="V470" s="16"/>
      <c r="W470" s="16"/>
      <c r="X470" s="16"/>
    </row>
    <row r="471">
      <c r="A471" s="17"/>
      <c r="B471" s="17"/>
      <c r="C471" s="17"/>
      <c r="D471" s="48"/>
      <c r="E471" s="48"/>
      <c r="F471" s="16"/>
      <c r="G471" s="16"/>
      <c r="H471" s="16"/>
      <c r="I471" s="16"/>
      <c r="J471" s="16"/>
      <c r="K471" s="16"/>
      <c r="L471" s="16"/>
      <c r="M471" s="16"/>
      <c r="N471" s="16"/>
      <c r="O471" s="16"/>
      <c r="P471" s="16"/>
      <c r="Q471" s="16"/>
      <c r="R471" s="16"/>
      <c r="S471" s="16"/>
      <c r="T471" s="16"/>
      <c r="U471" s="16"/>
      <c r="V471" s="16"/>
      <c r="W471" s="16"/>
      <c r="X471" s="16"/>
    </row>
    <row r="472">
      <c r="A472" s="17"/>
      <c r="B472" s="17"/>
      <c r="C472" s="17"/>
      <c r="D472" s="48"/>
      <c r="E472" s="48"/>
      <c r="F472" s="16"/>
      <c r="G472" s="16"/>
      <c r="H472" s="16"/>
      <c r="I472" s="16"/>
      <c r="J472" s="16"/>
      <c r="K472" s="16"/>
      <c r="L472" s="16"/>
      <c r="M472" s="16"/>
      <c r="N472" s="16"/>
      <c r="O472" s="16"/>
      <c r="P472" s="16"/>
      <c r="Q472" s="16"/>
      <c r="R472" s="16"/>
      <c r="S472" s="16"/>
      <c r="T472" s="16"/>
      <c r="U472" s="16"/>
      <c r="V472" s="16"/>
      <c r="W472" s="16"/>
      <c r="X472" s="16"/>
    </row>
    <row r="473">
      <c r="A473" s="17"/>
      <c r="B473" s="17"/>
      <c r="C473" s="17"/>
      <c r="D473" s="48"/>
      <c r="E473" s="48"/>
      <c r="F473" s="16"/>
      <c r="G473" s="16"/>
      <c r="H473" s="16"/>
      <c r="I473" s="16"/>
      <c r="J473" s="16"/>
      <c r="K473" s="16"/>
      <c r="L473" s="16"/>
      <c r="M473" s="16"/>
      <c r="N473" s="16"/>
      <c r="O473" s="16"/>
      <c r="P473" s="16"/>
      <c r="Q473" s="16"/>
      <c r="R473" s="16"/>
      <c r="S473" s="16"/>
      <c r="T473" s="16"/>
      <c r="U473" s="16"/>
      <c r="V473" s="16"/>
      <c r="W473" s="16"/>
      <c r="X473" s="16"/>
    </row>
    <row r="474">
      <c r="A474" s="17"/>
      <c r="B474" s="17"/>
      <c r="C474" s="17"/>
      <c r="D474" s="48"/>
      <c r="E474" s="48"/>
      <c r="F474" s="16"/>
      <c r="G474" s="16"/>
      <c r="H474" s="16"/>
      <c r="I474" s="16"/>
      <c r="J474" s="16"/>
      <c r="K474" s="16"/>
      <c r="L474" s="16"/>
      <c r="M474" s="16"/>
      <c r="N474" s="16"/>
      <c r="O474" s="16"/>
      <c r="P474" s="16"/>
      <c r="Q474" s="16"/>
      <c r="R474" s="16"/>
      <c r="S474" s="16"/>
      <c r="T474" s="16"/>
      <c r="U474" s="16"/>
      <c r="V474" s="16"/>
      <c r="W474" s="16"/>
      <c r="X474" s="16"/>
    </row>
    <row r="475">
      <c r="A475" s="17"/>
      <c r="B475" s="17"/>
      <c r="C475" s="17"/>
      <c r="D475" s="48"/>
      <c r="E475" s="48"/>
      <c r="F475" s="16"/>
      <c r="G475" s="16"/>
      <c r="H475" s="16"/>
      <c r="I475" s="16"/>
      <c r="J475" s="16"/>
      <c r="K475" s="16"/>
      <c r="L475" s="16"/>
      <c r="M475" s="16"/>
      <c r="N475" s="16"/>
      <c r="O475" s="16"/>
      <c r="P475" s="16"/>
      <c r="Q475" s="16"/>
      <c r="R475" s="16"/>
      <c r="S475" s="16"/>
      <c r="T475" s="16"/>
      <c r="U475" s="16"/>
      <c r="V475" s="16"/>
      <c r="W475" s="16"/>
      <c r="X475" s="16"/>
    </row>
    <row r="476">
      <c r="A476" s="17"/>
      <c r="B476" s="17"/>
      <c r="C476" s="17"/>
      <c r="D476" s="48"/>
      <c r="E476" s="48"/>
      <c r="F476" s="16"/>
      <c r="G476" s="16"/>
      <c r="H476" s="16"/>
      <c r="I476" s="16"/>
      <c r="J476" s="16"/>
      <c r="K476" s="16"/>
      <c r="L476" s="16"/>
      <c r="M476" s="16"/>
      <c r="N476" s="16"/>
      <c r="O476" s="16"/>
      <c r="P476" s="16"/>
      <c r="Q476" s="16"/>
      <c r="R476" s="16"/>
      <c r="S476" s="16"/>
      <c r="T476" s="16"/>
      <c r="U476" s="16"/>
      <c r="V476" s="16"/>
      <c r="W476" s="16"/>
      <c r="X476" s="16"/>
    </row>
    <row r="477">
      <c r="A477" s="17"/>
      <c r="B477" s="17"/>
      <c r="C477" s="17"/>
      <c r="D477" s="48"/>
      <c r="E477" s="48"/>
      <c r="F477" s="16"/>
      <c r="G477" s="16"/>
      <c r="H477" s="16"/>
      <c r="I477" s="16"/>
      <c r="J477" s="16"/>
      <c r="K477" s="16"/>
      <c r="L477" s="16"/>
      <c r="M477" s="16"/>
      <c r="N477" s="16"/>
      <c r="O477" s="16"/>
      <c r="P477" s="16"/>
      <c r="Q477" s="16"/>
      <c r="R477" s="16"/>
      <c r="S477" s="16"/>
      <c r="T477" s="16"/>
      <c r="U477" s="16"/>
      <c r="V477" s="16"/>
      <c r="W477" s="16"/>
      <c r="X477" s="16"/>
    </row>
    <row r="478">
      <c r="A478" s="17"/>
      <c r="B478" s="17"/>
      <c r="C478" s="17"/>
      <c r="D478" s="48"/>
      <c r="E478" s="48"/>
      <c r="F478" s="16"/>
      <c r="G478" s="16"/>
      <c r="H478" s="16"/>
      <c r="I478" s="16"/>
      <c r="J478" s="16"/>
      <c r="K478" s="16"/>
      <c r="L478" s="16"/>
      <c r="M478" s="16"/>
      <c r="N478" s="16"/>
      <c r="O478" s="16"/>
      <c r="P478" s="16"/>
      <c r="Q478" s="16"/>
      <c r="R478" s="16"/>
      <c r="S478" s="16"/>
      <c r="T478" s="16"/>
      <c r="U478" s="16"/>
      <c r="V478" s="16"/>
      <c r="W478" s="16"/>
      <c r="X478" s="16"/>
    </row>
    <row r="479">
      <c r="A479" s="17"/>
      <c r="B479" s="17"/>
      <c r="C479" s="17"/>
      <c r="D479" s="48"/>
      <c r="E479" s="48"/>
      <c r="F479" s="16"/>
      <c r="G479" s="16"/>
      <c r="H479" s="16"/>
      <c r="I479" s="16"/>
      <c r="J479" s="16"/>
      <c r="K479" s="16"/>
      <c r="L479" s="16"/>
      <c r="M479" s="16"/>
      <c r="N479" s="16"/>
      <c r="O479" s="16"/>
      <c r="P479" s="16"/>
      <c r="Q479" s="16"/>
      <c r="R479" s="16"/>
      <c r="S479" s="16"/>
      <c r="T479" s="16"/>
      <c r="U479" s="16"/>
      <c r="V479" s="16"/>
      <c r="W479" s="16"/>
      <c r="X479" s="16"/>
    </row>
    <row r="480">
      <c r="A480" s="17"/>
      <c r="B480" s="17"/>
      <c r="C480" s="17"/>
      <c r="D480" s="48"/>
      <c r="E480" s="48"/>
      <c r="F480" s="16"/>
      <c r="G480" s="16"/>
      <c r="H480" s="16"/>
      <c r="I480" s="16"/>
      <c r="J480" s="16"/>
      <c r="K480" s="16"/>
      <c r="L480" s="16"/>
      <c r="M480" s="16"/>
      <c r="N480" s="16"/>
      <c r="O480" s="16"/>
      <c r="P480" s="16"/>
      <c r="Q480" s="16"/>
      <c r="R480" s="16"/>
      <c r="S480" s="16"/>
      <c r="T480" s="16"/>
      <c r="U480" s="16"/>
      <c r="V480" s="16"/>
      <c r="W480" s="16"/>
      <c r="X480" s="16"/>
    </row>
    <row r="481">
      <c r="A481" s="17"/>
      <c r="B481" s="17"/>
      <c r="C481" s="17"/>
      <c r="D481" s="48"/>
      <c r="E481" s="48"/>
      <c r="F481" s="16"/>
      <c r="G481" s="16"/>
      <c r="H481" s="16"/>
      <c r="I481" s="16"/>
      <c r="J481" s="16"/>
      <c r="K481" s="16"/>
      <c r="L481" s="16"/>
      <c r="M481" s="16"/>
      <c r="N481" s="16"/>
      <c r="O481" s="16"/>
      <c r="P481" s="16"/>
      <c r="Q481" s="16"/>
      <c r="R481" s="16"/>
      <c r="S481" s="16"/>
      <c r="T481" s="16"/>
      <c r="U481" s="16"/>
      <c r="V481" s="16"/>
      <c r="W481" s="16"/>
      <c r="X481" s="16"/>
    </row>
    <row r="482">
      <c r="A482" s="17"/>
      <c r="B482" s="17"/>
      <c r="C482" s="17"/>
      <c r="D482" s="48"/>
      <c r="E482" s="48"/>
      <c r="F482" s="16"/>
      <c r="G482" s="16"/>
      <c r="H482" s="16"/>
      <c r="I482" s="16"/>
      <c r="J482" s="16"/>
      <c r="K482" s="16"/>
      <c r="L482" s="16"/>
      <c r="M482" s="16"/>
      <c r="N482" s="16"/>
      <c r="O482" s="16"/>
      <c r="P482" s="16"/>
      <c r="Q482" s="16"/>
      <c r="R482" s="16"/>
      <c r="S482" s="16"/>
      <c r="T482" s="16"/>
      <c r="U482" s="16"/>
      <c r="V482" s="16"/>
      <c r="W482" s="16"/>
      <c r="X482" s="16"/>
    </row>
    <row r="483">
      <c r="A483" s="17"/>
      <c r="B483" s="17"/>
      <c r="C483" s="17"/>
      <c r="D483" s="48"/>
      <c r="E483" s="48"/>
      <c r="F483" s="16"/>
      <c r="G483" s="16"/>
      <c r="H483" s="16"/>
      <c r="I483" s="16"/>
      <c r="J483" s="16"/>
      <c r="K483" s="16"/>
      <c r="L483" s="16"/>
      <c r="M483" s="16"/>
      <c r="N483" s="16"/>
      <c r="O483" s="16"/>
      <c r="P483" s="16"/>
      <c r="Q483" s="16"/>
      <c r="R483" s="16"/>
      <c r="S483" s="16"/>
      <c r="T483" s="16"/>
      <c r="U483" s="16"/>
      <c r="V483" s="16"/>
      <c r="W483" s="16"/>
      <c r="X483" s="16"/>
    </row>
    <row r="484">
      <c r="A484" s="17"/>
      <c r="B484" s="17"/>
      <c r="C484" s="17"/>
      <c r="D484" s="48"/>
      <c r="E484" s="48"/>
      <c r="F484" s="16"/>
      <c r="G484" s="16"/>
      <c r="H484" s="16"/>
      <c r="I484" s="16"/>
      <c r="J484" s="16"/>
      <c r="K484" s="16"/>
      <c r="L484" s="16"/>
      <c r="M484" s="16"/>
      <c r="N484" s="16"/>
      <c r="O484" s="16"/>
      <c r="P484" s="16"/>
      <c r="Q484" s="16"/>
      <c r="R484" s="16"/>
      <c r="S484" s="16"/>
      <c r="T484" s="16"/>
      <c r="U484" s="16"/>
      <c r="V484" s="16"/>
      <c r="W484" s="16"/>
      <c r="X484" s="16"/>
    </row>
    <row r="485">
      <c r="A485" s="17"/>
      <c r="B485" s="17"/>
      <c r="C485" s="17"/>
      <c r="D485" s="48"/>
      <c r="E485" s="48"/>
      <c r="F485" s="16"/>
      <c r="G485" s="16"/>
      <c r="H485" s="16"/>
      <c r="I485" s="16"/>
      <c r="J485" s="16"/>
      <c r="K485" s="16"/>
      <c r="L485" s="16"/>
      <c r="M485" s="16"/>
      <c r="N485" s="16"/>
      <c r="O485" s="16"/>
      <c r="P485" s="16"/>
      <c r="Q485" s="16"/>
      <c r="R485" s="16"/>
      <c r="S485" s="16"/>
      <c r="T485" s="16"/>
      <c r="U485" s="16"/>
      <c r="V485" s="16"/>
      <c r="W485" s="16"/>
      <c r="X485" s="16"/>
    </row>
    <row r="486">
      <c r="A486" s="17"/>
      <c r="B486" s="17"/>
      <c r="C486" s="17"/>
      <c r="D486" s="48"/>
      <c r="E486" s="48"/>
      <c r="F486" s="16"/>
      <c r="G486" s="16"/>
      <c r="H486" s="16"/>
      <c r="I486" s="16"/>
      <c r="J486" s="16"/>
      <c r="K486" s="16"/>
      <c r="L486" s="16"/>
      <c r="M486" s="16"/>
      <c r="N486" s="16"/>
      <c r="O486" s="16"/>
      <c r="P486" s="16"/>
      <c r="Q486" s="16"/>
      <c r="R486" s="16"/>
      <c r="S486" s="16"/>
      <c r="T486" s="16"/>
      <c r="U486" s="16"/>
      <c r="V486" s="16"/>
      <c r="W486" s="16"/>
      <c r="X486" s="16"/>
    </row>
    <row r="487">
      <c r="A487" s="17"/>
      <c r="B487" s="17"/>
      <c r="C487" s="17"/>
      <c r="D487" s="48"/>
      <c r="E487" s="48"/>
      <c r="F487" s="16"/>
      <c r="G487" s="16"/>
      <c r="H487" s="16"/>
      <c r="I487" s="16"/>
      <c r="J487" s="16"/>
      <c r="K487" s="16"/>
      <c r="L487" s="16"/>
      <c r="M487" s="16"/>
      <c r="N487" s="16"/>
      <c r="O487" s="16"/>
      <c r="P487" s="16"/>
      <c r="Q487" s="16"/>
      <c r="R487" s="16"/>
      <c r="S487" s="16"/>
      <c r="T487" s="16"/>
      <c r="U487" s="16"/>
      <c r="V487" s="16"/>
      <c r="W487" s="16"/>
      <c r="X487" s="16"/>
    </row>
    <row r="488">
      <c r="A488" s="17"/>
      <c r="B488" s="17"/>
      <c r="C488" s="17"/>
      <c r="D488" s="48"/>
      <c r="E488" s="48"/>
      <c r="F488" s="16"/>
      <c r="G488" s="16"/>
      <c r="H488" s="16"/>
      <c r="I488" s="16"/>
      <c r="J488" s="16"/>
      <c r="K488" s="16"/>
      <c r="L488" s="16"/>
      <c r="M488" s="16"/>
      <c r="N488" s="16"/>
      <c r="O488" s="16"/>
      <c r="P488" s="16"/>
      <c r="Q488" s="16"/>
      <c r="R488" s="16"/>
      <c r="S488" s="16"/>
      <c r="T488" s="16"/>
      <c r="U488" s="16"/>
      <c r="V488" s="16"/>
      <c r="W488" s="16"/>
      <c r="X488" s="16"/>
    </row>
    <row r="489">
      <c r="A489" s="17"/>
      <c r="B489" s="17"/>
      <c r="C489" s="17"/>
      <c r="D489" s="48"/>
      <c r="E489" s="48"/>
      <c r="F489" s="16"/>
      <c r="G489" s="16"/>
      <c r="H489" s="16"/>
      <c r="I489" s="16"/>
      <c r="J489" s="16"/>
      <c r="K489" s="16"/>
      <c r="L489" s="16"/>
      <c r="M489" s="16"/>
      <c r="N489" s="16"/>
      <c r="O489" s="16"/>
      <c r="P489" s="16"/>
      <c r="Q489" s="16"/>
      <c r="R489" s="16"/>
      <c r="S489" s="16"/>
      <c r="T489" s="16"/>
      <c r="U489" s="16"/>
      <c r="V489" s="16"/>
      <c r="W489" s="16"/>
      <c r="X489" s="16"/>
    </row>
    <row r="490">
      <c r="A490" s="17"/>
      <c r="B490" s="17"/>
      <c r="C490" s="17"/>
      <c r="D490" s="48"/>
      <c r="E490" s="48"/>
      <c r="F490" s="16"/>
      <c r="G490" s="16"/>
      <c r="H490" s="16"/>
      <c r="I490" s="16"/>
      <c r="J490" s="16"/>
      <c r="K490" s="16"/>
      <c r="L490" s="16"/>
      <c r="M490" s="16"/>
      <c r="N490" s="16"/>
      <c r="O490" s="16"/>
      <c r="P490" s="16"/>
      <c r="Q490" s="16"/>
      <c r="R490" s="16"/>
      <c r="S490" s="16"/>
      <c r="T490" s="16"/>
      <c r="U490" s="16"/>
      <c r="V490" s="16"/>
      <c r="W490" s="16"/>
      <c r="X490" s="16"/>
    </row>
    <row r="491">
      <c r="A491" s="17"/>
      <c r="B491" s="17"/>
      <c r="C491" s="17"/>
      <c r="D491" s="48"/>
      <c r="E491" s="48"/>
      <c r="F491" s="16"/>
      <c r="G491" s="16"/>
      <c r="H491" s="16"/>
      <c r="I491" s="16"/>
      <c r="J491" s="16"/>
      <c r="K491" s="16"/>
      <c r="L491" s="16"/>
      <c r="M491" s="16"/>
      <c r="N491" s="16"/>
      <c r="O491" s="16"/>
      <c r="P491" s="16"/>
      <c r="Q491" s="16"/>
      <c r="R491" s="16"/>
      <c r="S491" s="16"/>
      <c r="T491" s="16"/>
      <c r="U491" s="16"/>
      <c r="V491" s="16"/>
      <c r="W491" s="16"/>
      <c r="X491" s="16"/>
    </row>
    <row r="492">
      <c r="A492" s="17"/>
      <c r="B492" s="17"/>
      <c r="C492" s="17"/>
      <c r="D492" s="48"/>
      <c r="E492" s="48"/>
      <c r="F492" s="16"/>
      <c r="G492" s="16"/>
      <c r="H492" s="16"/>
      <c r="I492" s="16"/>
      <c r="J492" s="16"/>
      <c r="K492" s="16"/>
      <c r="L492" s="16"/>
      <c r="M492" s="16"/>
      <c r="N492" s="16"/>
      <c r="O492" s="16"/>
      <c r="P492" s="16"/>
      <c r="Q492" s="16"/>
      <c r="R492" s="16"/>
      <c r="S492" s="16"/>
      <c r="T492" s="16"/>
      <c r="U492" s="16"/>
      <c r="V492" s="16"/>
      <c r="W492" s="16"/>
      <c r="X492" s="16"/>
    </row>
    <row r="493">
      <c r="A493" s="17"/>
      <c r="B493" s="17"/>
      <c r="C493" s="17"/>
      <c r="D493" s="48"/>
      <c r="E493" s="48"/>
      <c r="F493" s="16"/>
      <c r="G493" s="16"/>
      <c r="H493" s="16"/>
      <c r="I493" s="16"/>
      <c r="J493" s="16"/>
      <c r="K493" s="16"/>
      <c r="L493" s="16"/>
      <c r="M493" s="16"/>
      <c r="N493" s="16"/>
      <c r="O493" s="16"/>
      <c r="P493" s="16"/>
      <c r="Q493" s="16"/>
      <c r="R493" s="16"/>
      <c r="S493" s="16"/>
      <c r="T493" s="16"/>
      <c r="U493" s="16"/>
      <c r="V493" s="16"/>
      <c r="W493" s="16"/>
      <c r="X493" s="16"/>
    </row>
    <row r="494">
      <c r="A494" s="17"/>
      <c r="B494" s="17"/>
      <c r="C494" s="17"/>
      <c r="D494" s="48"/>
      <c r="E494" s="48"/>
      <c r="F494" s="16"/>
      <c r="G494" s="16"/>
      <c r="H494" s="16"/>
      <c r="I494" s="16"/>
      <c r="J494" s="16"/>
      <c r="K494" s="16"/>
      <c r="L494" s="16"/>
      <c r="M494" s="16"/>
      <c r="N494" s="16"/>
      <c r="O494" s="16"/>
      <c r="P494" s="16"/>
      <c r="Q494" s="16"/>
      <c r="R494" s="16"/>
      <c r="S494" s="16"/>
      <c r="T494" s="16"/>
      <c r="U494" s="16"/>
      <c r="V494" s="16"/>
      <c r="W494" s="16"/>
      <c r="X494" s="16"/>
    </row>
    <row r="495">
      <c r="A495" s="17"/>
      <c r="B495" s="17"/>
      <c r="C495" s="17"/>
      <c r="D495" s="48"/>
      <c r="E495" s="48"/>
      <c r="F495" s="16"/>
      <c r="G495" s="16"/>
      <c r="H495" s="16"/>
      <c r="I495" s="16"/>
      <c r="J495" s="16"/>
      <c r="K495" s="16"/>
      <c r="L495" s="16"/>
      <c r="M495" s="16"/>
      <c r="N495" s="16"/>
      <c r="O495" s="16"/>
      <c r="P495" s="16"/>
      <c r="Q495" s="16"/>
      <c r="R495" s="16"/>
      <c r="S495" s="16"/>
      <c r="T495" s="16"/>
      <c r="U495" s="16"/>
      <c r="V495" s="16"/>
      <c r="W495" s="16"/>
      <c r="X495" s="16"/>
    </row>
    <row r="496">
      <c r="A496" s="17"/>
      <c r="B496" s="17"/>
      <c r="C496" s="17"/>
      <c r="D496" s="48"/>
      <c r="E496" s="48"/>
      <c r="F496" s="16"/>
      <c r="G496" s="16"/>
      <c r="H496" s="16"/>
      <c r="I496" s="16"/>
      <c r="J496" s="16"/>
      <c r="K496" s="16"/>
      <c r="L496" s="16"/>
      <c r="M496" s="16"/>
      <c r="N496" s="16"/>
      <c r="O496" s="16"/>
      <c r="P496" s="16"/>
      <c r="Q496" s="16"/>
      <c r="R496" s="16"/>
      <c r="S496" s="16"/>
      <c r="T496" s="16"/>
      <c r="U496" s="16"/>
      <c r="V496" s="16"/>
      <c r="W496" s="16"/>
      <c r="X496" s="16"/>
    </row>
    <row r="497">
      <c r="A497" s="17"/>
      <c r="B497" s="17"/>
      <c r="C497" s="17"/>
      <c r="D497" s="48"/>
      <c r="E497" s="48"/>
      <c r="F497" s="16"/>
      <c r="G497" s="16"/>
      <c r="H497" s="16"/>
      <c r="I497" s="16"/>
      <c r="J497" s="16"/>
      <c r="K497" s="16"/>
      <c r="L497" s="16"/>
      <c r="M497" s="16"/>
      <c r="N497" s="16"/>
      <c r="O497" s="16"/>
      <c r="P497" s="16"/>
      <c r="Q497" s="16"/>
      <c r="R497" s="16"/>
      <c r="S497" s="16"/>
      <c r="T497" s="16"/>
      <c r="U497" s="16"/>
      <c r="V497" s="16"/>
      <c r="W497" s="16"/>
      <c r="X497" s="16"/>
    </row>
    <row r="498">
      <c r="A498" s="17"/>
      <c r="B498" s="17"/>
      <c r="C498" s="17"/>
      <c r="D498" s="48"/>
      <c r="E498" s="48"/>
      <c r="F498" s="16"/>
      <c r="G498" s="16"/>
      <c r="H498" s="16"/>
      <c r="I498" s="16"/>
      <c r="J498" s="16"/>
      <c r="K498" s="16"/>
      <c r="L498" s="16"/>
      <c r="M498" s="16"/>
      <c r="N498" s="16"/>
      <c r="O498" s="16"/>
      <c r="P498" s="16"/>
      <c r="Q498" s="16"/>
      <c r="R498" s="16"/>
      <c r="S498" s="16"/>
      <c r="T498" s="16"/>
      <c r="U498" s="16"/>
      <c r="V498" s="16"/>
      <c r="W498" s="16"/>
      <c r="X498" s="16"/>
    </row>
    <row r="499">
      <c r="A499" s="17"/>
      <c r="B499" s="17"/>
      <c r="C499" s="17"/>
      <c r="D499" s="48"/>
      <c r="E499" s="48"/>
      <c r="F499" s="16"/>
      <c r="G499" s="16"/>
      <c r="H499" s="16"/>
      <c r="I499" s="16"/>
      <c r="J499" s="16"/>
      <c r="K499" s="16"/>
      <c r="L499" s="16"/>
      <c r="M499" s="16"/>
      <c r="N499" s="16"/>
      <c r="O499" s="16"/>
      <c r="P499" s="16"/>
      <c r="Q499" s="16"/>
      <c r="R499" s="16"/>
      <c r="S499" s="16"/>
      <c r="T499" s="16"/>
      <c r="U499" s="16"/>
      <c r="V499" s="16"/>
      <c r="W499" s="16"/>
      <c r="X499" s="16"/>
    </row>
    <row r="500">
      <c r="A500" s="17"/>
      <c r="B500" s="17"/>
      <c r="C500" s="17"/>
      <c r="D500" s="48"/>
      <c r="E500" s="48"/>
      <c r="F500" s="16"/>
      <c r="G500" s="16"/>
      <c r="H500" s="16"/>
      <c r="I500" s="16"/>
      <c r="J500" s="16"/>
      <c r="K500" s="16"/>
      <c r="L500" s="16"/>
      <c r="M500" s="16"/>
      <c r="N500" s="16"/>
      <c r="O500" s="16"/>
      <c r="P500" s="16"/>
      <c r="Q500" s="16"/>
      <c r="R500" s="16"/>
      <c r="S500" s="16"/>
      <c r="T500" s="16"/>
      <c r="U500" s="16"/>
      <c r="V500" s="16"/>
      <c r="W500" s="16"/>
      <c r="X500" s="16"/>
    </row>
    <row r="501">
      <c r="A501" s="17"/>
      <c r="B501" s="17"/>
      <c r="C501" s="17"/>
      <c r="D501" s="48"/>
      <c r="E501" s="48"/>
      <c r="F501" s="16"/>
      <c r="G501" s="16"/>
      <c r="H501" s="16"/>
      <c r="I501" s="16"/>
      <c r="J501" s="16"/>
      <c r="K501" s="16"/>
      <c r="L501" s="16"/>
      <c r="M501" s="16"/>
      <c r="N501" s="16"/>
      <c r="O501" s="16"/>
      <c r="P501" s="16"/>
      <c r="Q501" s="16"/>
      <c r="R501" s="16"/>
      <c r="S501" s="16"/>
      <c r="T501" s="16"/>
      <c r="U501" s="16"/>
      <c r="V501" s="16"/>
      <c r="W501" s="16"/>
      <c r="X501" s="16"/>
    </row>
    <row r="502">
      <c r="A502" s="17"/>
      <c r="B502" s="17"/>
      <c r="C502" s="17"/>
      <c r="D502" s="48"/>
      <c r="E502" s="48"/>
      <c r="F502" s="16"/>
      <c r="G502" s="16"/>
      <c r="H502" s="16"/>
      <c r="I502" s="16"/>
      <c r="J502" s="16"/>
      <c r="K502" s="16"/>
      <c r="L502" s="16"/>
      <c r="M502" s="16"/>
      <c r="N502" s="16"/>
      <c r="O502" s="16"/>
      <c r="P502" s="16"/>
      <c r="Q502" s="16"/>
      <c r="R502" s="16"/>
      <c r="S502" s="16"/>
      <c r="T502" s="16"/>
      <c r="U502" s="16"/>
      <c r="V502" s="16"/>
      <c r="W502" s="16"/>
      <c r="X502" s="16"/>
    </row>
    <row r="503">
      <c r="A503" s="17"/>
      <c r="B503" s="17"/>
      <c r="C503" s="17"/>
      <c r="D503" s="48"/>
      <c r="E503" s="48"/>
      <c r="F503" s="16"/>
      <c r="G503" s="16"/>
      <c r="H503" s="16"/>
      <c r="I503" s="16"/>
      <c r="J503" s="16"/>
      <c r="K503" s="16"/>
      <c r="L503" s="16"/>
      <c r="M503" s="16"/>
      <c r="N503" s="16"/>
      <c r="O503" s="16"/>
      <c r="P503" s="16"/>
      <c r="Q503" s="16"/>
      <c r="R503" s="16"/>
      <c r="S503" s="16"/>
      <c r="T503" s="16"/>
      <c r="U503" s="16"/>
      <c r="V503" s="16"/>
      <c r="W503" s="16"/>
      <c r="X503" s="16"/>
    </row>
    <row r="504">
      <c r="A504" s="17"/>
      <c r="B504" s="17"/>
      <c r="C504" s="17"/>
      <c r="D504" s="48"/>
      <c r="E504" s="48"/>
      <c r="F504" s="16"/>
      <c r="G504" s="16"/>
      <c r="H504" s="16"/>
      <c r="I504" s="16"/>
      <c r="J504" s="16"/>
      <c r="K504" s="16"/>
      <c r="L504" s="16"/>
      <c r="M504" s="16"/>
      <c r="N504" s="16"/>
      <c r="O504" s="16"/>
      <c r="P504" s="16"/>
      <c r="Q504" s="16"/>
      <c r="R504" s="16"/>
      <c r="S504" s="16"/>
      <c r="T504" s="16"/>
      <c r="U504" s="16"/>
      <c r="V504" s="16"/>
      <c r="W504" s="16"/>
      <c r="X504" s="16"/>
    </row>
    <row r="505">
      <c r="A505" s="17"/>
      <c r="B505" s="17"/>
      <c r="C505" s="17"/>
      <c r="D505" s="48"/>
      <c r="E505" s="48"/>
      <c r="F505" s="16"/>
      <c r="G505" s="16"/>
      <c r="H505" s="16"/>
      <c r="I505" s="16"/>
      <c r="J505" s="16"/>
      <c r="K505" s="16"/>
      <c r="L505" s="16"/>
      <c r="M505" s="16"/>
      <c r="N505" s="16"/>
      <c r="O505" s="16"/>
      <c r="P505" s="16"/>
      <c r="Q505" s="16"/>
      <c r="R505" s="16"/>
      <c r="S505" s="16"/>
      <c r="T505" s="16"/>
      <c r="U505" s="16"/>
      <c r="V505" s="16"/>
      <c r="W505" s="16"/>
      <c r="X505" s="16"/>
    </row>
    <row r="506">
      <c r="A506" s="17"/>
      <c r="B506" s="17"/>
      <c r="C506" s="17"/>
      <c r="D506" s="48"/>
      <c r="E506" s="48"/>
      <c r="F506" s="16"/>
      <c r="G506" s="16"/>
      <c r="H506" s="16"/>
      <c r="I506" s="16"/>
      <c r="J506" s="16"/>
      <c r="K506" s="16"/>
      <c r="L506" s="16"/>
      <c r="M506" s="16"/>
      <c r="N506" s="16"/>
      <c r="O506" s="16"/>
      <c r="P506" s="16"/>
      <c r="Q506" s="16"/>
      <c r="R506" s="16"/>
      <c r="S506" s="16"/>
      <c r="T506" s="16"/>
      <c r="U506" s="16"/>
      <c r="V506" s="16"/>
      <c r="W506" s="16"/>
      <c r="X506" s="16"/>
    </row>
    <row r="507">
      <c r="A507" s="17"/>
      <c r="B507" s="17"/>
      <c r="C507" s="17"/>
      <c r="D507" s="48"/>
      <c r="E507" s="48"/>
      <c r="F507" s="16"/>
      <c r="G507" s="16"/>
      <c r="H507" s="16"/>
      <c r="I507" s="16"/>
      <c r="J507" s="16"/>
      <c r="K507" s="16"/>
      <c r="L507" s="16"/>
      <c r="M507" s="16"/>
      <c r="N507" s="16"/>
      <c r="O507" s="16"/>
      <c r="P507" s="16"/>
      <c r="Q507" s="16"/>
      <c r="R507" s="16"/>
      <c r="S507" s="16"/>
      <c r="T507" s="16"/>
      <c r="U507" s="16"/>
      <c r="V507" s="16"/>
      <c r="W507" s="16"/>
      <c r="X507" s="16"/>
    </row>
    <row r="508">
      <c r="A508" s="17"/>
      <c r="B508" s="17"/>
      <c r="C508" s="17"/>
      <c r="D508" s="48"/>
      <c r="E508" s="48"/>
      <c r="F508" s="16"/>
      <c r="G508" s="16"/>
      <c r="H508" s="16"/>
      <c r="I508" s="16"/>
      <c r="J508" s="16"/>
      <c r="K508" s="16"/>
      <c r="L508" s="16"/>
      <c r="M508" s="16"/>
      <c r="N508" s="16"/>
      <c r="O508" s="16"/>
      <c r="P508" s="16"/>
      <c r="Q508" s="16"/>
      <c r="R508" s="16"/>
      <c r="S508" s="16"/>
      <c r="T508" s="16"/>
      <c r="U508" s="16"/>
      <c r="V508" s="16"/>
      <c r="W508" s="16"/>
      <c r="X508" s="16"/>
    </row>
    <row r="509">
      <c r="A509" s="17"/>
      <c r="B509" s="17"/>
      <c r="C509" s="17"/>
      <c r="D509" s="48"/>
      <c r="E509" s="48"/>
      <c r="F509" s="16"/>
      <c r="G509" s="16"/>
      <c r="H509" s="16"/>
      <c r="I509" s="16"/>
      <c r="J509" s="16"/>
      <c r="K509" s="16"/>
      <c r="L509" s="16"/>
      <c r="M509" s="16"/>
      <c r="N509" s="16"/>
      <c r="O509" s="16"/>
      <c r="P509" s="16"/>
      <c r="Q509" s="16"/>
      <c r="R509" s="16"/>
      <c r="S509" s="16"/>
      <c r="T509" s="16"/>
      <c r="U509" s="16"/>
      <c r="V509" s="16"/>
      <c r="W509" s="16"/>
      <c r="X509" s="16"/>
    </row>
    <row r="510">
      <c r="A510" s="17"/>
      <c r="B510" s="17"/>
      <c r="C510" s="17"/>
      <c r="D510" s="48"/>
      <c r="E510" s="48"/>
      <c r="F510" s="16"/>
      <c r="G510" s="16"/>
      <c r="H510" s="16"/>
      <c r="I510" s="16"/>
      <c r="J510" s="16"/>
      <c r="K510" s="16"/>
      <c r="L510" s="16"/>
      <c r="M510" s="16"/>
      <c r="N510" s="16"/>
      <c r="O510" s="16"/>
      <c r="P510" s="16"/>
      <c r="Q510" s="16"/>
      <c r="R510" s="16"/>
      <c r="S510" s="16"/>
      <c r="T510" s="16"/>
      <c r="U510" s="16"/>
      <c r="V510" s="16"/>
      <c r="W510" s="16"/>
      <c r="X510" s="16"/>
    </row>
    <row r="511">
      <c r="A511" s="17"/>
      <c r="B511" s="17"/>
      <c r="C511" s="17"/>
      <c r="D511" s="48"/>
      <c r="E511" s="48"/>
      <c r="F511" s="16"/>
      <c r="G511" s="16"/>
      <c r="H511" s="16"/>
      <c r="I511" s="16"/>
      <c r="J511" s="16"/>
      <c r="K511" s="16"/>
      <c r="L511" s="16"/>
      <c r="M511" s="16"/>
      <c r="N511" s="16"/>
      <c r="O511" s="16"/>
      <c r="P511" s="16"/>
      <c r="Q511" s="16"/>
      <c r="R511" s="16"/>
      <c r="S511" s="16"/>
      <c r="T511" s="16"/>
      <c r="U511" s="16"/>
      <c r="V511" s="16"/>
      <c r="W511" s="16"/>
      <c r="X511" s="16"/>
    </row>
    <row r="512">
      <c r="A512" s="17"/>
      <c r="B512" s="17"/>
      <c r="C512" s="17"/>
      <c r="D512" s="48"/>
      <c r="E512" s="48"/>
      <c r="F512" s="16"/>
      <c r="G512" s="16"/>
      <c r="H512" s="16"/>
      <c r="I512" s="16"/>
      <c r="J512" s="16"/>
      <c r="K512" s="16"/>
      <c r="L512" s="16"/>
      <c r="M512" s="16"/>
      <c r="N512" s="16"/>
      <c r="O512" s="16"/>
      <c r="P512" s="16"/>
      <c r="Q512" s="16"/>
      <c r="R512" s="16"/>
      <c r="S512" s="16"/>
      <c r="T512" s="16"/>
      <c r="U512" s="16"/>
      <c r="V512" s="16"/>
      <c r="W512" s="16"/>
      <c r="X512" s="16"/>
    </row>
    <row r="513">
      <c r="A513" s="17"/>
      <c r="B513" s="17"/>
      <c r="C513" s="17"/>
      <c r="D513" s="48"/>
      <c r="E513" s="48"/>
      <c r="F513" s="16"/>
      <c r="G513" s="16"/>
      <c r="H513" s="16"/>
      <c r="I513" s="16"/>
      <c r="J513" s="16"/>
      <c r="K513" s="16"/>
      <c r="L513" s="16"/>
      <c r="M513" s="16"/>
      <c r="N513" s="16"/>
      <c r="O513" s="16"/>
      <c r="P513" s="16"/>
      <c r="Q513" s="16"/>
      <c r="R513" s="16"/>
      <c r="S513" s="16"/>
      <c r="T513" s="16"/>
      <c r="U513" s="16"/>
      <c r="V513" s="16"/>
      <c r="W513" s="16"/>
      <c r="X513" s="16"/>
    </row>
    <row r="514">
      <c r="A514" s="17"/>
      <c r="B514" s="17"/>
      <c r="C514" s="17"/>
      <c r="D514" s="48"/>
      <c r="E514" s="48"/>
      <c r="F514" s="16"/>
      <c r="G514" s="16"/>
      <c r="H514" s="16"/>
      <c r="I514" s="16"/>
      <c r="J514" s="16"/>
      <c r="K514" s="16"/>
      <c r="L514" s="16"/>
      <c r="M514" s="16"/>
      <c r="N514" s="16"/>
      <c r="O514" s="16"/>
      <c r="P514" s="16"/>
      <c r="Q514" s="16"/>
      <c r="R514" s="16"/>
      <c r="S514" s="16"/>
      <c r="T514" s="16"/>
      <c r="U514" s="16"/>
      <c r="V514" s="16"/>
      <c r="W514" s="16"/>
      <c r="X514" s="16"/>
    </row>
    <row r="515">
      <c r="A515" s="17"/>
      <c r="B515" s="17"/>
      <c r="C515" s="17"/>
      <c r="D515" s="48"/>
      <c r="E515" s="48"/>
      <c r="F515" s="16"/>
      <c r="G515" s="16"/>
      <c r="H515" s="16"/>
      <c r="I515" s="16"/>
      <c r="J515" s="16"/>
      <c r="K515" s="16"/>
      <c r="L515" s="16"/>
      <c r="M515" s="16"/>
      <c r="N515" s="16"/>
      <c r="O515" s="16"/>
      <c r="P515" s="16"/>
      <c r="Q515" s="16"/>
      <c r="R515" s="16"/>
      <c r="S515" s="16"/>
      <c r="T515" s="16"/>
      <c r="U515" s="16"/>
      <c r="V515" s="16"/>
      <c r="W515" s="16"/>
      <c r="X515" s="16"/>
    </row>
    <row r="516">
      <c r="A516" s="17"/>
      <c r="B516" s="17"/>
      <c r="C516" s="17"/>
      <c r="D516" s="48"/>
      <c r="E516" s="48"/>
      <c r="F516" s="16"/>
      <c r="G516" s="16"/>
      <c r="H516" s="16"/>
      <c r="I516" s="16"/>
      <c r="J516" s="16"/>
      <c r="K516" s="16"/>
      <c r="L516" s="16"/>
      <c r="M516" s="16"/>
      <c r="N516" s="16"/>
      <c r="O516" s="16"/>
      <c r="P516" s="16"/>
      <c r="Q516" s="16"/>
      <c r="R516" s="16"/>
      <c r="S516" s="16"/>
      <c r="T516" s="16"/>
      <c r="U516" s="16"/>
      <c r="V516" s="16"/>
      <c r="W516" s="16"/>
      <c r="X516" s="16"/>
    </row>
    <row r="517">
      <c r="A517" s="17"/>
      <c r="B517" s="17"/>
      <c r="C517" s="17"/>
      <c r="D517" s="48"/>
      <c r="E517" s="48"/>
      <c r="F517" s="16"/>
      <c r="G517" s="16"/>
      <c r="H517" s="16"/>
      <c r="I517" s="16"/>
      <c r="J517" s="16"/>
      <c r="K517" s="16"/>
      <c r="L517" s="16"/>
      <c r="M517" s="16"/>
      <c r="N517" s="16"/>
      <c r="O517" s="16"/>
      <c r="P517" s="16"/>
      <c r="Q517" s="16"/>
      <c r="R517" s="16"/>
      <c r="S517" s="16"/>
      <c r="T517" s="16"/>
      <c r="U517" s="16"/>
      <c r="V517" s="16"/>
      <c r="W517" s="16"/>
      <c r="X517" s="16"/>
    </row>
    <row r="518">
      <c r="A518" s="17"/>
      <c r="B518" s="17"/>
      <c r="C518" s="17"/>
      <c r="D518" s="48"/>
      <c r="E518" s="48"/>
      <c r="F518" s="16"/>
      <c r="G518" s="16"/>
      <c r="H518" s="16"/>
      <c r="I518" s="16"/>
      <c r="J518" s="16"/>
      <c r="K518" s="16"/>
      <c r="L518" s="16"/>
      <c r="M518" s="16"/>
      <c r="N518" s="16"/>
      <c r="O518" s="16"/>
      <c r="P518" s="16"/>
      <c r="Q518" s="16"/>
      <c r="R518" s="16"/>
      <c r="S518" s="16"/>
      <c r="T518" s="16"/>
      <c r="U518" s="16"/>
      <c r="V518" s="16"/>
      <c r="W518" s="16"/>
      <c r="X518" s="16"/>
    </row>
    <row r="519">
      <c r="A519" s="17"/>
      <c r="B519" s="17"/>
      <c r="C519" s="17"/>
      <c r="D519" s="48"/>
      <c r="E519" s="48"/>
      <c r="F519" s="16"/>
      <c r="G519" s="16"/>
      <c r="H519" s="16"/>
      <c r="I519" s="16"/>
      <c r="J519" s="16"/>
      <c r="K519" s="16"/>
      <c r="L519" s="16"/>
      <c r="M519" s="16"/>
      <c r="N519" s="16"/>
      <c r="O519" s="16"/>
      <c r="P519" s="16"/>
      <c r="Q519" s="16"/>
      <c r="R519" s="16"/>
      <c r="S519" s="16"/>
      <c r="T519" s="16"/>
      <c r="U519" s="16"/>
      <c r="V519" s="16"/>
      <c r="W519" s="16"/>
      <c r="X519" s="16"/>
    </row>
    <row r="520">
      <c r="A520" s="17"/>
      <c r="B520" s="17"/>
      <c r="C520" s="17"/>
      <c r="D520" s="48"/>
      <c r="E520" s="48"/>
      <c r="F520" s="16"/>
      <c r="G520" s="16"/>
      <c r="H520" s="16"/>
      <c r="I520" s="16"/>
      <c r="J520" s="16"/>
      <c r="K520" s="16"/>
      <c r="L520" s="16"/>
      <c r="M520" s="16"/>
      <c r="N520" s="16"/>
      <c r="O520" s="16"/>
      <c r="P520" s="16"/>
      <c r="Q520" s="16"/>
      <c r="R520" s="16"/>
      <c r="S520" s="16"/>
      <c r="T520" s="16"/>
      <c r="U520" s="16"/>
      <c r="V520" s="16"/>
      <c r="W520" s="16"/>
      <c r="X520" s="16"/>
    </row>
    <row r="521">
      <c r="A521" s="17"/>
      <c r="B521" s="17"/>
      <c r="C521" s="17"/>
      <c r="D521" s="48"/>
      <c r="E521" s="48"/>
      <c r="F521" s="16"/>
      <c r="G521" s="16"/>
      <c r="H521" s="16"/>
      <c r="I521" s="16"/>
      <c r="J521" s="16"/>
      <c r="K521" s="16"/>
      <c r="L521" s="16"/>
      <c r="M521" s="16"/>
      <c r="N521" s="16"/>
      <c r="O521" s="16"/>
      <c r="P521" s="16"/>
      <c r="Q521" s="16"/>
      <c r="R521" s="16"/>
      <c r="S521" s="16"/>
      <c r="T521" s="16"/>
      <c r="U521" s="16"/>
      <c r="V521" s="16"/>
      <c r="W521" s="16"/>
      <c r="X521" s="16"/>
    </row>
    <row r="522">
      <c r="A522" s="17"/>
      <c r="B522" s="17"/>
      <c r="C522" s="17"/>
      <c r="D522" s="48"/>
      <c r="E522" s="48"/>
      <c r="F522" s="16"/>
      <c r="G522" s="16"/>
      <c r="H522" s="16"/>
      <c r="I522" s="16"/>
      <c r="J522" s="16"/>
      <c r="K522" s="16"/>
      <c r="L522" s="16"/>
      <c r="M522" s="16"/>
      <c r="N522" s="16"/>
      <c r="O522" s="16"/>
      <c r="P522" s="16"/>
      <c r="Q522" s="16"/>
      <c r="R522" s="16"/>
      <c r="S522" s="16"/>
      <c r="T522" s="16"/>
      <c r="U522" s="16"/>
      <c r="V522" s="16"/>
      <c r="W522" s="16"/>
      <c r="X522" s="16"/>
    </row>
    <row r="523">
      <c r="A523" s="17"/>
      <c r="B523" s="17"/>
      <c r="C523" s="17"/>
      <c r="D523" s="48"/>
      <c r="E523" s="48"/>
      <c r="F523" s="16"/>
      <c r="G523" s="16"/>
      <c r="H523" s="16"/>
      <c r="I523" s="16"/>
      <c r="J523" s="16"/>
      <c r="K523" s="16"/>
      <c r="L523" s="16"/>
      <c r="M523" s="16"/>
      <c r="N523" s="16"/>
      <c r="O523" s="16"/>
      <c r="P523" s="16"/>
      <c r="Q523" s="16"/>
      <c r="R523" s="16"/>
      <c r="S523" s="16"/>
      <c r="T523" s="16"/>
      <c r="U523" s="16"/>
      <c r="V523" s="16"/>
      <c r="W523" s="16"/>
      <c r="X523" s="16"/>
    </row>
    <row r="524">
      <c r="A524" s="17"/>
      <c r="B524" s="17"/>
      <c r="C524" s="17"/>
      <c r="D524" s="48"/>
      <c r="E524" s="48"/>
      <c r="F524" s="16"/>
      <c r="G524" s="16"/>
      <c r="H524" s="16"/>
      <c r="I524" s="16"/>
      <c r="J524" s="16"/>
      <c r="K524" s="16"/>
      <c r="L524" s="16"/>
      <c r="M524" s="16"/>
      <c r="N524" s="16"/>
      <c r="O524" s="16"/>
      <c r="P524" s="16"/>
      <c r="Q524" s="16"/>
      <c r="R524" s="16"/>
      <c r="S524" s="16"/>
      <c r="T524" s="16"/>
      <c r="U524" s="16"/>
      <c r="V524" s="16"/>
      <c r="W524" s="16"/>
      <c r="X524" s="16"/>
    </row>
    <row r="525">
      <c r="A525" s="17"/>
      <c r="B525" s="17"/>
      <c r="C525" s="17"/>
      <c r="D525" s="48"/>
      <c r="E525" s="48"/>
      <c r="F525" s="16"/>
      <c r="G525" s="16"/>
      <c r="H525" s="16"/>
      <c r="I525" s="16"/>
      <c r="J525" s="16"/>
      <c r="K525" s="16"/>
      <c r="L525" s="16"/>
      <c r="M525" s="16"/>
      <c r="N525" s="16"/>
      <c r="O525" s="16"/>
      <c r="P525" s="16"/>
      <c r="Q525" s="16"/>
      <c r="R525" s="16"/>
      <c r="S525" s="16"/>
      <c r="T525" s="16"/>
      <c r="U525" s="16"/>
      <c r="V525" s="16"/>
      <c r="W525" s="16"/>
      <c r="X525" s="16"/>
    </row>
    <row r="526">
      <c r="A526" s="17"/>
      <c r="B526" s="17"/>
      <c r="C526" s="17"/>
      <c r="D526" s="48"/>
      <c r="E526" s="48"/>
      <c r="F526" s="16"/>
      <c r="G526" s="16"/>
      <c r="H526" s="16"/>
      <c r="I526" s="16"/>
      <c r="J526" s="16"/>
      <c r="K526" s="16"/>
      <c r="L526" s="16"/>
      <c r="M526" s="16"/>
      <c r="N526" s="16"/>
      <c r="O526" s="16"/>
      <c r="P526" s="16"/>
      <c r="Q526" s="16"/>
      <c r="R526" s="16"/>
      <c r="S526" s="16"/>
      <c r="T526" s="16"/>
      <c r="U526" s="16"/>
      <c r="V526" s="16"/>
      <c r="W526" s="16"/>
      <c r="X526" s="16"/>
    </row>
    <row r="527">
      <c r="A527" s="17"/>
      <c r="B527" s="17"/>
      <c r="C527" s="17"/>
      <c r="D527" s="48"/>
      <c r="E527" s="48"/>
      <c r="F527" s="16"/>
      <c r="G527" s="16"/>
      <c r="H527" s="16"/>
      <c r="I527" s="16"/>
      <c r="J527" s="16"/>
      <c r="K527" s="16"/>
      <c r="L527" s="16"/>
      <c r="M527" s="16"/>
      <c r="N527" s="16"/>
      <c r="O527" s="16"/>
      <c r="P527" s="16"/>
      <c r="Q527" s="16"/>
      <c r="R527" s="16"/>
      <c r="S527" s="16"/>
      <c r="T527" s="16"/>
      <c r="U527" s="16"/>
      <c r="V527" s="16"/>
      <c r="W527" s="16"/>
      <c r="X527" s="16"/>
    </row>
    <row r="528">
      <c r="A528" s="17"/>
      <c r="B528" s="17"/>
      <c r="C528" s="17"/>
      <c r="D528" s="48"/>
      <c r="E528" s="48"/>
      <c r="F528" s="16"/>
      <c r="G528" s="16"/>
      <c r="H528" s="16"/>
      <c r="I528" s="16"/>
      <c r="J528" s="16"/>
      <c r="K528" s="16"/>
      <c r="L528" s="16"/>
      <c r="M528" s="16"/>
      <c r="N528" s="16"/>
      <c r="O528" s="16"/>
      <c r="P528" s="16"/>
      <c r="Q528" s="16"/>
      <c r="R528" s="16"/>
      <c r="S528" s="16"/>
      <c r="T528" s="16"/>
      <c r="U528" s="16"/>
      <c r="V528" s="16"/>
      <c r="W528" s="16"/>
      <c r="X528" s="16"/>
    </row>
    <row r="529">
      <c r="A529" s="17"/>
      <c r="B529" s="17"/>
      <c r="C529" s="17"/>
      <c r="D529" s="48"/>
      <c r="E529" s="48"/>
      <c r="F529" s="16"/>
      <c r="G529" s="16"/>
      <c r="H529" s="16"/>
      <c r="I529" s="16"/>
      <c r="J529" s="16"/>
      <c r="K529" s="16"/>
      <c r="L529" s="16"/>
      <c r="M529" s="16"/>
      <c r="N529" s="16"/>
      <c r="O529" s="16"/>
      <c r="P529" s="16"/>
      <c r="Q529" s="16"/>
      <c r="R529" s="16"/>
      <c r="S529" s="16"/>
      <c r="T529" s="16"/>
      <c r="U529" s="16"/>
      <c r="V529" s="16"/>
      <c r="W529" s="16"/>
      <c r="X529" s="16"/>
    </row>
    <row r="530">
      <c r="A530" s="17"/>
      <c r="B530" s="17"/>
      <c r="C530" s="17"/>
      <c r="D530" s="48"/>
      <c r="E530" s="48"/>
      <c r="F530" s="16"/>
      <c r="G530" s="16"/>
      <c r="H530" s="16"/>
      <c r="I530" s="16"/>
      <c r="J530" s="16"/>
      <c r="K530" s="16"/>
      <c r="L530" s="16"/>
      <c r="M530" s="16"/>
      <c r="N530" s="16"/>
      <c r="O530" s="16"/>
      <c r="P530" s="16"/>
      <c r="Q530" s="16"/>
      <c r="R530" s="16"/>
      <c r="S530" s="16"/>
      <c r="T530" s="16"/>
      <c r="U530" s="16"/>
      <c r="V530" s="16"/>
      <c r="W530" s="16"/>
      <c r="X530" s="16"/>
    </row>
    <row r="531">
      <c r="A531" s="17"/>
      <c r="B531" s="17"/>
      <c r="C531" s="17"/>
      <c r="D531" s="48"/>
      <c r="E531" s="48"/>
      <c r="F531" s="16"/>
      <c r="G531" s="16"/>
      <c r="H531" s="16"/>
      <c r="I531" s="16"/>
      <c r="J531" s="16"/>
      <c r="K531" s="16"/>
      <c r="L531" s="16"/>
      <c r="M531" s="16"/>
      <c r="N531" s="16"/>
      <c r="O531" s="16"/>
      <c r="P531" s="16"/>
      <c r="Q531" s="16"/>
      <c r="R531" s="16"/>
      <c r="S531" s="16"/>
      <c r="T531" s="16"/>
      <c r="U531" s="16"/>
      <c r="V531" s="16"/>
      <c r="W531" s="16"/>
      <c r="X531" s="16"/>
    </row>
    <row r="532">
      <c r="A532" s="17"/>
      <c r="B532" s="17"/>
      <c r="C532" s="17"/>
      <c r="D532" s="48"/>
      <c r="E532" s="48"/>
      <c r="F532" s="16"/>
      <c r="G532" s="16"/>
      <c r="H532" s="16"/>
      <c r="I532" s="16"/>
      <c r="J532" s="16"/>
      <c r="K532" s="16"/>
      <c r="L532" s="16"/>
      <c r="M532" s="16"/>
      <c r="N532" s="16"/>
      <c r="O532" s="16"/>
      <c r="P532" s="16"/>
      <c r="Q532" s="16"/>
      <c r="R532" s="16"/>
      <c r="S532" s="16"/>
      <c r="T532" s="16"/>
      <c r="U532" s="16"/>
      <c r="V532" s="16"/>
      <c r="W532" s="16"/>
      <c r="X532" s="16"/>
    </row>
    <row r="533">
      <c r="A533" s="17"/>
      <c r="B533" s="17"/>
      <c r="C533" s="17"/>
      <c r="D533" s="48"/>
      <c r="E533" s="48"/>
      <c r="F533" s="16"/>
      <c r="G533" s="16"/>
      <c r="H533" s="16"/>
      <c r="I533" s="16"/>
      <c r="J533" s="16"/>
      <c r="K533" s="16"/>
      <c r="L533" s="16"/>
      <c r="M533" s="16"/>
      <c r="N533" s="16"/>
      <c r="O533" s="16"/>
      <c r="P533" s="16"/>
      <c r="Q533" s="16"/>
      <c r="R533" s="16"/>
      <c r="S533" s="16"/>
      <c r="T533" s="16"/>
      <c r="U533" s="16"/>
      <c r="V533" s="16"/>
      <c r="W533" s="16"/>
      <c r="X533" s="16"/>
    </row>
    <row r="534">
      <c r="A534" s="17"/>
      <c r="B534" s="17"/>
      <c r="C534" s="17"/>
      <c r="D534" s="48"/>
      <c r="E534" s="48"/>
      <c r="F534" s="16"/>
      <c r="G534" s="16"/>
      <c r="H534" s="16"/>
      <c r="I534" s="16"/>
      <c r="J534" s="16"/>
      <c r="K534" s="16"/>
      <c r="L534" s="16"/>
      <c r="M534" s="16"/>
      <c r="N534" s="16"/>
      <c r="O534" s="16"/>
      <c r="P534" s="16"/>
      <c r="Q534" s="16"/>
      <c r="R534" s="16"/>
      <c r="S534" s="16"/>
      <c r="T534" s="16"/>
      <c r="U534" s="16"/>
      <c r="V534" s="16"/>
      <c r="W534" s="16"/>
      <c r="X534" s="16"/>
    </row>
    <row r="535">
      <c r="A535" s="17"/>
      <c r="B535" s="17"/>
      <c r="C535" s="17"/>
      <c r="D535" s="48"/>
      <c r="E535" s="48"/>
      <c r="F535" s="16"/>
      <c r="G535" s="16"/>
      <c r="H535" s="16"/>
      <c r="I535" s="16"/>
      <c r="J535" s="16"/>
      <c r="K535" s="16"/>
      <c r="L535" s="16"/>
      <c r="M535" s="16"/>
      <c r="N535" s="16"/>
      <c r="O535" s="16"/>
      <c r="P535" s="16"/>
      <c r="Q535" s="16"/>
      <c r="R535" s="16"/>
      <c r="S535" s="16"/>
      <c r="T535" s="16"/>
      <c r="U535" s="16"/>
      <c r="V535" s="16"/>
      <c r="W535" s="16"/>
      <c r="X535" s="16"/>
    </row>
    <row r="536">
      <c r="A536" s="17"/>
      <c r="B536" s="17"/>
      <c r="C536" s="17"/>
      <c r="D536" s="48"/>
      <c r="E536" s="48"/>
      <c r="F536" s="16"/>
      <c r="G536" s="16"/>
      <c r="H536" s="16"/>
      <c r="I536" s="16"/>
      <c r="J536" s="16"/>
      <c r="K536" s="16"/>
      <c r="L536" s="16"/>
      <c r="M536" s="16"/>
      <c r="N536" s="16"/>
      <c r="O536" s="16"/>
      <c r="P536" s="16"/>
      <c r="Q536" s="16"/>
      <c r="R536" s="16"/>
      <c r="S536" s="16"/>
      <c r="T536" s="16"/>
      <c r="U536" s="16"/>
      <c r="V536" s="16"/>
      <c r="W536" s="16"/>
      <c r="X536" s="16"/>
    </row>
    <row r="537">
      <c r="A537" s="17"/>
      <c r="B537" s="17"/>
      <c r="C537" s="17"/>
      <c r="D537" s="48"/>
      <c r="E537" s="48"/>
      <c r="F537" s="16"/>
      <c r="G537" s="16"/>
      <c r="H537" s="16"/>
      <c r="I537" s="16"/>
      <c r="J537" s="16"/>
      <c r="K537" s="16"/>
      <c r="L537" s="16"/>
      <c r="M537" s="16"/>
      <c r="N537" s="16"/>
      <c r="O537" s="16"/>
      <c r="P537" s="16"/>
      <c r="Q537" s="16"/>
      <c r="R537" s="16"/>
      <c r="S537" s="16"/>
      <c r="T537" s="16"/>
      <c r="U537" s="16"/>
      <c r="V537" s="16"/>
      <c r="W537" s="16"/>
      <c r="X537" s="16"/>
    </row>
    <row r="538">
      <c r="A538" s="17"/>
      <c r="B538" s="17"/>
      <c r="C538" s="17"/>
      <c r="D538" s="48"/>
      <c r="E538" s="48"/>
      <c r="F538" s="16"/>
      <c r="G538" s="16"/>
      <c r="H538" s="16"/>
      <c r="I538" s="16"/>
      <c r="J538" s="16"/>
      <c r="K538" s="16"/>
      <c r="L538" s="16"/>
      <c r="M538" s="16"/>
      <c r="N538" s="16"/>
      <c r="O538" s="16"/>
      <c r="P538" s="16"/>
      <c r="Q538" s="16"/>
      <c r="R538" s="16"/>
      <c r="S538" s="16"/>
      <c r="T538" s="16"/>
      <c r="U538" s="16"/>
      <c r="V538" s="16"/>
      <c r="W538" s="16"/>
      <c r="X538" s="16"/>
    </row>
    <row r="539">
      <c r="A539" s="17"/>
      <c r="B539" s="17"/>
      <c r="C539" s="17"/>
      <c r="D539" s="48"/>
      <c r="E539" s="48"/>
      <c r="F539" s="16"/>
      <c r="G539" s="16"/>
      <c r="H539" s="16"/>
      <c r="I539" s="16"/>
      <c r="J539" s="16"/>
      <c r="K539" s="16"/>
      <c r="L539" s="16"/>
      <c r="M539" s="16"/>
      <c r="N539" s="16"/>
      <c r="O539" s="16"/>
      <c r="P539" s="16"/>
      <c r="Q539" s="16"/>
      <c r="R539" s="16"/>
      <c r="S539" s="16"/>
      <c r="T539" s="16"/>
      <c r="U539" s="16"/>
      <c r="V539" s="16"/>
      <c r="W539" s="16"/>
      <c r="X539" s="16"/>
    </row>
    <row r="540">
      <c r="A540" s="17"/>
      <c r="B540" s="17"/>
      <c r="C540" s="17"/>
      <c r="D540" s="48"/>
      <c r="E540" s="48"/>
      <c r="F540" s="16"/>
      <c r="G540" s="16"/>
      <c r="H540" s="16"/>
      <c r="I540" s="16"/>
      <c r="J540" s="16"/>
      <c r="K540" s="16"/>
      <c r="L540" s="16"/>
      <c r="M540" s="16"/>
      <c r="N540" s="16"/>
      <c r="O540" s="16"/>
      <c r="P540" s="16"/>
      <c r="Q540" s="16"/>
      <c r="R540" s="16"/>
      <c r="S540" s="16"/>
      <c r="T540" s="16"/>
      <c r="U540" s="16"/>
      <c r="V540" s="16"/>
      <c r="W540" s="16"/>
      <c r="X540" s="16"/>
    </row>
    <row r="541">
      <c r="A541" s="17"/>
      <c r="B541" s="17"/>
      <c r="C541" s="17"/>
      <c r="D541" s="48"/>
      <c r="E541" s="48"/>
      <c r="F541" s="16"/>
      <c r="G541" s="16"/>
      <c r="H541" s="16"/>
      <c r="I541" s="16"/>
      <c r="J541" s="16"/>
      <c r="K541" s="16"/>
      <c r="L541" s="16"/>
      <c r="M541" s="16"/>
      <c r="N541" s="16"/>
      <c r="O541" s="16"/>
      <c r="P541" s="16"/>
      <c r="Q541" s="16"/>
      <c r="R541" s="16"/>
      <c r="S541" s="16"/>
      <c r="T541" s="16"/>
      <c r="U541" s="16"/>
      <c r="V541" s="16"/>
      <c r="W541" s="16"/>
      <c r="X541" s="16"/>
    </row>
    <row r="542">
      <c r="A542" s="17"/>
      <c r="B542" s="17"/>
      <c r="C542" s="17"/>
      <c r="D542" s="48"/>
      <c r="E542" s="48"/>
      <c r="F542" s="16"/>
      <c r="G542" s="16"/>
      <c r="H542" s="16"/>
      <c r="I542" s="16"/>
      <c r="J542" s="16"/>
      <c r="K542" s="16"/>
      <c r="L542" s="16"/>
      <c r="M542" s="16"/>
      <c r="N542" s="16"/>
      <c r="O542" s="16"/>
      <c r="P542" s="16"/>
      <c r="Q542" s="16"/>
      <c r="R542" s="16"/>
      <c r="S542" s="16"/>
      <c r="T542" s="16"/>
      <c r="U542" s="16"/>
      <c r="V542" s="16"/>
      <c r="W542" s="16"/>
      <c r="X542" s="16"/>
    </row>
    <row r="543">
      <c r="A543" s="17"/>
      <c r="B543" s="17"/>
      <c r="C543" s="17"/>
      <c r="D543" s="48"/>
      <c r="E543" s="48"/>
      <c r="F543" s="16"/>
      <c r="G543" s="16"/>
      <c r="H543" s="16"/>
      <c r="I543" s="16"/>
      <c r="J543" s="16"/>
      <c r="K543" s="16"/>
      <c r="L543" s="16"/>
      <c r="M543" s="16"/>
      <c r="N543" s="16"/>
      <c r="O543" s="16"/>
      <c r="P543" s="16"/>
      <c r="Q543" s="16"/>
      <c r="R543" s="16"/>
      <c r="S543" s="16"/>
      <c r="T543" s="16"/>
      <c r="U543" s="16"/>
      <c r="V543" s="16"/>
      <c r="W543" s="16"/>
      <c r="X543" s="16"/>
    </row>
    <row r="544">
      <c r="A544" s="17"/>
      <c r="B544" s="17"/>
      <c r="C544" s="17"/>
      <c r="D544" s="48"/>
      <c r="E544" s="48"/>
      <c r="F544" s="16"/>
      <c r="G544" s="16"/>
      <c r="H544" s="16"/>
      <c r="I544" s="16"/>
      <c r="J544" s="16"/>
      <c r="K544" s="16"/>
      <c r="L544" s="16"/>
      <c r="M544" s="16"/>
      <c r="N544" s="16"/>
      <c r="O544" s="16"/>
      <c r="P544" s="16"/>
      <c r="Q544" s="16"/>
      <c r="R544" s="16"/>
      <c r="S544" s="16"/>
      <c r="T544" s="16"/>
      <c r="U544" s="16"/>
      <c r="V544" s="16"/>
      <c r="W544" s="16"/>
      <c r="X544" s="16"/>
    </row>
    <row r="545">
      <c r="A545" s="17"/>
      <c r="B545" s="17"/>
      <c r="C545" s="17"/>
      <c r="D545" s="48"/>
      <c r="E545" s="48"/>
      <c r="F545" s="16"/>
      <c r="G545" s="16"/>
      <c r="H545" s="16"/>
      <c r="I545" s="16"/>
      <c r="J545" s="16"/>
      <c r="K545" s="16"/>
      <c r="L545" s="16"/>
      <c r="M545" s="16"/>
      <c r="N545" s="16"/>
      <c r="O545" s="16"/>
      <c r="P545" s="16"/>
      <c r="Q545" s="16"/>
      <c r="R545" s="16"/>
      <c r="S545" s="16"/>
      <c r="T545" s="16"/>
      <c r="U545" s="16"/>
      <c r="V545" s="16"/>
      <c r="W545" s="16"/>
      <c r="X545" s="16"/>
    </row>
    <row r="546">
      <c r="A546" s="17"/>
      <c r="B546" s="17"/>
      <c r="C546" s="17"/>
      <c r="D546" s="48"/>
      <c r="E546" s="48"/>
      <c r="F546" s="16"/>
      <c r="G546" s="16"/>
      <c r="H546" s="16"/>
      <c r="I546" s="16"/>
      <c r="J546" s="16"/>
      <c r="K546" s="16"/>
      <c r="L546" s="16"/>
      <c r="M546" s="16"/>
      <c r="N546" s="16"/>
      <c r="O546" s="16"/>
      <c r="P546" s="16"/>
      <c r="Q546" s="16"/>
      <c r="R546" s="16"/>
      <c r="S546" s="16"/>
      <c r="T546" s="16"/>
      <c r="U546" s="16"/>
      <c r="V546" s="16"/>
      <c r="W546" s="16"/>
      <c r="X546" s="16"/>
    </row>
    <row r="547">
      <c r="A547" s="17"/>
      <c r="B547" s="17"/>
      <c r="C547" s="17"/>
      <c r="D547" s="48"/>
      <c r="E547" s="48"/>
      <c r="F547" s="16"/>
      <c r="G547" s="16"/>
      <c r="H547" s="16"/>
      <c r="I547" s="16"/>
      <c r="J547" s="16"/>
      <c r="K547" s="16"/>
      <c r="L547" s="16"/>
      <c r="M547" s="16"/>
      <c r="N547" s="16"/>
      <c r="O547" s="16"/>
      <c r="P547" s="16"/>
      <c r="Q547" s="16"/>
      <c r="R547" s="16"/>
      <c r="S547" s="16"/>
      <c r="T547" s="16"/>
      <c r="U547" s="16"/>
      <c r="V547" s="16"/>
      <c r="W547" s="16"/>
      <c r="X547" s="16"/>
    </row>
    <row r="548">
      <c r="A548" s="17"/>
      <c r="B548" s="17"/>
      <c r="C548" s="17"/>
      <c r="D548" s="48"/>
      <c r="E548" s="48"/>
      <c r="F548" s="16"/>
      <c r="G548" s="16"/>
      <c r="H548" s="16"/>
      <c r="I548" s="16"/>
      <c r="J548" s="16"/>
      <c r="K548" s="16"/>
      <c r="L548" s="16"/>
      <c r="M548" s="16"/>
      <c r="N548" s="16"/>
      <c r="O548" s="16"/>
      <c r="P548" s="16"/>
      <c r="Q548" s="16"/>
      <c r="R548" s="16"/>
      <c r="S548" s="16"/>
      <c r="T548" s="16"/>
      <c r="U548" s="16"/>
      <c r="V548" s="16"/>
      <c r="W548" s="16"/>
      <c r="X548" s="16"/>
    </row>
    <row r="549">
      <c r="A549" s="17"/>
      <c r="B549" s="17"/>
      <c r="C549" s="17"/>
      <c r="D549" s="48"/>
      <c r="E549" s="48"/>
      <c r="F549" s="16"/>
      <c r="G549" s="16"/>
      <c r="H549" s="16"/>
      <c r="I549" s="16"/>
      <c r="J549" s="16"/>
      <c r="K549" s="16"/>
      <c r="L549" s="16"/>
      <c r="M549" s="16"/>
      <c r="N549" s="16"/>
      <c r="O549" s="16"/>
      <c r="P549" s="16"/>
      <c r="Q549" s="16"/>
      <c r="R549" s="16"/>
      <c r="S549" s="16"/>
      <c r="T549" s="16"/>
      <c r="U549" s="16"/>
      <c r="V549" s="16"/>
      <c r="W549" s="16"/>
      <c r="X549" s="16"/>
    </row>
    <row r="550">
      <c r="A550" s="17"/>
      <c r="B550" s="17"/>
      <c r="C550" s="17"/>
      <c r="D550" s="48"/>
      <c r="E550" s="48"/>
      <c r="F550" s="16"/>
      <c r="G550" s="16"/>
      <c r="H550" s="16"/>
      <c r="I550" s="16"/>
      <c r="J550" s="16"/>
      <c r="K550" s="16"/>
      <c r="L550" s="16"/>
      <c r="M550" s="16"/>
      <c r="N550" s="16"/>
      <c r="O550" s="16"/>
      <c r="P550" s="16"/>
      <c r="Q550" s="16"/>
      <c r="R550" s="16"/>
      <c r="S550" s="16"/>
      <c r="T550" s="16"/>
      <c r="U550" s="16"/>
      <c r="V550" s="16"/>
      <c r="W550" s="16"/>
      <c r="X550" s="16"/>
    </row>
    <row r="551">
      <c r="A551" s="17"/>
      <c r="B551" s="17"/>
      <c r="C551" s="17"/>
      <c r="D551" s="48"/>
      <c r="E551" s="48"/>
      <c r="F551" s="16"/>
      <c r="G551" s="16"/>
      <c r="H551" s="16"/>
      <c r="I551" s="16"/>
      <c r="J551" s="16"/>
      <c r="K551" s="16"/>
      <c r="L551" s="16"/>
      <c r="M551" s="16"/>
      <c r="N551" s="16"/>
      <c r="O551" s="16"/>
      <c r="P551" s="16"/>
      <c r="Q551" s="16"/>
      <c r="R551" s="16"/>
      <c r="S551" s="16"/>
      <c r="T551" s="16"/>
      <c r="U551" s="16"/>
      <c r="V551" s="16"/>
      <c r="W551" s="16"/>
      <c r="X551" s="16"/>
    </row>
    <row r="552">
      <c r="A552" s="17"/>
      <c r="B552" s="17"/>
      <c r="C552" s="17"/>
      <c r="D552" s="48"/>
      <c r="E552" s="48"/>
      <c r="F552" s="16"/>
      <c r="G552" s="16"/>
      <c r="H552" s="16"/>
      <c r="I552" s="16"/>
      <c r="J552" s="16"/>
      <c r="K552" s="16"/>
      <c r="L552" s="16"/>
      <c r="M552" s="16"/>
      <c r="N552" s="16"/>
      <c r="O552" s="16"/>
      <c r="P552" s="16"/>
      <c r="Q552" s="16"/>
      <c r="R552" s="16"/>
      <c r="S552" s="16"/>
      <c r="T552" s="16"/>
      <c r="U552" s="16"/>
      <c r="V552" s="16"/>
      <c r="W552" s="16"/>
      <c r="X552" s="16"/>
    </row>
    <row r="553">
      <c r="A553" s="17"/>
      <c r="B553" s="17"/>
      <c r="C553" s="17"/>
      <c r="D553" s="48"/>
      <c r="E553" s="48"/>
      <c r="F553" s="16"/>
      <c r="G553" s="16"/>
      <c r="H553" s="16"/>
      <c r="I553" s="16"/>
      <c r="J553" s="16"/>
      <c r="K553" s="16"/>
      <c r="L553" s="16"/>
      <c r="M553" s="16"/>
      <c r="N553" s="16"/>
      <c r="O553" s="16"/>
      <c r="P553" s="16"/>
      <c r="Q553" s="16"/>
      <c r="R553" s="16"/>
      <c r="S553" s="16"/>
      <c r="T553" s="16"/>
      <c r="U553" s="16"/>
      <c r="V553" s="16"/>
      <c r="W553" s="16"/>
      <c r="X553" s="16"/>
    </row>
    <row r="554">
      <c r="A554" s="17"/>
      <c r="B554" s="17"/>
      <c r="C554" s="17"/>
      <c r="D554" s="48"/>
      <c r="E554" s="48"/>
      <c r="F554" s="16"/>
      <c r="G554" s="16"/>
      <c r="H554" s="16"/>
      <c r="I554" s="16"/>
      <c r="J554" s="16"/>
      <c r="K554" s="16"/>
      <c r="L554" s="16"/>
      <c r="M554" s="16"/>
      <c r="N554" s="16"/>
      <c r="O554" s="16"/>
      <c r="P554" s="16"/>
      <c r="Q554" s="16"/>
      <c r="R554" s="16"/>
      <c r="S554" s="16"/>
      <c r="T554" s="16"/>
      <c r="U554" s="16"/>
      <c r="V554" s="16"/>
      <c r="W554" s="16"/>
      <c r="X554" s="16"/>
    </row>
    <row r="555">
      <c r="A555" s="17"/>
      <c r="B555" s="17"/>
      <c r="C555" s="17"/>
      <c r="D555" s="48"/>
      <c r="E555" s="48"/>
      <c r="F555" s="16"/>
      <c r="G555" s="16"/>
      <c r="H555" s="16"/>
      <c r="I555" s="16"/>
      <c r="J555" s="16"/>
      <c r="K555" s="16"/>
      <c r="L555" s="16"/>
      <c r="M555" s="16"/>
      <c r="N555" s="16"/>
      <c r="O555" s="16"/>
      <c r="P555" s="16"/>
      <c r="Q555" s="16"/>
      <c r="R555" s="16"/>
      <c r="S555" s="16"/>
      <c r="T555" s="16"/>
      <c r="U555" s="16"/>
      <c r="V555" s="16"/>
      <c r="W555" s="16"/>
      <c r="X555" s="16"/>
    </row>
    <row r="556">
      <c r="A556" s="17"/>
      <c r="B556" s="17"/>
      <c r="C556" s="17"/>
      <c r="D556" s="48"/>
      <c r="E556" s="48"/>
      <c r="F556" s="16"/>
      <c r="G556" s="16"/>
      <c r="H556" s="16"/>
      <c r="I556" s="16"/>
      <c r="J556" s="16"/>
      <c r="K556" s="16"/>
      <c r="L556" s="16"/>
      <c r="M556" s="16"/>
      <c r="N556" s="16"/>
      <c r="O556" s="16"/>
      <c r="P556" s="16"/>
      <c r="Q556" s="16"/>
      <c r="R556" s="16"/>
      <c r="S556" s="16"/>
      <c r="T556" s="16"/>
      <c r="U556" s="16"/>
      <c r="V556" s="16"/>
      <c r="W556" s="16"/>
      <c r="X556" s="16"/>
    </row>
    <row r="557">
      <c r="A557" s="17"/>
      <c r="B557" s="17"/>
      <c r="C557" s="17"/>
      <c r="D557" s="48"/>
      <c r="E557" s="48"/>
      <c r="F557" s="16"/>
      <c r="G557" s="16"/>
      <c r="H557" s="16"/>
      <c r="I557" s="16"/>
      <c r="J557" s="16"/>
      <c r="K557" s="16"/>
      <c r="L557" s="16"/>
      <c r="M557" s="16"/>
      <c r="N557" s="16"/>
      <c r="O557" s="16"/>
      <c r="P557" s="16"/>
      <c r="Q557" s="16"/>
      <c r="R557" s="16"/>
      <c r="S557" s="16"/>
      <c r="T557" s="16"/>
      <c r="U557" s="16"/>
      <c r="V557" s="16"/>
      <c r="W557" s="16"/>
      <c r="X557" s="16"/>
    </row>
    <row r="558">
      <c r="A558" s="17"/>
      <c r="B558" s="17"/>
      <c r="C558" s="17"/>
      <c r="D558" s="48"/>
      <c r="E558" s="48"/>
      <c r="F558" s="16"/>
      <c r="G558" s="16"/>
      <c r="H558" s="16"/>
      <c r="I558" s="16"/>
      <c r="J558" s="16"/>
      <c r="K558" s="16"/>
      <c r="L558" s="16"/>
      <c r="M558" s="16"/>
      <c r="N558" s="16"/>
      <c r="O558" s="16"/>
      <c r="P558" s="16"/>
      <c r="Q558" s="16"/>
      <c r="R558" s="16"/>
      <c r="S558" s="16"/>
      <c r="T558" s="16"/>
      <c r="U558" s="16"/>
      <c r="V558" s="16"/>
      <c r="W558" s="16"/>
      <c r="X558" s="16"/>
    </row>
    <row r="559">
      <c r="A559" s="17"/>
      <c r="B559" s="17"/>
      <c r="C559" s="17"/>
      <c r="D559" s="48"/>
      <c r="E559" s="48"/>
      <c r="F559" s="16"/>
      <c r="G559" s="16"/>
      <c r="H559" s="16"/>
      <c r="I559" s="16"/>
      <c r="J559" s="16"/>
      <c r="K559" s="16"/>
      <c r="L559" s="16"/>
      <c r="M559" s="16"/>
      <c r="N559" s="16"/>
      <c r="O559" s="16"/>
      <c r="P559" s="16"/>
      <c r="Q559" s="16"/>
      <c r="R559" s="16"/>
      <c r="S559" s="16"/>
      <c r="T559" s="16"/>
      <c r="U559" s="16"/>
      <c r="V559" s="16"/>
      <c r="W559" s="16"/>
      <c r="X559" s="16"/>
    </row>
    <row r="560">
      <c r="A560" s="17"/>
      <c r="B560" s="17"/>
      <c r="C560" s="17"/>
      <c r="D560" s="48"/>
      <c r="E560" s="48"/>
      <c r="F560" s="16"/>
      <c r="G560" s="16"/>
      <c r="H560" s="16"/>
      <c r="I560" s="16"/>
      <c r="J560" s="16"/>
      <c r="K560" s="16"/>
      <c r="L560" s="16"/>
      <c r="M560" s="16"/>
      <c r="N560" s="16"/>
      <c r="O560" s="16"/>
      <c r="P560" s="16"/>
      <c r="Q560" s="16"/>
      <c r="R560" s="16"/>
      <c r="S560" s="16"/>
      <c r="T560" s="16"/>
      <c r="U560" s="16"/>
      <c r="V560" s="16"/>
      <c r="W560" s="16"/>
      <c r="X560" s="16"/>
    </row>
    <row r="561">
      <c r="A561" s="17"/>
      <c r="B561" s="17"/>
      <c r="C561" s="17"/>
      <c r="D561" s="48"/>
      <c r="E561" s="48"/>
      <c r="F561" s="16"/>
      <c r="G561" s="16"/>
      <c r="H561" s="16"/>
      <c r="I561" s="16"/>
      <c r="J561" s="16"/>
      <c r="K561" s="16"/>
      <c r="L561" s="16"/>
      <c r="M561" s="16"/>
      <c r="N561" s="16"/>
      <c r="O561" s="16"/>
      <c r="P561" s="16"/>
      <c r="Q561" s="16"/>
      <c r="R561" s="16"/>
      <c r="S561" s="16"/>
      <c r="T561" s="16"/>
      <c r="U561" s="16"/>
      <c r="V561" s="16"/>
      <c r="W561" s="16"/>
      <c r="X561" s="16"/>
    </row>
    <row r="562">
      <c r="A562" s="17"/>
      <c r="B562" s="17"/>
      <c r="C562" s="17"/>
      <c r="D562" s="48"/>
      <c r="E562" s="48"/>
      <c r="F562" s="16"/>
      <c r="G562" s="16"/>
      <c r="H562" s="16"/>
      <c r="I562" s="16"/>
      <c r="J562" s="16"/>
      <c r="K562" s="16"/>
      <c r="L562" s="16"/>
      <c r="M562" s="16"/>
      <c r="N562" s="16"/>
      <c r="O562" s="16"/>
      <c r="P562" s="16"/>
      <c r="Q562" s="16"/>
      <c r="R562" s="16"/>
      <c r="S562" s="16"/>
      <c r="T562" s="16"/>
      <c r="U562" s="16"/>
      <c r="V562" s="16"/>
      <c r="W562" s="16"/>
      <c r="X562" s="16"/>
    </row>
    <row r="563">
      <c r="A563" s="17"/>
      <c r="B563" s="17"/>
      <c r="C563" s="17"/>
      <c r="D563" s="48"/>
      <c r="E563" s="48"/>
      <c r="F563" s="16"/>
      <c r="G563" s="16"/>
      <c r="H563" s="16"/>
      <c r="I563" s="16"/>
      <c r="J563" s="16"/>
      <c r="K563" s="16"/>
      <c r="L563" s="16"/>
      <c r="M563" s="16"/>
      <c r="N563" s="16"/>
      <c r="O563" s="16"/>
      <c r="P563" s="16"/>
      <c r="Q563" s="16"/>
      <c r="R563" s="16"/>
      <c r="S563" s="16"/>
      <c r="T563" s="16"/>
      <c r="U563" s="16"/>
      <c r="V563" s="16"/>
      <c r="W563" s="16"/>
      <c r="X563" s="16"/>
    </row>
    <row r="564">
      <c r="A564" s="17"/>
      <c r="B564" s="17"/>
      <c r="C564" s="17"/>
      <c r="D564" s="48"/>
      <c r="E564" s="48"/>
      <c r="F564" s="16"/>
      <c r="G564" s="16"/>
      <c r="H564" s="16"/>
      <c r="I564" s="16"/>
      <c r="J564" s="16"/>
      <c r="K564" s="16"/>
      <c r="L564" s="16"/>
      <c r="M564" s="16"/>
      <c r="N564" s="16"/>
      <c r="O564" s="16"/>
      <c r="P564" s="16"/>
      <c r="Q564" s="16"/>
      <c r="R564" s="16"/>
      <c r="S564" s="16"/>
      <c r="T564" s="16"/>
      <c r="U564" s="16"/>
      <c r="V564" s="16"/>
      <c r="W564" s="16"/>
      <c r="X564" s="16"/>
    </row>
    <row r="565">
      <c r="A565" s="17"/>
      <c r="B565" s="17"/>
      <c r="C565" s="17"/>
      <c r="D565" s="48"/>
      <c r="E565" s="48"/>
      <c r="F565" s="16"/>
      <c r="G565" s="16"/>
      <c r="H565" s="16"/>
      <c r="I565" s="16"/>
      <c r="J565" s="16"/>
      <c r="K565" s="16"/>
      <c r="L565" s="16"/>
      <c r="M565" s="16"/>
      <c r="N565" s="16"/>
      <c r="O565" s="16"/>
      <c r="P565" s="16"/>
      <c r="Q565" s="16"/>
      <c r="R565" s="16"/>
      <c r="S565" s="16"/>
      <c r="T565" s="16"/>
      <c r="U565" s="16"/>
      <c r="V565" s="16"/>
      <c r="W565" s="16"/>
      <c r="X565" s="16"/>
    </row>
    <row r="566">
      <c r="A566" s="17"/>
      <c r="B566" s="17"/>
      <c r="C566" s="17"/>
      <c r="D566" s="48"/>
      <c r="E566" s="48"/>
      <c r="F566" s="16"/>
      <c r="G566" s="16"/>
      <c r="H566" s="16"/>
      <c r="I566" s="16"/>
      <c r="J566" s="16"/>
      <c r="K566" s="16"/>
      <c r="L566" s="16"/>
      <c r="M566" s="16"/>
      <c r="N566" s="16"/>
      <c r="O566" s="16"/>
      <c r="P566" s="16"/>
      <c r="Q566" s="16"/>
      <c r="R566" s="16"/>
      <c r="S566" s="16"/>
      <c r="T566" s="16"/>
      <c r="U566" s="16"/>
      <c r="V566" s="16"/>
      <c r="W566" s="16"/>
      <c r="X566" s="16"/>
    </row>
    <row r="567">
      <c r="A567" s="17"/>
      <c r="B567" s="17"/>
      <c r="C567" s="17"/>
      <c r="D567" s="48"/>
      <c r="E567" s="48"/>
      <c r="F567" s="16"/>
      <c r="G567" s="16"/>
      <c r="H567" s="16"/>
      <c r="I567" s="16"/>
      <c r="J567" s="16"/>
      <c r="K567" s="16"/>
      <c r="L567" s="16"/>
      <c r="M567" s="16"/>
      <c r="N567" s="16"/>
      <c r="O567" s="16"/>
      <c r="P567" s="16"/>
      <c r="Q567" s="16"/>
      <c r="R567" s="16"/>
      <c r="S567" s="16"/>
      <c r="T567" s="16"/>
      <c r="U567" s="16"/>
      <c r="V567" s="16"/>
      <c r="W567" s="16"/>
      <c r="X567" s="16"/>
    </row>
    <row r="568">
      <c r="A568" s="17"/>
      <c r="B568" s="17"/>
      <c r="C568" s="17"/>
      <c r="D568" s="48"/>
      <c r="E568" s="48"/>
      <c r="F568" s="16"/>
      <c r="G568" s="16"/>
      <c r="H568" s="16"/>
      <c r="I568" s="16"/>
      <c r="J568" s="16"/>
      <c r="K568" s="16"/>
      <c r="L568" s="16"/>
      <c r="M568" s="16"/>
      <c r="N568" s="16"/>
      <c r="O568" s="16"/>
      <c r="P568" s="16"/>
      <c r="Q568" s="16"/>
      <c r="R568" s="16"/>
      <c r="S568" s="16"/>
      <c r="T568" s="16"/>
      <c r="U568" s="16"/>
      <c r="V568" s="16"/>
      <c r="W568" s="16"/>
      <c r="X568" s="16"/>
    </row>
    <row r="569">
      <c r="A569" s="17"/>
      <c r="B569" s="17"/>
      <c r="C569" s="17"/>
      <c r="D569" s="48"/>
      <c r="E569" s="48"/>
      <c r="F569" s="16"/>
      <c r="G569" s="16"/>
      <c r="H569" s="16"/>
      <c r="I569" s="16"/>
      <c r="J569" s="16"/>
      <c r="K569" s="16"/>
      <c r="L569" s="16"/>
      <c r="M569" s="16"/>
      <c r="N569" s="16"/>
      <c r="O569" s="16"/>
      <c r="P569" s="16"/>
      <c r="Q569" s="16"/>
      <c r="R569" s="16"/>
      <c r="S569" s="16"/>
      <c r="T569" s="16"/>
      <c r="U569" s="16"/>
      <c r="V569" s="16"/>
      <c r="W569" s="16"/>
      <c r="X569" s="16"/>
    </row>
    <row r="570">
      <c r="A570" s="17"/>
      <c r="B570" s="17"/>
      <c r="C570" s="17"/>
      <c r="D570" s="48"/>
      <c r="E570" s="48"/>
      <c r="F570" s="16"/>
      <c r="G570" s="16"/>
      <c r="H570" s="16"/>
      <c r="I570" s="16"/>
      <c r="J570" s="16"/>
      <c r="K570" s="16"/>
      <c r="L570" s="16"/>
      <c r="M570" s="16"/>
      <c r="N570" s="16"/>
      <c r="O570" s="16"/>
      <c r="P570" s="16"/>
      <c r="Q570" s="16"/>
      <c r="R570" s="16"/>
      <c r="S570" s="16"/>
      <c r="T570" s="16"/>
      <c r="U570" s="16"/>
      <c r="V570" s="16"/>
      <c r="W570" s="16"/>
      <c r="X570" s="16"/>
    </row>
    <row r="571">
      <c r="A571" s="17"/>
      <c r="B571" s="17"/>
      <c r="C571" s="17"/>
      <c r="D571" s="48"/>
      <c r="E571" s="48"/>
      <c r="F571" s="16"/>
      <c r="G571" s="16"/>
      <c r="H571" s="16"/>
      <c r="I571" s="16"/>
      <c r="J571" s="16"/>
      <c r="K571" s="16"/>
      <c r="L571" s="16"/>
      <c r="M571" s="16"/>
      <c r="N571" s="16"/>
      <c r="O571" s="16"/>
      <c r="P571" s="16"/>
      <c r="Q571" s="16"/>
      <c r="R571" s="16"/>
      <c r="S571" s="16"/>
      <c r="T571" s="16"/>
      <c r="U571" s="16"/>
      <c r="V571" s="16"/>
      <c r="W571" s="16"/>
      <c r="X571" s="16"/>
    </row>
    <row r="572">
      <c r="A572" s="17"/>
      <c r="B572" s="17"/>
      <c r="C572" s="17"/>
      <c r="D572" s="48"/>
      <c r="E572" s="48"/>
      <c r="F572" s="16"/>
      <c r="G572" s="16"/>
      <c r="H572" s="16"/>
      <c r="I572" s="16"/>
      <c r="J572" s="16"/>
      <c r="K572" s="16"/>
      <c r="L572" s="16"/>
      <c r="M572" s="16"/>
      <c r="N572" s="16"/>
      <c r="O572" s="16"/>
      <c r="P572" s="16"/>
      <c r="Q572" s="16"/>
      <c r="R572" s="16"/>
      <c r="S572" s="16"/>
      <c r="T572" s="16"/>
      <c r="U572" s="16"/>
      <c r="V572" s="16"/>
      <c r="W572" s="16"/>
      <c r="X572" s="16"/>
    </row>
    <row r="573">
      <c r="A573" s="17"/>
      <c r="B573" s="17"/>
      <c r="C573" s="17"/>
      <c r="D573" s="48"/>
      <c r="E573" s="48"/>
      <c r="F573" s="16"/>
      <c r="G573" s="16"/>
      <c r="H573" s="16"/>
      <c r="I573" s="16"/>
      <c r="J573" s="16"/>
      <c r="K573" s="16"/>
      <c r="L573" s="16"/>
      <c r="M573" s="16"/>
      <c r="N573" s="16"/>
      <c r="O573" s="16"/>
      <c r="P573" s="16"/>
      <c r="Q573" s="16"/>
      <c r="R573" s="16"/>
      <c r="S573" s="16"/>
      <c r="T573" s="16"/>
      <c r="U573" s="16"/>
      <c r="V573" s="16"/>
      <c r="W573" s="16"/>
      <c r="X573" s="16"/>
    </row>
    <row r="574">
      <c r="A574" s="17"/>
      <c r="B574" s="17"/>
      <c r="C574" s="17"/>
      <c r="D574" s="48"/>
      <c r="E574" s="48"/>
      <c r="F574" s="16"/>
      <c r="G574" s="16"/>
      <c r="H574" s="16"/>
      <c r="I574" s="16"/>
      <c r="J574" s="16"/>
      <c r="K574" s="16"/>
      <c r="L574" s="16"/>
      <c r="M574" s="16"/>
      <c r="N574" s="16"/>
      <c r="O574" s="16"/>
      <c r="P574" s="16"/>
      <c r="Q574" s="16"/>
      <c r="R574" s="16"/>
      <c r="S574" s="16"/>
      <c r="T574" s="16"/>
      <c r="U574" s="16"/>
      <c r="V574" s="16"/>
      <c r="W574" s="16"/>
      <c r="X574" s="16"/>
    </row>
    <row r="575">
      <c r="A575" s="17"/>
      <c r="B575" s="17"/>
      <c r="C575" s="17"/>
      <c r="D575" s="48"/>
      <c r="E575" s="48"/>
      <c r="F575" s="16"/>
      <c r="G575" s="16"/>
      <c r="H575" s="16"/>
      <c r="I575" s="16"/>
      <c r="J575" s="16"/>
      <c r="K575" s="16"/>
      <c r="L575" s="16"/>
      <c r="M575" s="16"/>
      <c r="N575" s="16"/>
      <c r="O575" s="16"/>
      <c r="P575" s="16"/>
      <c r="Q575" s="16"/>
      <c r="R575" s="16"/>
      <c r="S575" s="16"/>
      <c r="T575" s="16"/>
      <c r="U575" s="16"/>
      <c r="V575" s="16"/>
      <c r="W575" s="16"/>
      <c r="X575" s="16"/>
    </row>
    <row r="576">
      <c r="A576" s="17"/>
      <c r="B576" s="17"/>
      <c r="C576" s="17"/>
      <c r="D576" s="48"/>
      <c r="E576" s="48"/>
      <c r="F576" s="16"/>
      <c r="G576" s="16"/>
      <c r="H576" s="16"/>
      <c r="I576" s="16"/>
      <c r="J576" s="16"/>
      <c r="K576" s="16"/>
      <c r="L576" s="16"/>
      <c r="M576" s="16"/>
      <c r="N576" s="16"/>
      <c r="O576" s="16"/>
      <c r="P576" s="16"/>
      <c r="Q576" s="16"/>
      <c r="R576" s="16"/>
      <c r="S576" s="16"/>
      <c r="T576" s="16"/>
      <c r="U576" s="16"/>
      <c r="V576" s="16"/>
      <c r="W576" s="16"/>
      <c r="X576" s="16"/>
    </row>
    <row r="577">
      <c r="A577" s="17"/>
      <c r="B577" s="17"/>
      <c r="C577" s="17"/>
      <c r="D577" s="48"/>
      <c r="E577" s="48"/>
      <c r="F577" s="16"/>
      <c r="G577" s="16"/>
      <c r="H577" s="16"/>
      <c r="I577" s="16"/>
      <c r="J577" s="16"/>
      <c r="K577" s="16"/>
      <c r="L577" s="16"/>
      <c r="M577" s="16"/>
      <c r="N577" s="16"/>
      <c r="O577" s="16"/>
      <c r="P577" s="16"/>
      <c r="Q577" s="16"/>
      <c r="R577" s="16"/>
      <c r="S577" s="16"/>
      <c r="T577" s="16"/>
      <c r="U577" s="16"/>
      <c r="V577" s="16"/>
      <c r="W577" s="16"/>
      <c r="X577" s="16"/>
    </row>
    <row r="578">
      <c r="A578" s="17"/>
      <c r="B578" s="17"/>
      <c r="C578" s="17"/>
      <c r="D578" s="48"/>
      <c r="E578" s="48"/>
      <c r="F578" s="16"/>
      <c r="G578" s="16"/>
      <c r="H578" s="16"/>
      <c r="I578" s="16"/>
      <c r="J578" s="16"/>
      <c r="K578" s="16"/>
      <c r="L578" s="16"/>
      <c r="M578" s="16"/>
      <c r="N578" s="16"/>
      <c r="O578" s="16"/>
      <c r="P578" s="16"/>
      <c r="Q578" s="16"/>
      <c r="R578" s="16"/>
      <c r="S578" s="16"/>
      <c r="T578" s="16"/>
      <c r="U578" s="16"/>
      <c r="V578" s="16"/>
      <c r="W578" s="16"/>
      <c r="X578" s="16"/>
    </row>
    <row r="579">
      <c r="A579" s="17"/>
      <c r="B579" s="17"/>
      <c r="C579" s="17"/>
      <c r="D579" s="48"/>
      <c r="E579" s="48"/>
      <c r="F579" s="16"/>
      <c r="G579" s="16"/>
      <c r="H579" s="16"/>
      <c r="I579" s="16"/>
      <c r="J579" s="16"/>
      <c r="K579" s="16"/>
      <c r="L579" s="16"/>
      <c r="M579" s="16"/>
      <c r="N579" s="16"/>
      <c r="O579" s="16"/>
      <c r="P579" s="16"/>
      <c r="Q579" s="16"/>
      <c r="R579" s="16"/>
      <c r="S579" s="16"/>
      <c r="T579" s="16"/>
      <c r="U579" s="16"/>
      <c r="V579" s="16"/>
      <c r="W579" s="16"/>
      <c r="X579" s="16"/>
    </row>
    <row r="580">
      <c r="A580" s="17"/>
      <c r="B580" s="17"/>
      <c r="C580" s="17"/>
      <c r="D580" s="48"/>
      <c r="E580" s="48"/>
      <c r="F580" s="16"/>
      <c r="G580" s="16"/>
      <c r="H580" s="16"/>
      <c r="I580" s="16"/>
      <c r="J580" s="16"/>
      <c r="K580" s="16"/>
      <c r="L580" s="16"/>
      <c r="M580" s="16"/>
      <c r="N580" s="16"/>
      <c r="O580" s="16"/>
      <c r="P580" s="16"/>
      <c r="Q580" s="16"/>
      <c r="R580" s="16"/>
      <c r="S580" s="16"/>
      <c r="T580" s="16"/>
      <c r="U580" s="16"/>
      <c r="V580" s="16"/>
      <c r="W580" s="16"/>
      <c r="X580" s="16"/>
    </row>
    <row r="581">
      <c r="A581" s="17"/>
      <c r="B581" s="17"/>
      <c r="C581" s="17"/>
      <c r="D581" s="48"/>
      <c r="E581" s="48"/>
      <c r="F581" s="16"/>
      <c r="G581" s="16"/>
      <c r="H581" s="16"/>
      <c r="I581" s="16"/>
      <c r="J581" s="16"/>
      <c r="K581" s="16"/>
      <c r="L581" s="16"/>
      <c r="M581" s="16"/>
      <c r="N581" s="16"/>
      <c r="O581" s="16"/>
      <c r="P581" s="16"/>
      <c r="Q581" s="16"/>
      <c r="R581" s="16"/>
      <c r="S581" s="16"/>
      <c r="T581" s="16"/>
      <c r="U581" s="16"/>
      <c r="V581" s="16"/>
      <c r="W581" s="16"/>
      <c r="X581" s="16"/>
    </row>
    <row r="582">
      <c r="A582" s="17"/>
      <c r="B582" s="17"/>
      <c r="C582" s="17"/>
      <c r="D582" s="48"/>
      <c r="E582" s="48"/>
      <c r="F582" s="16"/>
      <c r="G582" s="16"/>
      <c r="H582" s="16"/>
      <c r="I582" s="16"/>
      <c r="J582" s="16"/>
      <c r="K582" s="16"/>
      <c r="L582" s="16"/>
      <c r="M582" s="16"/>
      <c r="N582" s="16"/>
      <c r="O582" s="16"/>
      <c r="P582" s="16"/>
      <c r="Q582" s="16"/>
      <c r="R582" s="16"/>
      <c r="S582" s="16"/>
      <c r="T582" s="16"/>
      <c r="U582" s="16"/>
      <c r="V582" s="16"/>
      <c r="W582" s="16"/>
      <c r="X582" s="16"/>
    </row>
    <row r="583">
      <c r="A583" s="17"/>
      <c r="B583" s="17"/>
      <c r="C583" s="17"/>
      <c r="D583" s="48"/>
      <c r="E583" s="48"/>
      <c r="F583" s="16"/>
      <c r="G583" s="16"/>
      <c r="H583" s="16"/>
      <c r="I583" s="16"/>
      <c r="J583" s="16"/>
      <c r="K583" s="16"/>
      <c r="L583" s="16"/>
      <c r="M583" s="16"/>
      <c r="N583" s="16"/>
      <c r="O583" s="16"/>
      <c r="P583" s="16"/>
      <c r="Q583" s="16"/>
      <c r="R583" s="16"/>
      <c r="S583" s="16"/>
      <c r="T583" s="16"/>
      <c r="U583" s="16"/>
      <c r="V583" s="16"/>
      <c r="W583" s="16"/>
      <c r="X583" s="16"/>
    </row>
    <row r="584">
      <c r="A584" s="17"/>
      <c r="B584" s="17"/>
      <c r="C584" s="17"/>
      <c r="D584" s="48"/>
      <c r="E584" s="48"/>
      <c r="F584" s="16"/>
      <c r="G584" s="16"/>
      <c r="H584" s="16"/>
      <c r="I584" s="16"/>
      <c r="J584" s="16"/>
      <c r="K584" s="16"/>
      <c r="L584" s="16"/>
      <c r="M584" s="16"/>
      <c r="N584" s="16"/>
      <c r="O584" s="16"/>
      <c r="P584" s="16"/>
      <c r="Q584" s="16"/>
      <c r="R584" s="16"/>
      <c r="S584" s="16"/>
      <c r="T584" s="16"/>
      <c r="U584" s="16"/>
      <c r="V584" s="16"/>
      <c r="W584" s="16"/>
      <c r="X584" s="16"/>
    </row>
    <row r="585">
      <c r="A585" s="17"/>
      <c r="B585" s="17"/>
      <c r="C585" s="17"/>
      <c r="D585" s="48"/>
      <c r="E585" s="48"/>
      <c r="F585" s="16"/>
      <c r="G585" s="16"/>
      <c r="H585" s="16"/>
      <c r="I585" s="16"/>
      <c r="J585" s="16"/>
      <c r="K585" s="16"/>
      <c r="L585" s="16"/>
      <c r="M585" s="16"/>
      <c r="N585" s="16"/>
      <c r="O585" s="16"/>
      <c r="P585" s="16"/>
      <c r="Q585" s="16"/>
      <c r="R585" s="16"/>
      <c r="S585" s="16"/>
      <c r="T585" s="16"/>
      <c r="U585" s="16"/>
      <c r="V585" s="16"/>
      <c r="W585" s="16"/>
      <c r="X585" s="16"/>
    </row>
    <row r="586">
      <c r="A586" s="17"/>
      <c r="B586" s="17"/>
      <c r="C586" s="17"/>
      <c r="D586" s="48"/>
      <c r="E586" s="48"/>
      <c r="F586" s="16"/>
      <c r="G586" s="16"/>
      <c r="H586" s="16"/>
      <c r="I586" s="16"/>
      <c r="J586" s="16"/>
      <c r="K586" s="16"/>
      <c r="L586" s="16"/>
      <c r="M586" s="16"/>
      <c r="N586" s="16"/>
      <c r="O586" s="16"/>
      <c r="P586" s="16"/>
      <c r="Q586" s="16"/>
      <c r="R586" s="16"/>
      <c r="S586" s="16"/>
      <c r="T586" s="16"/>
      <c r="U586" s="16"/>
      <c r="V586" s="16"/>
      <c r="W586" s="16"/>
      <c r="X586" s="16"/>
    </row>
    <row r="587">
      <c r="A587" s="17"/>
      <c r="B587" s="17"/>
      <c r="C587" s="17"/>
      <c r="D587" s="48"/>
      <c r="E587" s="48"/>
      <c r="F587" s="16"/>
      <c r="G587" s="16"/>
      <c r="H587" s="16"/>
      <c r="I587" s="16"/>
      <c r="J587" s="16"/>
      <c r="K587" s="16"/>
      <c r="L587" s="16"/>
      <c r="M587" s="16"/>
      <c r="N587" s="16"/>
      <c r="O587" s="16"/>
      <c r="P587" s="16"/>
      <c r="Q587" s="16"/>
      <c r="R587" s="16"/>
      <c r="S587" s="16"/>
      <c r="T587" s="16"/>
      <c r="U587" s="16"/>
      <c r="V587" s="16"/>
      <c r="W587" s="16"/>
      <c r="X587" s="16"/>
    </row>
    <row r="588">
      <c r="A588" s="17"/>
      <c r="B588" s="17"/>
      <c r="C588" s="17"/>
      <c r="D588" s="48"/>
      <c r="E588" s="48"/>
      <c r="F588" s="16"/>
      <c r="G588" s="16"/>
      <c r="H588" s="16"/>
      <c r="I588" s="16"/>
      <c r="J588" s="16"/>
      <c r="K588" s="16"/>
      <c r="L588" s="16"/>
      <c r="M588" s="16"/>
      <c r="N588" s="16"/>
      <c r="O588" s="16"/>
      <c r="P588" s="16"/>
      <c r="Q588" s="16"/>
      <c r="R588" s="16"/>
      <c r="S588" s="16"/>
      <c r="T588" s="16"/>
      <c r="U588" s="16"/>
      <c r="V588" s="16"/>
      <c r="W588" s="16"/>
      <c r="X588" s="16"/>
    </row>
    <row r="589">
      <c r="A589" s="17"/>
      <c r="B589" s="17"/>
      <c r="C589" s="17"/>
      <c r="D589" s="48"/>
      <c r="E589" s="48"/>
      <c r="F589" s="16"/>
      <c r="G589" s="16"/>
      <c r="H589" s="16"/>
      <c r="I589" s="16"/>
      <c r="J589" s="16"/>
      <c r="K589" s="16"/>
      <c r="L589" s="16"/>
      <c r="M589" s="16"/>
      <c r="N589" s="16"/>
      <c r="O589" s="16"/>
      <c r="P589" s="16"/>
      <c r="Q589" s="16"/>
      <c r="R589" s="16"/>
      <c r="S589" s="16"/>
      <c r="T589" s="16"/>
      <c r="U589" s="16"/>
      <c r="V589" s="16"/>
      <c r="W589" s="16"/>
      <c r="X589" s="16"/>
    </row>
    <row r="590">
      <c r="A590" s="17"/>
      <c r="B590" s="17"/>
      <c r="C590" s="17"/>
      <c r="D590" s="48"/>
      <c r="E590" s="48"/>
      <c r="F590" s="16"/>
      <c r="G590" s="16"/>
      <c r="H590" s="16"/>
      <c r="I590" s="16"/>
      <c r="J590" s="16"/>
      <c r="K590" s="16"/>
      <c r="L590" s="16"/>
      <c r="M590" s="16"/>
      <c r="N590" s="16"/>
      <c r="O590" s="16"/>
      <c r="P590" s="16"/>
      <c r="Q590" s="16"/>
      <c r="R590" s="16"/>
      <c r="S590" s="16"/>
      <c r="T590" s="16"/>
      <c r="U590" s="16"/>
      <c r="V590" s="16"/>
      <c r="W590" s="16"/>
      <c r="X590" s="16"/>
    </row>
    <row r="591">
      <c r="A591" s="17"/>
      <c r="B591" s="17"/>
      <c r="C591" s="17"/>
      <c r="D591" s="48"/>
      <c r="E591" s="48"/>
      <c r="F591" s="16"/>
      <c r="G591" s="16"/>
      <c r="H591" s="16"/>
      <c r="I591" s="16"/>
      <c r="J591" s="16"/>
      <c r="K591" s="16"/>
      <c r="L591" s="16"/>
      <c r="M591" s="16"/>
      <c r="N591" s="16"/>
      <c r="O591" s="16"/>
      <c r="P591" s="16"/>
      <c r="Q591" s="16"/>
      <c r="R591" s="16"/>
      <c r="S591" s="16"/>
      <c r="T591" s="16"/>
      <c r="U591" s="16"/>
      <c r="V591" s="16"/>
      <c r="W591" s="16"/>
      <c r="X591" s="16"/>
    </row>
    <row r="592">
      <c r="A592" s="17"/>
      <c r="B592" s="17"/>
      <c r="C592" s="17"/>
      <c r="D592" s="48"/>
      <c r="E592" s="48"/>
      <c r="F592" s="16"/>
      <c r="G592" s="16"/>
      <c r="H592" s="16"/>
      <c r="I592" s="16"/>
      <c r="J592" s="16"/>
      <c r="K592" s="16"/>
      <c r="L592" s="16"/>
      <c r="M592" s="16"/>
      <c r="N592" s="16"/>
      <c r="O592" s="16"/>
      <c r="P592" s="16"/>
      <c r="Q592" s="16"/>
      <c r="R592" s="16"/>
      <c r="S592" s="16"/>
      <c r="T592" s="16"/>
      <c r="U592" s="16"/>
      <c r="V592" s="16"/>
      <c r="W592" s="16"/>
      <c r="X592" s="16"/>
    </row>
    <row r="593">
      <c r="A593" s="17"/>
      <c r="B593" s="17"/>
      <c r="C593" s="17"/>
      <c r="D593" s="48"/>
      <c r="E593" s="48"/>
      <c r="F593" s="16"/>
      <c r="G593" s="16"/>
      <c r="H593" s="16"/>
      <c r="I593" s="16"/>
      <c r="J593" s="16"/>
      <c r="K593" s="16"/>
      <c r="L593" s="16"/>
      <c r="M593" s="16"/>
      <c r="N593" s="16"/>
      <c r="O593" s="16"/>
      <c r="P593" s="16"/>
      <c r="Q593" s="16"/>
      <c r="R593" s="16"/>
      <c r="S593" s="16"/>
      <c r="T593" s="16"/>
      <c r="U593" s="16"/>
      <c r="V593" s="16"/>
      <c r="W593" s="16"/>
      <c r="X593" s="16"/>
    </row>
    <row r="594">
      <c r="A594" s="17"/>
      <c r="B594" s="17"/>
      <c r="C594" s="17"/>
      <c r="D594" s="48"/>
      <c r="E594" s="48"/>
      <c r="F594" s="16"/>
      <c r="G594" s="16"/>
      <c r="H594" s="16"/>
      <c r="I594" s="16"/>
      <c r="J594" s="16"/>
      <c r="K594" s="16"/>
      <c r="L594" s="16"/>
      <c r="M594" s="16"/>
      <c r="N594" s="16"/>
      <c r="O594" s="16"/>
      <c r="P594" s="16"/>
      <c r="Q594" s="16"/>
      <c r="R594" s="16"/>
      <c r="S594" s="16"/>
      <c r="T594" s="16"/>
      <c r="U594" s="16"/>
      <c r="V594" s="16"/>
      <c r="W594" s="16"/>
      <c r="X594" s="16"/>
    </row>
    <row r="595">
      <c r="A595" s="17"/>
      <c r="B595" s="17"/>
      <c r="C595" s="17"/>
      <c r="D595" s="48"/>
      <c r="E595" s="48"/>
      <c r="F595" s="16"/>
      <c r="G595" s="16"/>
      <c r="H595" s="16"/>
      <c r="I595" s="16"/>
      <c r="J595" s="16"/>
      <c r="K595" s="16"/>
      <c r="L595" s="16"/>
      <c r="M595" s="16"/>
      <c r="N595" s="16"/>
      <c r="O595" s="16"/>
      <c r="P595" s="16"/>
      <c r="Q595" s="16"/>
      <c r="R595" s="16"/>
      <c r="S595" s="16"/>
      <c r="T595" s="16"/>
      <c r="U595" s="16"/>
      <c r="V595" s="16"/>
      <c r="W595" s="16"/>
      <c r="X595" s="16"/>
    </row>
    <row r="596">
      <c r="A596" s="17"/>
      <c r="B596" s="17"/>
      <c r="C596" s="17"/>
      <c r="D596" s="48"/>
      <c r="E596" s="48"/>
      <c r="F596" s="16"/>
      <c r="G596" s="16"/>
      <c r="H596" s="16"/>
      <c r="I596" s="16"/>
      <c r="J596" s="16"/>
      <c r="K596" s="16"/>
      <c r="L596" s="16"/>
      <c r="M596" s="16"/>
      <c r="N596" s="16"/>
      <c r="O596" s="16"/>
      <c r="P596" s="16"/>
      <c r="Q596" s="16"/>
      <c r="R596" s="16"/>
      <c r="S596" s="16"/>
      <c r="T596" s="16"/>
      <c r="U596" s="16"/>
      <c r="V596" s="16"/>
      <c r="W596" s="16"/>
      <c r="X596" s="16"/>
    </row>
    <row r="597">
      <c r="A597" s="17"/>
      <c r="B597" s="17"/>
      <c r="C597" s="17"/>
      <c r="D597" s="48"/>
      <c r="E597" s="48"/>
      <c r="F597" s="16"/>
      <c r="G597" s="16"/>
      <c r="H597" s="16"/>
      <c r="I597" s="16"/>
      <c r="J597" s="16"/>
      <c r="K597" s="16"/>
      <c r="L597" s="16"/>
      <c r="M597" s="16"/>
      <c r="N597" s="16"/>
      <c r="O597" s="16"/>
      <c r="P597" s="16"/>
      <c r="Q597" s="16"/>
      <c r="R597" s="16"/>
      <c r="S597" s="16"/>
      <c r="T597" s="16"/>
      <c r="U597" s="16"/>
      <c r="V597" s="16"/>
      <c r="W597" s="16"/>
      <c r="X597" s="16"/>
    </row>
    <row r="598">
      <c r="A598" s="17"/>
      <c r="B598" s="17"/>
      <c r="C598" s="17"/>
      <c r="D598" s="48"/>
      <c r="E598" s="48"/>
      <c r="F598" s="16"/>
      <c r="G598" s="16"/>
      <c r="H598" s="16"/>
      <c r="I598" s="16"/>
      <c r="J598" s="16"/>
      <c r="K598" s="16"/>
      <c r="L598" s="16"/>
      <c r="M598" s="16"/>
      <c r="N598" s="16"/>
      <c r="O598" s="16"/>
      <c r="P598" s="16"/>
      <c r="Q598" s="16"/>
      <c r="R598" s="16"/>
      <c r="S598" s="16"/>
      <c r="T598" s="16"/>
      <c r="U598" s="16"/>
      <c r="V598" s="16"/>
      <c r="W598" s="16"/>
      <c r="X598" s="16"/>
    </row>
    <row r="599">
      <c r="A599" s="17"/>
      <c r="B599" s="17"/>
      <c r="C599" s="17"/>
      <c r="D599" s="48"/>
      <c r="E599" s="48"/>
      <c r="F599" s="16"/>
      <c r="G599" s="16"/>
      <c r="H599" s="16"/>
      <c r="I599" s="16"/>
      <c r="J599" s="16"/>
      <c r="K599" s="16"/>
      <c r="L599" s="16"/>
      <c r="M599" s="16"/>
      <c r="N599" s="16"/>
      <c r="O599" s="16"/>
      <c r="P599" s="16"/>
      <c r="Q599" s="16"/>
      <c r="R599" s="16"/>
      <c r="S599" s="16"/>
      <c r="T599" s="16"/>
      <c r="U599" s="16"/>
      <c r="V599" s="16"/>
      <c r="W599" s="16"/>
      <c r="X599" s="16"/>
    </row>
    <row r="600">
      <c r="A600" s="17"/>
      <c r="B600" s="17"/>
      <c r="C600" s="17"/>
      <c r="D600" s="48"/>
      <c r="E600" s="48"/>
      <c r="F600" s="16"/>
      <c r="G600" s="16"/>
      <c r="H600" s="16"/>
      <c r="I600" s="16"/>
      <c r="J600" s="16"/>
      <c r="K600" s="16"/>
      <c r="L600" s="16"/>
      <c r="M600" s="16"/>
      <c r="N600" s="16"/>
      <c r="O600" s="16"/>
      <c r="P600" s="16"/>
      <c r="Q600" s="16"/>
      <c r="R600" s="16"/>
      <c r="S600" s="16"/>
      <c r="T600" s="16"/>
      <c r="U600" s="16"/>
      <c r="V600" s="16"/>
      <c r="W600" s="16"/>
      <c r="X600" s="16"/>
    </row>
    <row r="601">
      <c r="A601" s="17"/>
      <c r="B601" s="17"/>
      <c r="C601" s="17"/>
      <c r="D601" s="48"/>
      <c r="E601" s="48"/>
      <c r="F601" s="16"/>
      <c r="G601" s="16"/>
      <c r="H601" s="16"/>
      <c r="I601" s="16"/>
      <c r="J601" s="16"/>
      <c r="K601" s="16"/>
      <c r="L601" s="16"/>
      <c r="M601" s="16"/>
      <c r="N601" s="16"/>
      <c r="O601" s="16"/>
      <c r="P601" s="16"/>
      <c r="Q601" s="16"/>
      <c r="R601" s="16"/>
      <c r="S601" s="16"/>
      <c r="T601" s="16"/>
      <c r="U601" s="16"/>
      <c r="V601" s="16"/>
      <c r="W601" s="16"/>
      <c r="X601" s="16"/>
    </row>
    <row r="602">
      <c r="A602" s="17"/>
      <c r="B602" s="17"/>
      <c r="C602" s="17"/>
      <c r="D602" s="48"/>
      <c r="E602" s="48"/>
      <c r="F602" s="16"/>
      <c r="G602" s="16"/>
      <c r="H602" s="16"/>
      <c r="I602" s="16"/>
      <c r="J602" s="16"/>
      <c r="K602" s="16"/>
      <c r="L602" s="16"/>
      <c r="M602" s="16"/>
      <c r="N602" s="16"/>
      <c r="O602" s="16"/>
      <c r="P602" s="16"/>
      <c r="Q602" s="16"/>
      <c r="R602" s="16"/>
      <c r="S602" s="16"/>
      <c r="T602" s="16"/>
      <c r="U602" s="16"/>
      <c r="V602" s="16"/>
      <c r="W602" s="16"/>
      <c r="X602" s="16"/>
    </row>
    <row r="603">
      <c r="A603" s="17"/>
      <c r="B603" s="17"/>
      <c r="C603" s="17"/>
      <c r="D603" s="48"/>
      <c r="E603" s="48"/>
      <c r="F603" s="16"/>
      <c r="G603" s="16"/>
      <c r="H603" s="16"/>
      <c r="I603" s="16"/>
      <c r="J603" s="16"/>
      <c r="K603" s="16"/>
      <c r="L603" s="16"/>
      <c r="M603" s="16"/>
      <c r="N603" s="16"/>
      <c r="O603" s="16"/>
      <c r="P603" s="16"/>
      <c r="Q603" s="16"/>
      <c r="R603" s="16"/>
      <c r="S603" s="16"/>
      <c r="T603" s="16"/>
      <c r="U603" s="16"/>
      <c r="V603" s="16"/>
      <c r="W603" s="16"/>
      <c r="X603" s="16"/>
    </row>
    <row r="604">
      <c r="A604" s="17"/>
      <c r="B604" s="17"/>
      <c r="C604" s="17"/>
      <c r="D604" s="48"/>
      <c r="E604" s="48"/>
      <c r="F604" s="16"/>
      <c r="G604" s="16"/>
      <c r="H604" s="16"/>
      <c r="I604" s="16"/>
      <c r="J604" s="16"/>
      <c r="K604" s="16"/>
      <c r="L604" s="16"/>
      <c r="M604" s="16"/>
      <c r="N604" s="16"/>
      <c r="O604" s="16"/>
      <c r="P604" s="16"/>
      <c r="Q604" s="16"/>
      <c r="R604" s="16"/>
      <c r="S604" s="16"/>
      <c r="T604" s="16"/>
      <c r="U604" s="16"/>
      <c r="V604" s="16"/>
      <c r="W604" s="16"/>
      <c r="X604" s="16"/>
    </row>
    <row r="605">
      <c r="A605" s="17"/>
      <c r="B605" s="17"/>
      <c r="C605" s="17"/>
      <c r="D605" s="48"/>
      <c r="E605" s="48"/>
      <c r="F605" s="16"/>
      <c r="G605" s="16"/>
      <c r="H605" s="16"/>
      <c r="I605" s="16"/>
      <c r="J605" s="16"/>
      <c r="K605" s="16"/>
      <c r="L605" s="16"/>
      <c r="M605" s="16"/>
      <c r="N605" s="16"/>
      <c r="O605" s="16"/>
      <c r="P605" s="16"/>
      <c r="Q605" s="16"/>
      <c r="R605" s="16"/>
      <c r="S605" s="16"/>
      <c r="T605" s="16"/>
      <c r="U605" s="16"/>
      <c r="V605" s="16"/>
      <c r="W605" s="16"/>
      <c r="X605" s="16"/>
    </row>
    <row r="606">
      <c r="A606" s="17"/>
      <c r="B606" s="17"/>
      <c r="C606" s="17"/>
      <c r="D606" s="48"/>
      <c r="E606" s="48"/>
      <c r="F606" s="16"/>
      <c r="G606" s="16"/>
      <c r="H606" s="16"/>
      <c r="I606" s="16"/>
      <c r="J606" s="16"/>
      <c r="K606" s="16"/>
      <c r="L606" s="16"/>
      <c r="M606" s="16"/>
      <c r="N606" s="16"/>
      <c r="O606" s="16"/>
      <c r="P606" s="16"/>
      <c r="Q606" s="16"/>
      <c r="R606" s="16"/>
      <c r="S606" s="16"/>
      <c r="T606" s="16"/>
      <c r="U606" s="16"/>
      <c r="V606" s="16"/>
      <c r="W606" s="16"/>
      <c r="X606" s="16"/>
    </row>
    <row r="607">
      <c r="A607" s="17"/>
      <c r="B607" s="17"/>
      <c r="C607" s="17"/>
      <c r="D607" s="48"/>
      <c r="E607" s="48"/>
      <c r="F607" s="16"/>
      <c r="G607" s="16"/>
      <c r="H607" s="16"/>
      <c r="I607" s="16"/>
      <c r="J607" s="16"/>
      <c r="K607" s="16"/>
      <c r="L607" s="16"/>
      <c r="M607" s="16"/>
      <c r="N607" s="16"/>
      <c r="O607" s="16"/>
      <c r="P607" s="16"/>
      <c r="Q607" s="16"/>
      <c r="R607" s="16"/>
      <c r="S607" s="16"/>
      <c r="T607" s="16"/>
      <c r="U607" s="16"/>
      <c r="V607" s="16"/>
      <c r="W607" s="16"/>
      <c r="X607" s="16"/>
    </row>
    <row r="608">
      <c r="A608" s="17"/>
      <c r="B608" s="17"/>
      <c r="C608" s="17"/>
      <c r="D608" s="48"/>
      <c r="E608" s="48"/>
      <c r="F608" s="16"/>
      <c r="G608" s="16"/>
      <c r="H608" s="16"/>
      <c r="I608" s="16"/>
      <c r="J608" s="16"/>
      <c r="K608" s="16"/>
      <c r="L608" s="16"/>
      <c r="M608" s="16"/>
      <c r="N608" s="16"/>
      <c r="O608" s="16"/>
      <c r="P608" s="16"/>
      <c r="Q608" s="16"/>
      <c r="R608" s="16"/>
      <c r="S608" s="16"/>
      <c r="T608" s="16"/>
      <c r="U608" s="16"/>
      <c r="V608" s="16"/>
      <c r="W608" s="16"/>
      <c r="X608" s="16"/>
    </row>
    <row r="609">
      <c r="A609" s="17"/>
      <c r="B609" s="17"/>
      <c r="C609" s="17"/>
      <c r="D609" s="48"/>
      <c r="E609" s="48"/>
      <c r="F609" s="16"/>
      <c r="G609" s="16"/>
      <c r="H609" s="16"/>
      <c r="I609" s="16"/>
      <c r="J609" s="16"/>
      <c r="K609" s="16"/>
      <c r="L609" s="16"/>
      <c r="M609" s="16"/>
      <c r="N609" s="16"/>
      <c r="O609" s="16"/>
      <c r="P609" s="16"/>
      <c r="Q609" s="16"/>
      <c r="R609" s="16"/>
      <c r="S609" s="16"/>
      <c r="T609" s="16"/>
      <c r="U609" s="16"/>
      <c r="V609" s="16"/>
      <c r="W609" s="16"/>
      <c r="X609" s="16"/>
    </row>
    <row r="610">
      <c r="A610" s="17"/>
      <c r="B610" s="17"/>
      <c r="C610" s="17"/>
      <c r="D610" s="48"/>
      <c r="E610" s="48"/>
      <c r="F610" s="16"/>
      <c r="G610" s="16"/>
      <c r="H610" s="16"/>
      <c r="I610" s="16"/>
      <c r="J610" s="16"/>
      <c r="K610" s="16"/>
      <c r="L610" s="16"/>
      <c r="M610" s="16"/>
      <c r="N610" s="16"/>
      <c r="O610" s="16"/>
      <c r="P610" s="16"/>
      <c r="Q610" s="16"/>
      <c r="R610" s="16"/>
      <c r="S610" s="16"/>
      <c r="T610" s="16"/>
      <c r="U610" s="16"/>
      <c r="V610" s="16"/>
      <c r="W610" s="16"/>
      <c r="X610" s="16"/>
    </row>
    <row r="611">
      <c r="A611" s="17"/>
      <c r="B611" s="17"/>
      <c r="C611" s="17"/>
      <c r="D611" s="48"/>
      <c r="E611" s="48"/>
      <c r="F611" s="16"/>
      <c r="G611" s="16"/>
      <c r="H611" s="16"/>
      <c r="I611" s="16"/>
      <c r="J611" s="16"/>
      <c r="K611" s="16"/>
      <c r="L611" s="16"/>
      <c r="M611" s="16"/>
      <c r="N611" s="16"/>
      <c r="O611" s="16"/>
      <c r="P611" s="16"/>
      <c r="Q611" s="16"/>
      <c r="R611" s="16"/>
      <c r="S611" s="16"/>
      <c r="T611" s="16"/>
      <c r="U611" s="16"/>
      <c r="V611" s="16"/>
      <c r="W611" s="16"/>
      <c r="X611" s="16"/>
    </row>
    <row r="612">
      <c r="A612" s="17"/>
      <c r="B612" s="17"/>
      <c r="C612" s="17"/>
      <c r="D612" s="48"/>
      <c r="E612" s="48"/>
      <c r="F612" s="16"/>
      <c r="G612" s="16"/>
      <c r="H612" s="16"/>
      <c r="I612" s="16"/>
      <c r="J612" s="16"/>
      <c r="K612" s="16"/>
      <c r="L612" s="16"/>
      <c r="M612" s="16"/>
      <c r="N612" s="16"/>
      <c r="O612" s="16"/>
      <c r="P612" s="16"/>
      <c r="Q612" s="16"/>
      <c r="R612" s="16"/>
      <c r="S612" s="16"/>
      <c r="T612" s="16"/>
      <c r="U612" s="16"/>
      <c r="V612" s="16"/>
      <c r="W612" s="16"/>
      <c r="X612" s="16"/>
    </row>
    <row r="613">
      <c r="A613" s="17"/>
      <c r="B613" s="17"/>
      <c r="C613" s="17"/>
      <c r="D613" s="48"/>
      <c r="E613" s="48"/>
      <c r="F613" s="16"/>
      <c r="G613" s="16"/>
      <c r="H613" s="16"/>
      <c r="I613" s="16"/>
      <c r="J613" s="16"/>
      <c r="K613" s="16"/>
      <c r="L613" s="16"/>
      <c r="M613" s="16"/>
      <c r="N613" s="16"/>
      <c r="O613" s="16"/>
      <c r="P613" s="16"/>
      <c r="Q613" s="16"/>
      <c r="R613" s="16"/>
      <c r="S613" s="16"/>
      <c r="T613" s="16"/>
      <c r="U613" s="16"/>
      <c r="V613" s="16"/>
      <c r="W613" s="16"/>
      <c r="X613" s="16"/>
    </row>
    <row r="614">
      <c r="A614" s="17"/>
      <c r="B614" s="17"/>
      <c r="C614" s="17"/>
      <c r="D614" s="48"/>
      <c r="E614" s="48"/>
      <c r="F614" s="16"/>
      <c r="G614" s="16"/>
      <c r="H614" s="16"/>
      <c r="I614" s="16"/>
      <c r="J614" s="16"/>
      <c r="K614" s="16"/>
      <c r="L614" s="16"/>
      <c r="M614" s="16"/>
      <c r="N614" s="16"/>
      <c r="O614" s="16"/>
      <c r="P614" s="16"/>
      <c r="Q614" s="16"/>
      <c r="R614" s="16"/>
      <c r="S614" s="16"/>
      <c r="T614" s="16"/>
      <c r="U614" s="16"/>
      <c r="V614" s="16"/>
      <c r="W614" s="16"/>
      <c r="X614" s="16"/>
    </row>
    <row r="615">
      <c r="A615" s="17"/>
      <c r="B615" s="17"/>
      <c r="C615" s="17"/>
      <c r="D615" s="48"/>
      <c r="E615" s="48"/>
      <c r="F615" s="16"/>
      <c r="G615" s="16"/>
      <c r="H615" s="16"/>
      <c r="I615" s="16"/>
      <c r="J615" s="16"/>
      <c r="K615" s="16"/>
      <c r="L615" s="16"/>
      <c r="M615" s="16"/>
      <c r="N615" s="16"/>
      <c r="O615" s="16"/>
      <c r="P615" s="16"/>
      <c r="Q615" s="16"/>
      <c r="R615" s="16"/>
      <c r="S615" s="16"/>
      <c r="T615" s="16"/>
      <c r="U615" s="16"/>
      <c r="V615" s="16"/>
      <c r="W615" s="16"/>
      <c r="X615" s="16"/>
    </row>
    <row r="616">
      <c r="A616" s="17"/>
      <c r="B616" s="17"/>
      <c r="C616" s="17"/>
      <c r="D616" s="48"/>
      <c r="E616" s="48"/>
      <c r="F616" s="16"/>
      <c r="G616" s="16"/>
      <c r="H616" s="16"/>
      <c r="I616" s="16"/>
      <c r="J616" s="16"/>
      <c r="K616" s="16"/>
      <c r="L616" s="16"/>
      <c r="M616" s="16"/>
      <c r="N616" s="16"/>
      <c r="O616" s="16"/>
      <c r="P616" s="16"/>
      <c r="Q616" s="16"/>
      <c r="R616" s="16"/>
      <c r="S616" s="16"/>
      <c r="T616" s="16"/>
      <c r="U616" s="16"/>
      <c r="V616" s="16"/>
      <c r="W616" s="16"/>
      <c r="X616" s="16"/>
    </row>
    <row r="617">
      <c r="A617" s="17"/>
      <c r="B617" s="17"/>
      <c r="C617" s="17"/>
      <c r="D617" s="48"/>
      <c r="E617" s="48"/>
      <c r="F617" s="16"/>
      <c r="G617" s="16"/>
      <c r="H617" s="16"/>
      <c r="I617" s="16"/>
      <c r="J617" s="16"/>
      <c r="K617" s="16"/>
      <c r="L617" s="16"/>
      <c r="M617" s="16"/>
      <c r="N617" s="16"/>
      <c r="O617" s="16"/>
      <c r="P617" s="16"/>
      <c r="Q617" s="16"/>
      <c r="R617" s="16"/>
      <c r="S617" s="16"/>
      <c r="T617" s="16"/>
      <c r="U617" s="16"/>
      <c r="V617" s="16"/>
      <c r="W617" s="16"/>
      <c r="X617" s="16"/>
    </row>
    <row r="618">
      <c r="A618" s="17"/>
      <c r="B618" s="17"/>
      <c r="C618" s="17"/>
      <c r="D618" s="48"/>
      <c r="E618" s="48"/>
      <c r="F618" s="16"/>
      <c r="G618" s="16"/>
      <c r="H618" s="16"/>
      <c r="I618" s="16"/>
      <c r="J618" s="16"/>
      <c r="K618" s="16"/>
      <c r="L618" s="16"/>
      <c r="M618" s="16"/>
      <c r="N618" s="16"/>
      <c r="O618" s="16"/>
      <c r="P618" s="16"/>
      <c r="Q618" s="16"/>
      <c r="R618" s="16"/>
      <c r="S618" s="16"/>
      <c r="T618" s="16"/>
      <c r="U618" s="16"/>
      <c r="V618" s="16"/>
      <c r="W618" s="16"/>
      <c r="X618" s="16"/>
    </row>
    <row r="619">
      <c r="A619" s="17"/>
      <c r="B619" s="17"/>
      <c r="C619" s="17"/>
      <c r="D619" s="48"/>
      <c r="E619" s="48"/>
      <c r="F619" s="16"/>
      <c r="G619" s="16"/>
      <c r="H619" s="16"/>
      <c r="I619" s="16"/>
      <c r="J619" s="16"/>
      <c r="K619" s="16"/>
      <c r="L619" s="16"/>
      <c r="M619" s="16"/>
      <c r="N619" s="16"/>
      <c r="O619" s="16"/>
      <c r="P619" s="16"/>
      <c r="Q619" s="16"/>
      <c r="R619" s="16"/>
      <c r="S619" s="16"/>
      <c r="T619" s="16"/>
      <c r="U619" s="16"/>
      <c r="V619" s="16"/>
      <c r="W619" s="16"/>
      <c r="X619" s="16"/>
    </row>
    <row r="620">
      <c r="A620" s="17"/>
      <c r="B620" s="17"/>
      <c r="C620" s="17"/>
      <c r="D620" s="48"/>
      <c r="E620" s="48"/>
      <c r="F620" s="16"/>
      <c r="G620" s="16"/>
      <c r="H620" s="16"/>
      <c r="I620" s="16"/>
      <c r="J620" s="16"/>
      <c r="K620" s="16"/>
      <c r="L620" s="16"/>
      <c r="M620" s="16"/>
      <c r="N620" s="16"/>
      <c r="O620" s="16"/>
      <c r="P620" s="16"/>
      <c r="Q620" s="16"/>
      <c r="R620" s="16"/>
      <c r="S620" s="16"/>
      <c r="T620" s="16"/>
      <c r="U620" s="16"/>
      <c r="V620" s="16"/>
      <c r="W620" s="16"/>
      <c r="X620" s="16"/>
    </row>
    <row r="621">
      <c r="A621" s="17"/>
      <c r="B621" s="17"/>
      <c r="C621" s="17"/>
      <c r="D621" s="48"/>
      <c r="E621" s="48"/>
      <c r="F621" s="16"/>
      <c r="G621" s="16"/>
      <c r="H621" s="16"/>
      <c r="I621" s="16"/>
      <c r="J621" s="16"/>
      <c r="K621" s="16"/>
      <c r="L621" s="16"/>
      <c r="M621" s="16"/>
      <c r="N621" s="16"/>
      <c r="O621" s="16"/>
      <c r="P621" s="16"/>
      <c r="Q621" s="16"/>
      <c r="R621" s="16"/>
      <c r="S621" s="16"/>
      <c r="T621" s="16"/>
      <c r="U621" s="16"/>
      <c r="V621" s="16"/>
      <c r="W621" s="16"/>
      <c r="X621" s="16"/>
    </row>
    <row r="622">
      <c r="A622" s="17"/>
      <c r="B622" s="17"/>
      <c r="C622" s="17"/>
      <c r="D622" s="48"/>
      <c r="E622" s="48"/>
      <c r="F622" s="16"/>
      <c r="G622" s="16"/>
      <c r="H622" s="16"/>
      <c r="I622" s="16"/>
      <c r="J622" s="16"/>
      <c r="K622" s="16"/>
      <c r="L622" s="16"/>
      <c r="M622" s="16"/>
      <c r="N622" s="16"/>
      <c r="O622" s="16"/>
      <c r="P622" s="16"/>
      <c r="Q622" s="16"/>
      <c r="R622" s="16"/>
      <c r="S622" s="16"/>
      <c r="T622" s="16"/>
      <c r="U622" s="16"/>
      <c r="V622" s="16"/>
      <c r="W622" s="16"/>
      <c r="X622" s="16"/>
    </row>
    <row r="623">
      <c r="A623" s="17"/>
      <c r="B623" s="17"/>
      <c r="C623" s="17"/>
      <c r="D623" s="48"/>
      <c r="E623" s="48"/>
      <c r="F623" s="16"/>
      <c r="G623" s="16"/>
      <c r="H623" s="16"/>
      <c r="I623" s="16"/>
      <c r="J623" s="16"/>
      <c r="K623" s="16"/>
      <c r="L623" s="16"/>
      <c r="M623" s="16"/>
      <c r="N623" s="16"/>
      <c r="O623" s="16"/>
      <c r="P623" s="16"/>
      <c r="Q623" s="16"/>
      <c r="R623" s="16"/>
      <c r="S623" s="16"/>
      <c r="T623" s="16"/>
      <c r="U623" s="16"/>
      <c r="V623" s="16"/>
      <c r="W623" s="16"/>
      <c r="X623" s="16"/>
    </row>
    <row r="624">
      <c r="A624" s="17"/>
      <c r="B624" s="17"/>
      <c r="C624" s="17"/>
      <c r="D624" s="48"/>
      <c r="E624" s="48"/>
      <c r="F624" s="16"/>
      <c r="G624" s="16"/>
      <c r="H624" s="16"/>
      <c r="I624" s="16"/>
      <c r="J624" s="16"/>
      <c r="K624" s="16"/>
      <c r="L624" s="16"/>
      <c r="M624" s="16"/>
      <c r="N624" s="16"/>
      <c r="O624" s="16"/>
      <c r="P624" s="16"/>
      <c r="Q624" s="16"/>
      <c r="R624" s="16"/>
      <c r="S624" s="16"/>
      <c r="T624" s="16"/>
      <c r="U624" s="16"/>
      <c r="V624" s="16"/>
      <c r="W624" s="16"/>
      <c r="X624" s="16"/>
    </row>
    <row r="625">
      <c r="A625" s="17"/>
      <c r="B625" s="17"/>
      <c r="C625" s="17"/>
      <c r="D625" s="48"/>
      <c r="E625" s="48"/>
      <c r="F625" s="16"/>
      <c r="G625" s="16"/>
      <c r="H625" s="16"/>
      <c r="I625" s="16"/>
      <c r="J625" s="16"/>
      <c r="K625" s="16"/>
      <c r="L625" s="16"/>
      <c r="M625" s="16"/>
      <c r="N625" s="16"/>
      <c r="O625" s="16"/>
      <c r="P625" s="16"/>
      <c r="Q625" s="16"/>
      <c r="R625" s="16"/>
      <c r="S625" s="16"/>
      <c r="T625" s="16"/>
      <c r="U625" s="16"/>
      <c r="V625" s="16"/>
      <c r="W625" s="16"/>
      <c r="X625" s="16"/>
    </row>
    <row r="626">
      <c r="A626" s="17"/>
      <c r="B626" s="17"/>
      <c r="C626" s="17"/>
      <c r="D626" s="48"/>
      <c r="E626" s="48"/>
      <c r="F626" s="16"/>
      <c r="G626" s="16"/>
      <c r="H626" s="16"/>
      <c r="I626" s="16"/>
      <c r="J626" s="16"/>
      <c r="K626" s="16"/>
      <c r="L626" s="16"/>
      <c r="M626" s="16"/>
      <c r="N626" s="16"/>
      <c r="O626" s="16"/>
      <c r="P626" s="16"/>
      <c r="Q626" s="16"/>
      <c r="R626" s="16"/>
      <c r="S626" s="16"/>
      <c r="T626" s="16"/>
      <c r="U626" s="16"/>
      <c r="V626" s="16"/>
      <c r="W626" s="16"/>
      <c r="X626" s="16"/>
    </row>
    <row r="627">
      <c r="A627" s="17"/>
      <c r="B627" s="17"/>
      <c r="C627" s="17"/>
      <c r="D627" s="48"/>
      <c r="E627" s="48"/>
      <c r="F627" s="16"/>
      <c r="G627" s="16"/>
      <c r="H627" s="16"/>
      <c r="I627" s="16"/>
      <c r="J627" s="16"/>
      <c r="K627" s="16"/>
      <c r="L627" s="16"/>
      <c r="M627" s="16"/>
      <c r="N627" s="16"/>
      <c r="O627" s="16"/>
      <c r="P627" s="16"/>
      <c r="Q627" s="16"/>
      <c r="R627" s="16"/>
      <c r="S627" s="16"/>
      <c r="T627" s="16"/>
      <c r="U627" s="16"/>
      <c r="V627" s="16"/>
      <c r="W627" s="16"/>
      <c r="X627" s="16"/>
    </row>
    <row r="628">
      <c r="A628" s="17"/>
      <c r="B628" s="17"/>
      <c r="C628" s="17"/>
      <c r="D628" s="48"/>
      <c r="E628" s="48"/>
      <c r="F628" s="16"/>
      <c r="G628" s="16"/>
      <c r="H628" s="16"/>
      <c r="I628" s="16"/>
      <c r="J628" s="16"/>
      <c r="K628" s="16"/>
      <c r="L628" s="16"/>
      <c r="M628" s="16"/>
      <c r="N628" s="16"/>
      <c r="O628" s="16"/>
      <c r="P628" s="16"/>
      <c r="Q628" s="16"/>
      <c r="R628" s="16"/>
      <c r="S628" s="16"/>
      <c r="T628" s="16"/>
      <c r="U628" s="16"/>
      <c r="V628" s="16"/>
      <c r="W628" s="16"/>
      <c r="X628" s="16"/>
    </row>
    <row r="629">
      <c r="A629" s="17"/>
      <c r="B629" s="17"/>
      <c r="C629" s="17"/>
      <c r="D629" s="48"/>
      <c r="E629" s="48"/>
      <c r="F629" s="16"/>
      <c r="G629" s="16"/>
      <c r="H629" s="16"/>
      <c r="I629" s="16"/>
      <c r="J629" s="16"/>
      <c r="K629" s="16"/>
      <c r="L629" s="16"/>
      <c r="M629" s="16"/>
      <c r="N629" s="16"/>
      <c r="O629" s="16"/>
      <c r="P629" s="16"/>
      <c r="Q629" s="16"/>
      <c r="R629" s="16"/>
      <c r="S629" s="16"/>
      <c r="T629" s="16"/>
      <c r="U629" s="16"/>
      <c r="V629" s="16"/>
      <c r="W629" s="16"/>
      <c r="X629" s="16"/>
    </row>
    <row r="630">
      <c r="A630" s="17"/>
      <c r="B630" s="17"/>
      <c r="C630" s="17"/>
      <c r="D630" s="48"/>
      <c r="E630" s="48"/>
      <c r="F630" s="16"/>
      <c r="G630" s="16"/>
      <c r="H630" s="16"/>
      <c r="I630" s="16"/>
      <c r="J630" s="16"/>
      <c r="K630" s="16"/>
      <c r="L630" s="16"/>
      <c r="M630" s="16"/>
      <c r="N630" s="16"/>
      <c r="O630" s="16"/>
      <c r="P630" s="16"/>
      <c r="Q630" s="16"/>
      <c r="R630" s="16"/>
      <c r="S630" s="16"/>
      <c r="T630" s="16"/>
      <c r="U630" s="16"/>
      <c r="V630" s="16"/>
      <c r="W630" s="16"/>
      <c r="X630" s="16"/>
    </row>
    <row r="631">
      <c r="A631" s="17"/>
      <c r="B631" s="17"/>
      <c r="C631" s="17"/>
      <c r="D631" s="48"/>
      <c r="E631" s="48"/>
      <c r="F631" s="16"/>
      <c r="G631" s="16"/>
      <c r="H631" s="16"/>
      <c r="I631" s="16"/>
      <c r="J631" s="16"/>
      <c r="K631" s="16"/>
      <c r="L631" s="16"/>
      <c r="M631" s="16"/>
      <c r="N631" s="16"/>
      <c r="O631" s="16"/>
      <c r="P631" s="16"/>
      <c r="Q631" s="16"/>
      <c r="R631" s="16"/>
      <c r="S631" s="16"/>
      <c r="T631" s="16"/>
      <c r="U631" s="16"/>
      <c r="V631" s="16"/>
      <c r="W631" s="16"/>
      <c r="X631" s="16"/>
    </row>
    <row r="632">
      <c r="A632" s="17"/>
      <c r="B632" s="17"/>
      <c r="C632" s="17"/>
      <c r="D632" s="48"/>
      <c r="E632" s="48"/>
      <c r="F632" s="16"/>
      <c r="G632" s="16"/>
      <c r="H632" s="16"/>
      <c r="I632" s="16"/>
      <c r="J632" s="16"/>
      <c r="K632" s="16"/>
      <c r="L632" s="16"/>
      <c r="M632" s="16"/>
      <c r="N632" s="16"/>
      <c r="O632" s="16"/>
      <c r="P632" s="16"/>
      <c r="Q632" s="16"/>
      <c r="R632" s="16"/>
      <c r="S632" s="16"/>
      <c r="T632" s="16"/>
      <c r="U632" s="16"/>
      <c r="V632" s="16"/>
      <c r="W632" s="16"/>
      <c r="X632" s="16"/>
    </row>
    <row r="633">
      <c r="A633" s="17"/>
      <c r="B633" s="17"/>
      <c r="C633" s="17"/>
      <c r="D633" s="48"/>
      <c r="E633" s="48"/>
      <c r="F633" s="16"/>
      <c r="G633" s="16"/>
      <c r="H633" s="16"/>
      <c r="I633" s="16"/>
      <c r="J633" s="16"/>
      <c r="K633" s="16"/>
      <c r="L633" s="16"/>
      <c r="M633" s="16"/>
      <c r="N633" s="16"/>
      <c r="O633" s="16"/>
      <c r="P633" s="16"/>
      <c r="Q633" s="16"/>
      <c r="R633" s="16"/>
      <c r="S633" s="16"/>
      <c r="T633" s="16"/>
      <c r="U633" s="16"/>
      <c r="V633" s="16"/>
      <c r="W633" s="16"/>
      <c r="X633" s="16"/>
    </row>
    <row r="634">
      <c r="A634" s="17"/>
      <c r="B634" s="17"/>
      <c r="C634" s="17"/>
      <c r="D634" s="48"/>
      <c r="E634" s="48"/>
      <c r="F634" s="16"/>
      <c r="G634" s="16"/>
      <c r="H634" s="16"/>
      <c r="I634" s="16"/>
      <c r="J634" s="16"/>
      <c r="K634" s="16"/>
      <c r="L634" s="16"/>
      <c r="M634" s="16"/>
      <c r="N634" s="16"/>
      <c r="O634" s="16"/>
      <c r="P634" s="16"/>
      <c r="Q634" s="16"/>
      <c r="R634" s="16"/>
      <c r="S634" s="16"/>
      <c r="T634" s="16"/>
      <c r="U634" s="16"/>
      <c r="V634" s="16"/>
      <c r="W634" s="16"/>
      <c r="X634" s="16"/>
    </row>
    <row r="635">
      <c r="A635" s="17"/>
      <c r="B635" s="17"/>
      <c r="C635" s="17"/>
      <c r="D635" s="48"/>
      <c r="E635" s="48"/>
      <c r="F635" s="16"/>
      <c r="G635" s="16"/>
      <c r="H635" s="16"/>
      <c r="I635" s="16"/>
      <c r="J635" s="16"/>
      <c r="K635" s="16"/>
      <c r="L635" s="16"/>
      <c r="M635" s="16"/>
      <c r="N635" s="16"/>
      <c r="O635" s="16"/>
      <c r="P635" s="16"/>
      <c r="Q635" s="16"/>
      <c r="R635" s="16"/>
      <c r="S635" s="16"/>
      <c r="T635" s="16"/>
      <c r="U635" s="16"/>
      <c r="V635" s="16"/>
      <c r="W635" s="16"/>
      <c r="X635" s="16"/>
    </row>
    <row r="636">
      <c r="A636" s="17"/>
      <c r="B636" s="17"/>
      <c r="C636" s="17"/>
      <c r="D636" s="48"/>
      <c r="E636" s="48"/>
      <c r="F636" s="16"/>
      <c r="G636" s="16"/>
      <c r="H636" s="16"/>
      <c r="I636" s="16"/>
      <c r="J636" s="16"/>
      <c r="K636" s="16"/>
      <c r="L636" s="16"/>
      <c r="M636" s="16"/>
      <c r="N636" s="16"/>
      <c r="O636" s="16"/>
      <c r="P636" s="16"/>
      <c r="Q636" s="16"/>
      <c r="R636" s="16"/>
      <c r="S636" s="16"/>
      <c r="T636" s="16"/>
      <c r="U636" s="16"/>
      <c r="V636" s="16"/>
      <c r="W636" s="16"/>
      <c r="X636" s="16"/>
    </row>
    <row r="637">
      <c r="A637" s="17"/>
      <c r="B637" s="17"/>
      <c r="C637" s="17"/>
      <c r="D637" s="48"/>
      <c r="E637" s="48"/>
      <c r="F637" s="16"/>
      <c r="G637" s="16"/>
      <c r="H637" s="16"/>
      <c r="I637" s="16"/>
      <c r="J637" s="16"/>
      <c r="K637" s="16"/>
      <c r="L637" s="16"/>
      <c r="M637" s="16"/>
      <c r="N637" s="16"/>
      <c r="O637" s="16"/>
      <c r="P637" s="16"/>
      <c r="Q637" s="16"/>
      <c r="R637" s="16"/>
      <c r="S637" s="16"/>
      <c r="T637" s="16"/>
      <c r="U637" s="16"/>
      <c r="V637" s="16"/>
      <c r="W637" s="16"/>
      <c r="X637" s="16"/>
    </row>
    <row r="638">
      <c r="A638" s="17"/>
      <c r="B638" s="17"/>
      <c r="C638" s="17"/>
      <c r="D638" s="48"/>
      <c r="E638" s="48"/>
      <c r="F638" s="16"/>
      <c r="G638" s="16"/>
      <c r="H638" s="16"/>
      <c r="I638" s="16"/>
      <c r="J638" s="16"/>
      <c r="K638" s="16"/>
      <c r="L638" s="16"/>
      <c r="M638" s="16"/>
      <c r="N638" s="16"/>
      <c r="O638" s="16"/>
      <c r="P638" s="16"/>
      <c r="Q638" s="16"/>
      <c r="R638" s="16"/>
      <c r="S638" s="16"/>
      <c r="T638" s="16"/>
      <c r="U638" s="16"/>
      <c r="V638" s="16"/>
      <c r="W638" s="16"/>
      <c r="X638" s="16"/>
    </row>
    <row r="639">
      <c r="A639" s="17"/>
      <c r="B639" s="17"/>
      <c r="C639" s="17"/>
      <c r="D639" s="48"/>
      <c r="E639" s="48"/>
      <c r="F639" s="16"/>
      <c r="G639" s="16"/>
      <c r="H639" s="16"/>
      <c r="I639" s="16"/>
      <c r="J639" s="16"/>
      <c r="K639" s="16"/>
      <c r="L639" s="16"/>
      <c r="M639" s="16"/>
      <c r="N639" s="16"/>
      <c r="O639" s="16"/>
      <c r="P639" s="16"/>
      <c r="Q639" s="16"/>
      <c r="R639" s="16"/>
      <c r="S639" s="16"/>
      <c r="T639" s="16"/>
      <c r="U639" s="16"/>
      <c r="V639" s="16"/>
      <c r="W639" s="16"/>
      <c r="X639" s="16"/>
    </row>
    <row r="640">
      <c r="A640" s="17"/>
      <c r="B640" s="17"/>
      <c r="C640" s="17"/>
      <c r="D640" s="48"/>
      <c r="E640" s="48"/>
      <c r="F640" s="16"/>
      <c r="G640" s="16"/>
      <c r="H640" s="16"/>
      <c r="I640" s="16"/>
      <c r="J640" s="16"/>
      <c r="K640" s="16"/>
      <c r="L640" s="16"/>
      <c r="M640" s="16"/>
      <c r="N640" s="16"/>
      <c r="O640" s="16"/>
      <c r="P640" s="16"/>
      <c r="Q640" s="16"/>
      <c r="R640" s="16"/>
      <c r="S640" s="16"/>
      <c r="T640" s="16"/>
      <c r="U640" s="16"/>
      <c r="V640" s="16"/>
      <c r="W640" s="16"/>
      <c r="X640" s="16"/>
    </row>
    <row r="641">
      <c r="A641" s="17"/>
      <c r="B641" s="17"/>
      <c r="C641" s="17"/>
      <c r="D641" s="48"/>
      <c r="E641" s="48"/>
      <c r="F641" s="16"/>
      <c r="G641" s="16"/>
      <c r="H641" s="16"/>
      <c r="I641" s="16"/>
      <c r="J641" s="16"/>
      <c r="K641" s="16"/>
      <c r="L641" s="16"/>
      <c r="M641" s="16"/>
      <c r="N641" s="16"/>
      <c r="O641" s="16"/>
      <c r="P641" s="16"/>
      <c r="Q641" s="16"/>
      <c r="R641" s="16"/>
      <c r="S641" s="16"/>
      <c r="T641" s="16"/>
      <c r="U641" s="16"/>
      <c r="V641" s="16"/>
      <c r="W641" s="16"/>
      <c r="X641" s="16"/>
    </row>
    <row r="642">
      <c r="A642" s="17"/>
      <c r="B642" s="17"/>
      <c r="C642" s="17"/>
      <c r="D642" s="48"/>
      <c r="E642" s="48"/>
      <c r="F642" s="16"/>
      <c r="G642" s="16"/>
      <c r="H642" s="16"/>
      <c r="I642" s="16"/>
      <c r="J642" s="16"/>
      <c r="K642" s="16"/>
      <c r="L642" s="16"/>
      <c r="M642" s="16"/>
      <c r="N642" s="16"/>
      <c r="O642" s="16"/>
      <c r="P642" s="16"/>
      <c r="Q642" s="16"/>
      <c r="R642" s="16"/>
      <c r="S642" s="16"/>
      <c r="T642" s="16"/>
      <c r="U642" s="16"/>
      <c r="V642" s="16"/>
      <c r="W642" s="16"/>
      <c r="X642" s="16"/>
    </row>
    <row r="643">
      <c r="A643" s="17"/>
      <c r="B643" s="17"/>
      <c r="C643" s="17"/>
      <c r="D643" s="48"/>
      <c r="E643" s="48"/>
      <c r="F643" s="16"/>
      <c r="G643" s="16"/>
      <c r="H643" s="16"/>
      <c r="I643" s="16"/>
      <c r="J643" s="16"/>
      <c r="K643" s="16"/>
      <c r="L643" s="16"/>
      <c r="M643" s="16"/>
      <c r="N643" s="16"/>
      <c r="O643" s="16"/>
      <c r="P643" s="16"/>
      <c r="Q643" s="16"/>
      <c r="R643" s="16"/>
      <c r="S643" s="16"/>
      <c r="T643" s="16"/>
      <c r="U643" s="16"/>
      <c r="V643" s="16"/>
      <c r="W643" s="16"/>
      <c r="X643" s="16"/>
    </row>
    <row r="644">
      <c r="A644" s="17"/>
      <c r="B644" s="17"/>
      <c r="C644" s="17"/>
      <c r="D644" s="48"/>
      <c r="E644" s="48"/>
      <c r="F644" s="16"/>
      <c r="G644" s="16"/>
      <c r="H644" s="16"/>
      <c r="I644" s="16"/>
      <c r="J644" s="16"/>
      <c r="K644" s="16"/>
      <c r="L644" s="16"/>
      <c r="M644" s="16"/>
      <c r="N644" s="16"/>
      <c r="O644" s="16"/>
      <c r="P644" s="16"/>
      <c r="Q644" s="16"/>
      <c r="R644" s="16"/>
      <c r="S644" s="16"/>
      <c r="T644" s="16"/>
      <c r="U644" s="16"/>
      <c r="V644" s="16"/>
      <c r="W644" s="16"/>
      <c r="X644" s="16"/>
    </row>
    <row r="645">
      <c r="A645" s="17"/>
      <c r="B645" s="17"/>
      <c r="C645" s="17"/>
      <c r="D645" s="48"/>
      <c r="E645" s="48"/>
      <c r="F645" s="16"/>
      <c r="G645" s="16"/>
      <c r="H645" s="16"/>
      <c r="I645" s="16"/>
      <c r="J645" s="16"/>
      <c r="K645" s="16"/>
      <c r="L645" s="16"/>
      <c r="M645" s="16"/>
      <c r="N645" s="16"/>
      <c r="O645" s="16"/>
      <c r="P645" s="16"/>
      <c r="Q645" s="16"/>
      <c r="R645" s="16"/>
      <c r="S645" s="16"/>
      <c r="T645" s="16"/>
      <c r="U645" s="16"/>
      <c r="V645" s="16"/>
      <c r="W645" s="16"/>
      <c r="X645" s="16"/>
    </row>
    <row r="646">
      <c r="A646" s="17"/>
      <c r="B646" s="17"/>
      <c r="C646" s="17"/>
      <c r="D646" s="48"/>
      <c r="E646" s="48"/>
      <c r="F646" s="16"/>
      <c r="G646" s="16"/>
      <c r="H646" s="16"/>
      <c r="I646" s="16"/>
      <c r="J646" s="16"/>
      <c r="K646" s="16"/>
      <c r="L646" s="16"/>
      <c r="M646" s="16"/>
      <c r="N646" s="16"/>
      <c r="O646" s="16"/>
      <c r="P646" s="16"/>
      <c r="Q646" s="16"/>
      <c r="R646" s="16"/>
      <c r="S646" s="16"/>
      <c r="T646" s="16"/>
      <c r="U646" s="16"/>
      <c r="V646" s="16"/>
      <c r="W646" s="16"/>
      <c r="X646" s="16"/>
    </row>
    <row r="647">
      <c r="A647" s="17"/>
      <c r="B647" s="17"/>
      <c r="C647" s="17"/>
      <c r="D647" s="48"/>
      <c r="E647" s="48"/>
      <c r="F647" s="16"/>
      <c r="G647" s="16"/>
      <c r="H647" s="16"/>
      <c r="I647" s="16"/>
      <c r="J647" s="16"/>
      <c r="K647" s="16"/>
      <c r="L647" s="16"/>
      <c r="M647" s="16"/>
      <c r="N647" s="16"/>
      <c r="O647" s="16"/>
      <c r="P647" s="16"/>
      <c r="Q647" s="16"/>
      <c r="R647" s="16"/>
      <c r="S647" s="16"/>
      <c r="T647" s="16"/>
      <c r="U647" s="16"/>
      <c r="V647" s="16"/>
      <c r="W647" s="16"/>
      <c r="X647" s="16"/>
    </row>
    <row r="648">
      <c r="A648" s="17"/>
      <c r="B648" s="17"/>
      <c r="C648" s="17"/>
      <c r="D648" s="48"/>
      <c r="E648" s="48"/>
      <c r="F648" s="16"/>
      <c r="G648" s="16"/>
      <c r="H648" s="16"/>
      <c r="I648" s="16"/>
      <c r="J648" s="16"/>
      <c r="K648" s="16"/>
      <c r="L648" s="16"/>
      <c r="M648" s="16"/>
      <c r="N648" s="16"/>
      <c r="O648" s="16"/>
      <c r="P648" s="16"/>
      <c r="Q648" s="16"/>
      <c r="R648" s="16"/>
      <c r="S648" s="16"/>
      <c r="T648" s="16"/>
      <c r="U648" s="16"/>
      <c r="V648" s="16"/>
      <c r="W648" s="16"/>
      <c r="X648" s="16"/>
    </row>
    <row r="649">
      <c r="A649" s="17"/>
      <c r="B649" s="17"/>
      <c r="C649" s="17"/>
      <c r="D649" s="48"/>
      <c r="E649" s="48"/>
      <c r="F649" s="16"/>
      <c r="G649" s="16"/>
      <c r="H649" s="16"/>
      <c r="I649" s="16"/>
      <c r="J649" s="16"/>
      <c r="K649" s="16"/>
      <c r="L649" s="16"/>
      <c r="M649" s="16"/>
      <c r="N649" s="16"/>
      <c r="O649" s="16"/>
      <c r="P649" s="16"/>
      <c r="Q649" s="16"/>
      <c r="R649" s="16"/>
      <c r="S649" s="16"/>
      <c r="T649" s="16"/>
      <c r="U649" s="16"/>
      <c r="V649" s="16"/>
      <c r="W649" s="16"/>
      <c r="X649" s="16"/>
    </row>
    <row r="650">
      <c r="A650" s="17"/>
      <c r="B650" s="17"/>
      <c r="C650" s="17"/>
      <c r="D650" s="48"/>
      <c r="E650" s="48"/>
      <c r="F650" s="16"/>
      <c r="G650" s="16"/>
      <c r="H650" s="16"/>
      <c r="I650" s="16"/>
      <c r="J650" s="16"/>
      <c r="K650" s="16"/>
      <c r="L650" s="16"/>
      <c r="M650" s="16"/>
      <c r="N650" s="16"/>
      <c r="O650" s="16"/>
      <c r="P650" s="16"/>
      <c r="Q650" s="16"/>
      <c r="R650" s="16"/>
      <c r="S650" s="16"/>
      <c r="T650" s="16"/>
      <c r="U650" s="16"/>
      <c r="V650" s="16"/>
      <c r="W650" s="16"/>
      <c r="X650" s="16"/>
    </row>
    <row r="651">
      <c r="A651" s="17"/>
      <c r="B651" s="17"/>
      <c r="C651" s="17"/>
      <c r="D651" s="48"/>
      <c r="E651" s="48"/>
      <c r="F651" s="16"/>
      <c r="G651" s="16"/>
      <c r="H651" s="16"/>
      <c r="I651" s="16"/>
      <c r="J651" s="16"/>
      <c r="K651" s="16"/>
      <c r="L651" s="16"/>
      <c r="M651" s="16"/>
      <c r="N651" s="16"/>
      <c r="O651" s="16"/>
      <c r="P651" s="16"/>
      <c r="Q651" s="16"/>
      <c r="R651" s="16"/>
      <c r="S651" s="16"/>
      <c r="T651" s="16"/>
      <c r="U651" s="16"/>
      <c r="V651" s="16"/>
      <c r="W651" s="16"/>
      <c r="X651" s="16"/>
    </row>
    <row r="652">
      <c r="A652" s="17"/>
      <c r="B652" s="17"/>
      <c r="C652" s="17"/>
      <c r="D652" s="48"/>
      <c r="E652" s="48"/>
      <c r="F652" s="16"/>
      <c r="G652" s="16"/>
      <c r="H652" s="16"/>
      <c r="I652" s="16"/>
      <c r="J652" s="16"/>
      <c r="K652" s="16"/>
      <c r="L652" s="16"/>
      <c r="M652" s="16"/>
      <c r="N652" s="16"/>
      <c r="O652" s="16"/>
      <c r="P652" s="16"/>
      <c r="Q652" s="16"/>
      <c r="R652" s="16"/>
      <c r="S652" s="16"/>
      <c r="T652" s="16"/>
      <c r="U652" s="16"/>
      <c r="V652" s="16"/>
      <c r="W652" s="16"/>
      <c r="X652" s="16"/>
    </row>
    <row r="653">
      <c r="A653" s="17"/>
      <c r="B653" s="17"/>
      <c r="C653" s="17"/>
      <c r="D653" s="48"/>
      <c r="E653" s="48"/>
      <c r="F653" s="16"/>
      <c r="G653" s="16"/>
      <c r="H653" s="16"/>
      <c r="I653" s="16"/>
      <c r="J653" s="16"/>
      <c r="K653" s="16"/>
      <c r="L653" s="16"/>
      <c r="M653" s="16"/>
      <c r="N653" s="16"/>
      <c r="O653" s="16"/>
      <c r="P653" s="16"/>
      <c r="Q653" s="16"/>
      <c r="R653" s="16"/>
      <c r="S653" s="16"/>
      <c r="T653" s="16"/>
      <c r="U653" s="16"/>
      <c r="V653" s="16"/>
      <c r="W653" s="16"/>
      <c r="X653" s="16"/>
    </row>
    <row r="654">
      <c r="A654" s="17"/>
      <c r="B654" s="17"/>
      <c r="C654" s="17"/>
      <c r="D654" s="48"/>
      <c r="E654" s="48"/>
      <c r="F654" s="16"/>
      <c r="G654" s="16"/>
      <c r="H654" s="16"/>
      <c r="I654" s="16"/>
      <c r="J654" s="16"/>
      <c r="K654" s="16"/>
      <c r="L654" s="16"/>
      <c r="M654" s="16"/>
      <c r="N654" s="16"/>
      <c r="O654" s="16"/>
      <c r="P654" s="16"/>
      <c r="Q654" s="16"/>
      <c r="R654" s="16"/>
      <c r="S654" s="16"/>
      <c r="T654" s="16"/>
      <c r="U654" s="16"/>
      <c r="V654" s="16"/>
      <c r="W654" s="16"/>
      <c r="X654" s="16"/>
    </row>
    <row r="655">
      <c r="A655" s="17"/>
      <c r="B655" s="17"/>
      <c r="C655" s="17"/>
      <c r="D655" s="48"/>
      <c r="E655" s="48"/>
      <c r="F655" s="16"/>
      <c r="G655" s="16"/>
      <c r="H655" s="16"/>
      <c r="I655" s="16"/>
      <c r="J655" s="16"/>
      <c r="K655" s="16"/>
      <c r="L655" s="16"/>
      <c r="M655" s="16"/>
      <c r="N655" s="16"/>
      <c r="O655" s="16"/>
      <c r="P655" s="16"/>
      <c r="Q655" s="16"/>
      <c r="R655" s="16"/>
      <c r="S655" s="16"/>
      <c r="T655" s="16"/>
      <c r="U655" s="16"/>
      <c r="V655" s="16"/>
      <c r="W655" s="16"/>
      <c r="X655" s="16"/>
    </row>
    <row r="656">
      <c r="A656" s="17"/>
      <c r="B656" s="17"/>
      <c r="C656" s="17"/>
      <c r="D656" s="48"/>
      <c r="E656" s="48"/>
      <c r="F656" s="16"/>
      <c r="G656" s="16"/>
      <c r="H656" s="16"/>
      <c r="I656" s="16"/>
      <c r="J656" s="16"/>
      <c r="K656" s="16"/>
      <c r="L656" s="16"/>
      <c r="M656" s="16"/>
      <c r="N656" s="16"/>
      <c r="O656" s="16"/>
      <c r="P656" s="16"/>
      <c r="Q656" s="16"/>
      <c r="R656" s="16"/>
      <c r="S656" s="16"/>
      <c r="T656" s="16"/>
      <c r="U656" s="16"/>
      <c r="V656" s="16"/>
      <c r="W656" s="16"/>
      <c r="X656" s="16"/>
    </row>
    <row r="657">
      <c r="A657" s="17"/>
      <c r="B657" s="17"/>
      <c r="C657" s="17"/>
      <c r="D657" s="48"/>
      <c r="E657" s="48"/>
      <c r="F657" s="16"/>
      <c r="G657" s="16"/>
      <c r="H657" s="16"/>
      <c r="I657" s="16"/>
      <c r="J657" s="16"/>
      <c r="K657" s="16"/>
      <c r="L657" s="16"/>
      <c r="M657" s="16"/>
      <c r="N657" s="16"/>
      <c r="O657" s="16"/>
      <c r="P657" s="16"/>
      <c r="Q657" s="16"/>
      <c r="R657" s="16"/>
      <c r="S657" s="16"/>
      <c r="T657" s="16"/>
      <c r="U657" s="16"/>
      <c r="V657" s="16"/>
      <c r="W657" s="16"/>
      <c r="X657" s="16"/>
    </row>
    <row r="658">
      <c r="A658" s="17"/>
      <c r="B658" s="17"/>
      <c r="C658" s="17"/>
      <c r="D658" s="48"/>
      <c r="E658" s="48"/>
      <c r="F658" s="16"/>
      <c r="G658" s="16"/>
      <c r="H658" s="16"/>
      <c r="I658" s="16"/>
      <c r="J658" s="16"/>
      <c r="K658" s="16"/>
      <c r="L658" s="16"/>
      <c r="M658" s="16"/>
      <c r="N658" s="16"/>
      <c r="O658" s="16"/>
      <c r="P658" s="16"/>
      <c r="Q658" s="16"/>
      <c r="R658" s="16"/>
      <c r="S658" s="16"/>
      <c r="T658" s="16"/>
      <c r="U658" s="16"/>
      <c r="V658" s="16"/>
      <c r="W658" s="16"/>
      <c r="X658" s="16"/>
    </row>
    <row r="659">
      <c r="A659" s="17"/>
      <c r="B659" s="17"/>
      <c r="C659" s="17"/>
      <c r="D659" s="48"/>
      <c r="E659" s="48"/>
      <c r="F659" s="16"/>
      <c r="G659" s="16"/>
      <c r="H659" s="16"/>
      <c r="I659" s="16"/>
      <c r="J659" s="16"/>
      <c r="K659" s="16"/>
      <c r="L659" s="16"/>
      <c r="M659" s="16"/>
      <c r="N659" s="16"/>
      <c r="O659" s="16"/>
      <c r="P659" s="16"/>
      <c r="Q659" s="16"/>
      <c r="R659" s="16"/>
      <c r="S659" s="16"/>
      <c r="T659" s="16"/>
      <c r="U659" s="16"/>
      <c r="V659" s="16"/>
      <c r="W659" s="16"/>
      <c r="X659" s="16"/>
    </row>
    <row r="660">
      <c r="A660" s="17"/>
      <c r="B660" s="17"/>
      <c r="C660" s="17"/>
      <c r="D660" s="48"/>
      <c r="E660" s="48"/>
      <c r="F660" s="16"/>
      <c r="G660" s="16"/>
      <c r="H660" s="16"/>
      <c r="I660" s="16"/>
      <c r="J660" s="16"/>
      <c r="K660" s="16"/>
      <c r="L660" s="16"/>
      <c r="M660" s="16"/>
      <c r="N660" s="16"/>
      <c r="O660" s="16"/>
      <c r="P660" s="16"/>
      <c r="Q660" s="16"/>
      <c r="R660" s="16"/>
      <c r="S660" s="16"/>
      <c r="T660" s="16"/>
      <c r="U660" s="16"/>
      <c r="V660" s="16"/>
      <c r="W660" s="16"/>
      <c r="X660" s="16"/>
    </row>
    <row r="661">
      <c r="A661" s="17"/>
      <c r="B661" s="17"/>
      <c r="C661" s="17"/>
      <c r="D661" s="48"/>
      <c r="E661" s="48"/>
      <c r="F661" s="16"/>
      <c r="G661" s="16"/>
      <c r="H661" s="16"/>
      <c r="I661" s="16"/>
      <c r="J661" s="16"/>
      <c r="K661" s="16"/>
      <c r="L661" s="16"/>
      <c r="M661" s="16"/>
      <c r="N661" s="16"/>
      <c r="O661" s="16"/>
      <c r="P661" s="16"/>
      <c r="Q661" s="16"/>
      <c r="R661" s="16"/>
      <c r="S661" s="16"/>
      <c r="T661" s="16"/>
      <c r="U661" s="16"/>
      <c r="V661" s="16"/>
      <c r="W661" s="16"/>
      <c r="X661" s="16"/>
    </row>
    <row r="662">
      <c r="A662" s="17"/>
      <c r="B662" s="17"/>
      <c r="C662" s="17"/>
      <c r="D662" s="48"/>
      <c r="E662" s="48"/>
      <c r="F662" s="16"/>
      <c r="G662" s="16"/>
      <c r="H662" s="16"/>
      <c r="I662" s="16"/>
      <c r="J662" s="16"/>
      <c r="K662" s="16"/>
      <c r="L662" s="16"/>
      <c r="M662" s="16"/>
      <c r="N662" s="16"/>
      <c r="O662" s="16"/>
      <c r="P662" s="16"/>
      <c r="Q662" s="16"/>
      <c r="R662" s="16"/>
      <c r="S662" s="16"/>
      <c r="T662" s="16"/>
      <c r="U662" s="16"/>
      <c r="V662" s="16"/>
      <c r="W662" s="16"/>
      <c r="X662" s="16"/>
    </row>
    <row r="663">
      <c r="A663" s="17"/>
      <c r="B663" s="17"/>
      <c r="C663" s="17"/>
      <c r="D663" s="48"/>
      <c r="E663" s="48"/>
      <c r="F663" s="16"/>
      <c r="G663" s="16"/>
      <c r="H663" s="16"/>
      <c r="I663" s="16"/>
      <c r="J663" s="16"/>
      <c r="K663" s="16"/>
      <c r="L663" s="16"/>
      <c r="M663" s="16"/>
      <c r="N663" s="16"/>
      <c r="O663" s="16"/>
      <c r="P663" s="16"/>
      <c r="Q663" s="16"/>
      <c r="R663" s="16"/>
      <c r="S663" s="16"/>
      <c r="T663" s="16"/>
      <c r="U663" s="16"/>
      <c r="V663" s="16"/>
      <c r="W663" s="16"/>
      <c r="X663" s="16"/>
    </row>
    <row r="664">
      <c r="A664" s="17"/>
      <c r="B664" s="17"/>
      <c r="C664" s="17"/>
      <c r="D664" s="48"/>
      <c r="E664" s="48"/>
      <c r="F664" s="16"/>
      <c r="G664" s="16"/>
      <c r="H664" s="16"/>
      <c r="I664" s="16"/>
      <c r="J664" s="16"/>
      <c r="K664" s="16"/>
      <c r="L664" s="16"/>
      <c r="M664" s="16"/>
      <c r="N664" s="16"/>
      <c r="O664" s="16"/>
      <c r="P664" s="16"/>
      <c r="Q664" s="16"/>
      <c r="R664" s="16"/>
      <c r="S664" s="16"/>
      <c r="T664" s="16"/>
      <c r="U664" s="16"/>
      <c r="V664" s="16"/>
      <c r="W664" s="16"/>
      <c r="X664" s="16"/>
    </row>
    <row r="665">
      <c r="A665" s="17"/>
      <c r="B665" s="17"/>
      <c r="C665" s="17"/>
      <c r="D665" s="48"/>
      <c r="E665" s="48"/>
      <c r="F665" s="16"/>
      <c r="G665" s="16"/>
      <c r="H665" s="16"/>
      <c r="I665" s="16"/>
      <c r="J665" s="16"/>
      <c r="K665" s="16"/>
      <c r="L665" s="16"/>
      <c r="M665" s="16"/>
      <c r="N665" s="16"/>
      <c r="O665" s="16"/>
      <c r="P665" s="16"/>
      <c r="Q665" s="16"/>
      <c r="R665" s="16"/>
      <c r="S665" s="16"/>
      <c r="T665" s="16"/>
      <c r="U665" s="16"/>
      <c r="V665" s="16"/>
      <c r="W665" s="16"/>
      <c r="X665" s="16"/>
    </row>
    <row r="666">
      <c r="A666" s="17"/>
      <c r="B666" s="17"/>
      <c r="C666" s="17"/>
      <c r="D666" s="48"/>
      <c r="E666" s="48"/>
      <c r="F666" s="16"/>
      <c r="G666" s="16"/>
      <c r="H666" s="16"/>
      <c r="I666" s="16"/>
      <c r="J666" s="16"/>
      <c r="K666" s="16"/>
      <c r="L666" s="16"/>
      <c r="M666" s="16"/>
      <c r="N666" s="16"/>
      <c r="O666" s="16"/>
      <c r="P666" s="16"/>
      <c r="Q666" s="16"/>
      <c r="R666" s="16"/>
      <c r="S666" s="16"/>
      <c r="T666" s="16"/>
      <c r="U666" s="16"/>
      <c r="V666" s="16"/>
      <c r="W666" s="16"/>
      <c r="X666" s="16"/>
    </row>
    <row r="667">
      <c r="A667" s="17"/>
      <c r="B667" s="17"/>
      <c r="C667" s="17"/>
      <c r="D667" s="48"/>
      <c r="E667" s="48"/>
      <c r="F667" s="16"/>
      <c r="G667" s="16"/>
      <c r="H667" s="16"/>
      <c r="I667" s="16"/>
      <c r="J667" s="16"/>
      <c r="K667" s="16"/>
      <c r="L667" s="16"/>
      <c r="M667" s="16"/>
      <c r="N667" s="16"/>
      <c r="O667" s="16"/>
      <c r="P667" s="16"/>
      <c r="Q667" s="16"/>
      <c r="R667" s="16"/>
      <c r="S667" s="16"/>
      <c r="T667" s="16"/>
      <c r="U667" s="16"/>
      <c r="V667" s="16"/>
      <c r="W667" s="16"/>
      <c r="X667" s="16"/>
    </row>
    <row r="668">
      <c r="A668" s="17"/>
      <c r="B668" s="17"/>
      <c r="C668" s="17"/>
      <c r="D668" s="48"/>
      <c r="E668" s="48"/>
      <c r="F668" s="16"/>
      <c r="G668" s="16"/>
      <c r="H668" s="16"/>
      <c r="I668" s="16"/>
      <c r="J668" s="16"/>
      <c r="K668" s="16"/>
      <c r="L668" s="16"/>
      <c r="M668" s="16"/>
      <c r="N668" s="16"/>
      <c r="O668" s="16"/>
      <c r="P668" s="16"/>
      <c r="Q668" s="16"/>
      <c r="R668" s="16"/>
      <c r="S668" s="16"/>
      <c r="T668" s="16"/>
      <c r="U668" s="16"/>
      <c r="V668" s="16"/>
      <c r="W668" s="16"/>
      <c r="X668" s="16"/>
    </row>
    <row r="669">
      <c r="A669" s="17"/>
      <c r="B669" s="17"/>
      <c r="C669" s="17"/>
      <c r="D669" s="48"/>
      <c r="E669" s="48"/>
      <c r="F669" s="16"/>
      <c r="G669" s="16"/>
      <c r="H669" s="16"/>
      <c r="I669" s="16"/>
      <c r="J669" s="16"/>
      <c r="K669" s="16"/>
      <c r="L669" s="16"/>
      <c r="M669" s="16"/>
      <c r="N669" s="16"/>
      <c r="O669" s="16"/>
      <c r="P669" s="16"/>
      <c r="Q669" s="16"/>
      <c r="R669" s="16"/>
      <c r="S669" s="16"/>
      <c r="T669" s="16"/>
      <c r="U669" s="16"/>
      <c r="V669" s="16"/>
      <c r="W669" s="16"/>
      <c r="X669" s="16"/>
    </row>
    <row r="670">
      <c r="A670" s="17"/>
      <c r="B670" s="17"/>
      <c r="C670" s="17"/>
      <c r="D670" s="48"/>
      <c r="E670" s="48"/>
      <c r="F670" s="16"/>
      <c r="G670" s="16"/>
      <c r="H670" s="16"/>
      <c r="I670" s="16"/>
      <c r="J670" s="16"/>
      <c r="K670" s="16"/>
      <c r="L670" s="16"/>
      <c r="M670" s="16"/>
      <c r="N670" s="16"/>
      <c r="O670" s="16"/>
      <c r="P670" s="16"/>
      <c r="Q670" s="16"/>
      <c r="R670" s="16"/>
      <c r="S670" s="16"/>
      <c r="T670" s="16"/>
      <c r="U670" s="16"/>
      <c r="V670" s="16"/>
      <c r="W670" s="16"/>
      <c r="X670" s="16"/>
    </row>
    <row r="671">
      <c r="A671" s="17"/>
      <c r="B671" s="17"/>
      <c r="C671" s="17"/>
      <c r="D671" s="48"/>
      <c r="E671" s="48"/>
      <c r="F671" s="16"/>
      <c r="G671" s="16"/>
      <c r="H671" s="16"/>
      <c r="I671" s="16"/>
      <c r="J671" s="16"/>
      <c r="K671" s="16"/>
      <c r="L671" s="16"/>
      <c r="M671" s="16"/>
      <c r="N671" s="16"/>
      <c r="O671" s="16"/>
      <c r="P671" s="16"/>
      <c r="Q671" s="16"/>
      <c r="R671" s="16"/>
      <c r="S671" s="16"/>
      <c r="T671" s="16"/>
      <c r="U671" s="16"/>
      <c r="V671" s="16"/>
      <c r="W671" s="16"/>
      <c r="X671" s="16"/>
    </row>
    <row r="672">
      <c r="A672" s="17"/>
      <c r="B672" s="17"/>
      <c r="C672" s="17"/>
      <c r="D672" s="48"/>
      <c r="E672" s="48"/>
      <c r="F672" s="16"/>
      <c r="G672" s="16"/>
      <c r="H672" s="16"/>
      <c r="I672" s="16"/>
      <c r="J672" s="16"/>
      <c r="K672" s="16"/>
      <c r="L672" s="16"/>
      <c r="M672" s="16"/>
      <c r="N672" s="16"/>
      <c r="O672" s="16"/>
      <c r="P672" s="16"/>
      <c r="Q672" s="16"/>
      <c r="R672" s="16"/>
      <c r="S672" s="16"/>
      <c r="T672" s="16"/>
      <c r="U672" s="16"/>
      <c r="V672" s="16"/>
      <c r="W672" s="16"/>
      <c r="X672" s="16"/>
    </row>
    <row r="673">
      <c r="A673" s="17"/>
      <c r="B673" s="17"/>
      <c r="C673" s="17"/>
      <c r="D673" s="48"/>
      <c r="E673" s="48"/>
      <c r="F673" s="16"/>
      <c r="G673" s="16"/>
      <c r="H673" s="16"/>
      <c r="I673" s="16"/>
      <c r="J673" s="16"/>
      <c r="K673" s="16"/>
      <c r="L673" s="16"/>
      <c r="M673" s="16"/>
      <c r="N673" s="16"/>
      <c r="O673" s="16"/>
      <c r="P673" s="16"/>
      <c r="Q673" s="16"/>
      <c r="R673" s="16"/>
      <c r="S673" s="16"/>
      <c r="T673" s="16"/>
      <c r="U673" s="16"/>
      <c r="V673" s="16"/>
      <c r="W673" s="16"/>
      <c r="X673" s="16"/>
    </row>
    <row r="674">
      <c r="A674" s="17"/>
      <c r="B674" s="17"/>
      <c r="C674" s="17"/>
      <c r="D674" s="48"/>
      <c r="E674" s="48"/>
      <c r="F674" s="16"/>
      <c r="G674" s="16"/>
      <c r="H674" s="16"/>
      <c r="I674" s="16"/>
      <c r="J674" s="16"/>
      <c r="K674" s="16"/>
      <c r="L674" s="16"/>
      <c r="M674" s="16"/>
      <c r="N674" s="16"/>
      <c r="O674" s="16"/>
      <c r="P674" s="16"/>
      <c r="Q674" s="16"/>
      <c r="R674" s="16"/>
      <c r="S674" s="16"/>
      <c r="T674" s="16"/>
      <c r="U674" s="16"/>
      <c r="V674" s="16"/>
      <c r="W674" s="16"/>
      <c r="X674" s="16"/>
    </row>
    <row r="675">
      <c r="A675" s="17"/>
      <c r="B675" s="17"/>
      <c r="C675" s="17"/>
      <c r="D675" s="48"/>
      <c r="E675" s="48"/>
      <c r="F675" s="16"/>
      <c r="G675" s="16"/>
      <c r="H675" s="16"/>
      <c r="I675" s="16"/>
      <c r="J675" s="16"/>
      <c r="K675" s="16"/>
      <c r="L675" s="16"/>
      <c r="M675" s="16"/>
      <c r="N675" s="16"/>
      <c r="O675" s="16"/>
      <c r="P675" s="16"/>
      <c r="Q675" s="16"/>
      <c r="R675" s="16"/>
      <c r="S675" s="16"/>
      <c r="T675" s="16"/>
      <c r="U675" s="16"/>
      <c r="V675" s="16"/>
      <c r="W675" s="16"/>
      <c r="X675" s="16"/>
    </row>
    <row r="676">
      <c r="A676" s="17"/>
      <c r="B676" s="17"/>
      <c r="C676" s="17"/>
      <c r="D676" s="48"/>
      <c r="E676" s="48"/>
      <c r="F676" s="16"/>
      <c r="G676" s="16"/>
      <c r="H676" s="16"/>
      <c r="I676" s="16"/>
      <c r="J676" s="16"/>
      <c r="K676" s="16"/>
      <c r="L676" s="16"/>
      <c r="M676" s="16"/>
      <c r="N676" s="16"/>
      <c r="O676" s="16"/>
      <c r="P676" s="16"/>
      <c r="Q676" s="16"/>
      <c r="R676" s="16"/>
      <c r="S676" s="16"/>
      <c r="T676" s="16"/>
      <c r="U676" s="16"/>
      <c r="V676" s="16"/>
      <c r="W676" s="16"/>
      <c r="X676" s="16"/>
    </row>
    <row r="677">
      <c r="A677" s="17"/>
      <c r="B677" s="17"/>
      <c r="C677" s="17"/>
      <c r="D677" s="48"/>
      <c r="E677" s="48"/>
      <c r="F677" s="16"/>
      <c r="G677" s="16"/>
      <c r="H677" s="16"/>
      <c r="I677" s="16"/>
      <c r="J677" s="16"/>
      <c r="K677" s="16"/>
      <c r="L677" s="16"/>
      <c r="M677" s="16"/>
      <c r="N677" s="16"/>
      <c r="O677" s="16"/>
      <c r="P677" s="16"/>
      <c r="Q677" s="16"/>
      <c r="R677" s="16"/>
      <c r="S677" s="16"/>
      <c r="T677" s="16"/>
      <c r="U677" s="16"/>
      <c r="V677" s="16"/>
      <c r="W677" s="16"/>
      <c r="X677" s="16"/>
    </row>
    <row r="678">
      <c r="A678" s="17"/>
      <c r="B678" s="17"/>
      <c r="C678" s="17"/>
      <c r="D678" s="48"/>
      <c r="E678" s="48"/>
      <c r="F678" s="16"/>
      <c r="G678" s="16"/>
      <c r="H678" s="16"/>
      <c r="I678" s="16"/>
      <c r="J678" s="16"/>
      <c r="K678" s="16"/>
      <c r="L678" s="16"/>
      <c r="M678" s="16"/>
      <c r="N678" s="16"/>
      <c r="O678" s="16"/>
      <c r="P678" s="16"/>
      <c r="Q678" s="16"/>
      <c r="R678" s="16"/>
      <c r="S678" s="16"/>
      <c r="T678" s="16"/>
      <c r="U678" s="16"/>
      <c r="V678" s="16"/>
      <c r="W678" s="16"/>
      <c r="X678" s="16"/>
    </row>
    <row r="679">
      <c r="A679" s="17"/>
      <c r="B679" s="17"/>
      <c r="C679" s="17"/>
      <c r="D679" s="48"/>
      <c r="E679" s="48"/>
      <c r="F679" s="16"/>
      <c r="G679" s="16"/>
      <c r="H679" s="16"/>
      <c r="I679" s="16"/>
      <c r="J679" s="16"/>
      <c r="K679" s="16"/>
      <c r="L679" s="16"/>
      <c r="M679" s="16"/>
      <c r="N679" s="16"/>
      <c r="O679" s="16"/>
      <c r="P679" s="16"/>
      <c r="Q679" s="16"/>
      <c r="R679" s="16"/>
      <c r="S679" s="16"/>
      <c r="T679" s="16"/>
      <c r="U679" s="16"/>
      <c r="V679" s="16"/>
      <c r="W679" s="16"/>
      <c r="X679" s="16"/>
    </row>
    <row r="680">
      <c r="A680" s="17"/>
      <c r="B680" s="17"/>
      <c r="C680" s="17"/>
      <c r="D680" s="48"/>
      <c r="E680" s="48"/>
      <c r="F680" s="16"/>
      <c r="G680" s="16"/>
      <c r="H680" s="16"/>
      <c r="I680" s="16"/>
      <c r="J680" s="16"/>
      <c r="K680" s="16"/>
      <c r="L680" s="16"/>
      <c r="M680" s="16"/>
      <c r="N680" s="16"/>
      <c r="O680" s="16"/>
      <c r="P680" s="16"/>
      <c r="Q680" s="16"/>
      <c r="R680" s="16"/>
      <c r="S680" s="16"/>
      <c r="T680" s="16"/>
      <c r="U680" s="16"/>
      <c r="V680" s="16"/>
      <c r="W680" s="16"/>
      <c r="X680" s="16"/>
    </row>
    <row r="681">
      <c r="A681" s="17"/>
      <c r="B681" s="17"/>
      <c r="C681" s="17"/>
      <c r="D681" s="48"/>
      <c r="E681" s="48"/>
      <c r="F681" s="16"/>
      <c r="G681" s="16"/>
      <c r="H681" s="16"/>
      <c r="I681" s="16"/>
      <c r="J681" s="16"/>
      <c r="K681" s="16"/>
      <c r="L681" s="16"/>
      <c r="M681" s="16"/>
      <c r="N681" s="16"/>
      <c r="O681" s="16"/>
      <c r="P681" s="16"/>
      <c r="Q681" s="16"/>
      <c r="R681" s="16"/>
      <c r="S681" s="16"/>
      <c r="T681" s="16"/>
      <c r="U681" s="16"/>
      <c r="V681" s="16"/>
      <c r="W681" s="16"/>
      <c r="X681" s="16"/>
    </row>
    <row r="682">
      <c r="A682" s="17"/>
      <c r="B682" s="17"/>
      <c r="C682" s="17"/>
      <c r="D682" s="48"/>
      <c r="E682" s="48"/>
      <c r="F682" s="16"/>
      <c r="G682" s="16"/>
      <c r="H682" s="16"/>
      <c r="I682" s="16"/>
      <c r="J682" s="16"/>
      <c r="K682" s="16"/>
      <c r="L682" s="16"/>
      <c r="M682" s="16"/>
      <c r="N682" s="16"/>
      <c r="O682" s="16"/>
      <c r="P682" s="16"/>
      <c r="Q682" s="16"/>
      <c r="R682" s="16"/>
      <c r="S682" s="16"/>
      <c r="T682" s="16"/>
      <c r="U682" s="16"/>
      <c r="V682" s="16"/>
      <c r="W682" s="16"/>
      <c r="X682" s="16"/>
    </row>
    <row r="683">
      <c r="A683" s="17"/>
      <c r="B683" s="17"/>
      <c r="C683" s="17"/>
      <c r="D683" s="48"/>
      <c r="E683" s="48"/>
      <c r="F683" s="16"/>
      <c r="G683" s="16"/>
      <c r="H683" s="16"/>
      <c r="I683" s="16"/>
      <c r="J683" s="16"/>
      <c r="K683" s="16"/>
      <c r="L683" s="16"/>
      <c r="M683" s="16"/>
      <c r="N683" s="16"/>
      <c r="O683" s="16"/>
      <c r="P683" s="16"/>
      <c r="Q683" s="16"/>
      <c r="R683" s="16"/>
      <c r="S683" s="16"/>
      <c r="T683" s="16"/>
      <c r="U683" s="16"/>
      <c r="V683" s="16"/>
      <c r="W683" s="16"/>
      <c r="X683" s="16"/>
    </row>
    <row r="684">
      <c r="A684" s="17"/>
      <c r="B684" s="17"/>
      <c r="C684" s="17"/>
      <c r="D684" s="48"/>
      <c r="E684" s="48"/>
      <c r="F684" s="16"/>
      <c r="G684" s="16"/>
      <c r="H684" s="16"/>
      <c r="I684" s="16"/>
      <c r="J684" s="16"/>
      <c r="K684" s="16"/>
      <c r="L684" s="16"/>
      <c r="M684" s="16"/>
      <c r="N684" s="16"/>
      <c r="O684" s="16"/>
      <c r="P684" s="16"/>
      <c r="Q684" s="16"/>
      <c r="R684" s="16"/>
      <c r="S684" s="16"/>
      <c r="T684" s="16"/>
      <c r="U684" s="16"/>
      <c r="V684" s="16"/>
      <c r="W684" s="16"/>
      <c r="X684" s="16"/>
    </row>
    <row r="685">
      <c r="A685" s="17"/>
      <c r="B685" s="17"/>
      <c r="C685" s="17"/>
      <c r="D685" s="48"/>
      <c r="E685" s="48"/>
      <c r="F685" s="16"/>
      <c r="G685" s="16"/>
      <c r="H685" s="16"/>
      <c r="I685" s="16"/>
      <c r="J685" s="16"/>
      <c r="K685" s="16"/>
      <c r="L685" s="16"/>
      <c r="M685" s="16"/>
      <c r="N685" s="16"/>
      <c r="O685" s="16"/>
      <c r="P685" s="16"/>
      <c r="Q685" s="16"/>
      <c r="R685" s="16"/>
      <c r="S685" s="16"/>
      <c r="T685" s="16"/>
      <c r="U685" s="16"/>
      <c r="V685" s="16"/>
      <c r="W685" s="16"/>
      <c r="X685" s="16"/>
    </row>
    <row r="686">
      <c r="A686" s="17"/>
      <c r="B686" s="17"/>
      <c r="C686" s="17"/>
      <c r="D686" s="48"/>
      <c r="E686" s="48"/>
      <c r="F686" s="16"/>
      <c r="G686" s="16"/>
      <c r="H686" s="16"/>
      <c r="I686" s="16"/>
      <c r="J686" s="16"/>
      <c r="K686" s="16"/>
      <c r="L686" s="16"/>
      <c r="M686" s="16"/>
      <c r="N686" s="16"/>
      <c r="O686" s="16"/>
      <c r="P686" s="16"/>
      <c r="Q686" s="16"/>
      <c r="R686" s="16"/>
      <c r="S686" s="16"/>
      <c r="T686" s="16"/>
      <c r="U686" s="16"/>
      <c r="V686" s="16"/>
      <c r="W686" s="16"/>
      <c r="X686" s="16"/>
    </row>
    <row r="687">
      <c r="A687" s="17"/>
      <c r="B687" s="17"/>
      <c r="C687" s="17"/>
      <c r="D687" s="48"/>
      <c r="E687" s="48"/>
      <c r="F687" s="16"/>
      <c r="G687" s="16"/>
      <c r="H687" s="16"/>
      <c r="I687" s="16"/>
      <c r="J687" s="16"/>
      <c r="K687" s="16"/>
      <c r="L687" s="16"/>
      <c r="M687" s="16"/>
      <c r="N687" s="16"/>
      <c r="O687" s="16"/>
      <c r="P687" s="16"/>
      <c r="Q687" s="16"/>
      <c r="R687" s="16"/>
      <c r="S687" s="16"/>
      <c r="T687" s="16"/>
      <c r="U687" s="16"/>
      <c r="V687" s="16"/>
      <c r="W687" s="16"/>
      <c r="X687" s="16"/>
    </row>
    <row r="688">
      <c r="A688" s="17"/>
      <c r="B688" s="17"/>
      <c r="C688" s="17"/>
      <c r="D688" s="48"/>
      <c r="E688" s="48"/>
      <c r="F688" s="16"/>
      <c r="G688" s="16"/>
      <c r="H688" s="16"/>
      <c r="I688" s="16"/>
      <c r="J688" s="16"/>
      <c r="K688" s="16"/>
      <c r="L688" s="16"/>
      <c r="M688" s="16"/>
      <c r="N688" s="16"/>
      <c r="O688" s="16"/>
      <c r="P688" s="16"/>
      <c r="Q688" s="16"/>
      <c r="R688" s="16"/>
      <c r="S688" s="16"/>
      <c r="T688" s="16"/>
      <c r="U688" s="16"/>
      <c r="V688" s="16"/>
      <c r="W688" s="16"/>
      <c r="X688" s="16"/>
    </row>
    <row r="689">
      <c r="A689" s="17"/>
      <c r="B689" s="17"/>
      <c r="C689" s="17"/>
      <c r="D689" s="48"/>
      <c r="E689" s="48"/>
      <c r="F689" s="16"/>
      <c r="G689" s="16"/>
      <c r="H689" s="16"/>
      <c r="I689" s="16"/>
      <c r="J689" s="16"/>
      <c r="K689" s="16"/>
      <c r="L689" s="16"/>
      <c r="M689" s="16"/>
      <c r="N689" s="16"/>
      <c r="O689" s="16"/>
      <c r="P689" s="16"/>
      <c r="Q689" s="16"/>
      <c r="R689" s="16"/>
      <c r="S689" s="16"/>
      <c r="T689" s="16"/>
      <c r="U689" s="16"/>
      <c r="V689" s="16"/>
      <c r="W689" s="16"/>
      <c r="X689" s="16"/>
    </row>
    <row r="690">
      <c r="A690" s="17"/>
      <c r="B690" s="17"/>
      <c r="C690" s="17"/>
      <c r="D690" s="48"/>
      <c r="E690" s="48"/>
      <c r="F690" s="16"/>
      <c r="G690" s="16"/>
      <c r="H690" s="16"/>
      <c r="I690" s="16"/>
      <c r="J690" s="16"/>
      <c r="K690" s="16"/>
      <c r="L690" s="16"/>
      <c r="M690" s="16"/>
      <c r="N690" s="16"/>
      <c r="O690" s="16"/>
      <c r="P690" s="16"/>
      <c r="Q690" s="16"/>
      <c r="R690" s="16"/>
      <c r="S690" s="16"/>
      <c r="T690" s="16"/>
      <c r="U690" s="16"/>
      <c r="V690" s="16"/>
      <c r="W690" s="16"/>
      <c r="X690" s="16"/>
    </row>
    <row r="691">
      <c r="A691" s="17"/>
      <c r="B691" s="17"/>
      <c r="C691" s="17"/>
      <c r="D691" s="48"/>
      <c r="E691" s="48"/>
      <c r="F691" s="16"/>
      <c r="G691" s="16"/>
      <c r="H691" s="16"/>
      <c r="I691" s="16"/>
      <c r="J691" s="16"/>
      <c r="K691" s="16"/>
      <c r="L691" s="16"/>
      <c r="M691" s="16"/>
      <c r="N691" s="16"/>
      <c r="O691" s="16"/>
      <c r="P691" s="16"/>
      <c r="Q691" s="16"/>
      <c r="R691" s="16"/>
      <c r="S691" s="16"/>
      <c r="T691" s="16"/>
      <c r="U691" s="16"/>
      <c r="V691" s="16"/>
      <c r="W691" s="16"/>
      <c r="X691" s="16"/>
    </row>
    <row r="692">
      <c r="A692" s="17"/>
      <c r="B692" s="17"/>
      <c r="C692" s="17"/>
      <c r="D692" s="48"/>
      <c r="E692" s="48"/>
      <c r="F692" s="16"/>
      <c r="G692" s="16"/>
      <c r="H692" s="16"/>
      <c r="I692" s="16"/>
      <c r="J692" s="16"/>
      <c r="K692" s="16"/>
      <c r="L692" s="16"/>
      <c r="M692" s="16"/>
      <c r="N692" s="16"/>
      <c r="O692" s="16"/>
      <c r="P692" s="16"/>
      <c r="Q692" s="16"/>
      <c r="R692" s="16"/>
      <c r="S692" s="16"/>
      <c r="T692" s="16"/>
      <c r="U692" s="16"/>
      <c r="V692" s="16"/>
      <c r="W692" s="16"/>
      <c r="X692" s="16"/>
    </row>
    <row r="693">
      <c r="A693" s="17"/>
      <c r="B693" s="17"/>
      <c r="C693" s="17"/>
      <c r="D693" s="48"/>
      <c r="E693" s="48"/>
      <c r="F693" s="16"/>
      <c r="G693" s="16"/>
      <c r="H693" s="16"/>
      <c r="I693" s="16"/>
      <c r="J693" s="16"/>
      <c r="K693" s="16"/>
      <c r="L693" s="16"/>
      <c r="M693" s="16"/>
      <c r="N693" s="16"/>
      <c r="O693" s="16"/>
      <c r="P693" s="16"/>
      <c r="Q693" s="16"/>
      <c r="R693" s="16"/>
      <c r="S693" s="16"/>
      <c r="T693" s="16"/>
      <c r="U693" s="16"/>
      <c r="V693" s="16"/>
      <c r="W693" s="16"/>
      <c r="X693" s="16"/>
    </row>
    <row r="694">
      <c r="A694" s="17"/>
      <c r="B694" s="17"/>
      <c r="C694" s="17"/>
      <c r="D694" s="48"/>
      <c r="E694" s="48"/>
      <c r="F694" s="16"/>
      <c r="G694" s="16"/>
      <c r="H694" s="16"/>
      <c r="I694" s="16"/>
      <c r="J694" s="16"/>
      <c r="K694" s="16"/>
      <c r="L694" s="16"/>
      <c r="M694" s="16"/>
      <c r="N694" s="16"/>
      <c r="O694" s="16"/>
      <c r="P694" s="16"/>
      <c r="Q694" s="16"/>
      <c r="R694" s="16"/>
      <c r="S694" s="16"/>
      <c r="T694" s="16"/>
      <c r="U694" s="16"/>
      <c r="V694" s="16"/>
      <c r="W694" s="16"/>
      <c r="X694" s="16"/>
    </row>
    <row r="695">
      <c r="A695" s="17"/>
      <c r="B695" s="17"/>
      <c r="C695" s="17"/>
      <c r="D695" s="48"/>
      <c r="E695" s="48"/>
      <c r="F695" s="16"/>
      <c r="G695" s="16"/>
      <c r="H695" s="16"/>
      <c r="I695" s="16"/>
      <c r="J695" s="16"/>
      <c r="K695" s="16"/>
      <c r="L695" s="16"/>
      <c r="M695" s="16"/>
      <c r="N695" s="16"/>
      <c r="O695" s="16"/>
      <c r="P695" s="16"/>
      <c r="Q695" s="16"/>
      <c r="R695" s="16"/>
      <c r="S695" s="16"/>
      <c r="T695" s="16"/>
      <c r="U695" s="16"/>
      <c r="V695" s="16"/>
      <c r="W695" s="16"/>
      <c r="X695" s="16"/>
    </row>
    <row r="696">
      <c r="A696" s="17"/>
      <c r="B696" s="17"/>
      <c r="C696" s="17"/>
      <c r="D696" s="48"/>
      <c r="E696" s="48"/>
      <c r="F696" s="16"/>
      <c r="G696" s="16"/>
      <c r="H696" s="16"/>
      <c r="I696" s="16"/>
      <c r="J696" s="16"/>
      <c r="K696" s="16"/>
      <c r="L696" s="16"/>
      <c r="M696" s="16"/>
      <c r="N696" s="16"/>
      <c r="O696" s="16"/>
      <c r="P696" s="16"/>
      <c r="Q696" s="16"/>
      <c r="R696" s="16"/>
      <c r="S696" s="16"/>
      <c r="T696" s="16"/>
      <c r="U696" s="16"/>
      <c r="V696" s="16"/>
      <c r="W696" s="16"/>
      <c r="X696" s="16"/>
    </row>
    <row r="697">
      <c r="A697" s="17"/>
      <c r="B697" s="17"/>
      <c r="C697" s="17"/>
      <c r="D697" s="48"/>
      <c r="E697" s="48"/>
      <c r="F697" s="16"/>
      <c r="G697" s="16"/>
      <c r="H697" s="16"/>
      <c r="I697" s="16"/>
      <c r="J697" s="16"/>
      <c r="K697" s="16"/>
      <c r="L697" s="16"/>
      <c r="M697" s="16"/>
      <c r="N697" s="16"/>
      <c r="O697" s="16"/>
      <c r="P697" s="16"/>
      <c r="Q697" s="16"/>
      <c r="R697" s="16"/>
      <c r="S697" s="16"/>
      <c r="T697" s="16"/>
      <c r="U697" s="16"/>
      <c r="V697" s="16"/>
      <c r="W697" s="16"/>
      <c r="X697" s="16"/>
    </row>
    <row r="698">
      <c r="A698" s="17"/>
      <c r="B698" s="17"/>
      <c r="C698" s="17"/>
      <c r="D698" s="48"/>
      <c r="E698" s="48"/>
      <c r="F698" s="16"/>
      <c r="G698" s="16"/>
      <c r="H698" s="16"/>
      <c r="I698" s="16"/>
      <c r="J698" s="16"/>
      <c r="K698" s="16"/>
      <c r="L698" s="16"/>
      <c r="M698" s="16"/>
      <c r="N698" s="16"/>
      <c r="O698" s="16"/>
      <c r="P698" s="16"/>
      <c r="Q698" s="16"/>
      <c r="R698" s="16"/>
      <c r="S698" s="16"/>
      <c r="T698" s="16"/>
      <c r="U698" s="16"/>
      <c r="V698" s="16"/>
      <c r="W698" s="16"/>
      <c r="X698" s="16"/>
    </row>
    <row r="699">
      <c r="A699" s="17"/>
      <c r="B699" s="17"/>
      <c r="C699" s="17"/>
      <c r="D699" s="48"/>
      <c r="E699" s="48"/>
      <c r="F699" s="16"/>
      <c r="G699" s="16"/>
      <c r="H699" s="16"/>
      <c r="I699" s="16"/>
      <c r="J699" s="16"/>
      <c r="K699" s="16"/>
      <c r="L699" s="16"/>
      <c r="M699" s="16"/>
      <c r="N699" s="16"/>
      <c r="O699" s="16"/>
      <c r="P699" s="16"/>
      <c r="Q699" s="16"/>
      <c r="R699" s="16"/>
      <c r="S699" s="16"/>
      <c r="T699" s="16"/>
      <c r="U699" s="16"/>
      <c r="V699" s="16"/>
      <c r="W699" s="16"/>
      <c r="X699" s="16"/>
    </row>
    <row r="700">
      <c r="A700" s="17"/>
      <c r="B700" s="17"/>
      <c r="C700" s="17"/>
      <c r="D700" s="48"/>
      <c r="E700" s="48"/>
      <c r="F700" s="16"/>
      <c r="G700" s="16"/>
      <c r="H700" s="16"/>
      <c r="I700" s="16"/>
      <c r="J700" s="16"/>
      <c r="K700" s="16"/>
      <c r="L700" s="16"/>
      <c r="M700" s="16"/>
      <c r="N700" s="16"/>
      <c r="O700" s="16"/>
      <c r="P700" s="16"/>
      <c r="Q700" s="16"/>
      <c r="R700" s="16"/>
      <c r="S700" s="16"/>
      <c r="T700" s="16"/>
      <c r="U700" s="16"/>
      <c r="V700" s="16"/>
      <c r="W700" s="16"/>
      <c r="X700" s="16"/>
    </row>
    <row r="701">
      <c r="A701" s="17"/>
      <c r="B701" s="17"/>
      <c r="C701" s="17"/>
      <c r="D701" s="48"/>
      <c r="E701" s="48"/>
      <c r="F701" s="16"/>
      <c r="G701" s="16"/>
      <c r="H701" s="16"/>
      <c r="I701" s="16"/>
      <c r="J701" s="16"/>
      <c r="K701" s="16"/>
      <c r="L701" s="16"/>
      <c r="M701" s="16"/>
      <c r="N701" s="16"/>
      <c r="O701" s="16"/>
      <c r="P701" s="16"/>
      <c r="Q701" s="16"/>
      <c r="R701" s="16"/>
      <c r="S701" s="16"/>
      <c r="T701" s="16"/>
      <c r="U701" s="16"/>
      <c r="V701" s="16"/>
      <c r="W701" s="16"/>
      <c r="X701" s="16"/>
    </row>
    <row r="702">
      <c r="A702" s="17"/>
      <c r="B702" s="17"/>
      <c r="C702" s="17"/>
      <c r="D702" s="48"/>
      <c r="E702" s="48"/>
      <c r="F702" s="16"/>
      <c r="G702" s="16"/>
      <c r="H702" s="16"/>
      <c r="I702" s="16"/>
      <c r="J702" s="16"/>
      <c r="K702" s="16"/>
      <c r="L702" s="16"/>
      <c r="M702" s="16"/>
      <c r="N702" s="16"/>
      <c r="O702" s="16"/>
      <c r="P702" s="16"/>
      <c r="Q702" s="16"/>
      <c r="R702" s="16"/>
      <c r="S702" s="16"/>
      <c r="T702" s="16"/>
      <c r="U702" s="16"/>
      <c r="V702" s="16"/>
      <c r="W702" s="16"/>
      <c r="X702" s="16"/>
    </row>
    <row r="703">
      <c r="A703" s="17"/>
      <c r="B703" s="17"/>
      <c r="C703" s="17"/>
      <c r="D703" s="48"/>
      <c r="E703" s="48"/>
      <c r="F703" s="16"/>
      <c r="G703" s="16"/>
      <c r="H703" s="16"/>
      <c r="I703" s="16"/>
      <c r="J703" s="16"/>
      <c r="K703" s="16"/>
      <c r="L703" s="16"/>
      <c r="M703" s="16"/>
      <c r="N703" s="16"/>
      <c r="O703" s="16"/>
      <c r="P703" s="16"/>
      <c r="Q703" s="16"/>
      <c r="R703" s="16"/>
      <c r="S703" s="16"/>
      <c r="T703" s="16"/>
      <c r="U703" s="16"/>
      <c r="V703" s="16"/>
      <c r="W703" s="16"/>
      <c r="X703" s="16"/>
    </row>
    <row r="704">
      <c r="A704" s="17"/>
      <c r="B704" s="17"/>
      <c r="C704" s="17"/>
      <c r="D704" s="48"/>
      <c r="E704" s="48"/>
      <c r="F704" s="16"/>
      <c r="G704" s="16"/>
      <c r="H704" s="16"/>
      <c r="I704" s="16"/>
      <c r="J704" s="16"/>
      <c r="K704" s="16"/>
      <c r="L704" s="16"/>
      <c r="M704" s="16"/>
      <c r="N704" s="16"/>
      <c r="O704" s="16"/>
      <c r="P704" s="16"/>
      <c r="Q704" s="16"/>
      <c r="R704" s="16"/>
      <c r="S704" s="16"/>
      <c r="T704" s="16"/>
      <c r="U704" s="16"/>
      <c r="V704" s="16"/>
      <c r="W704" s="16"/>
      <c r="X704" s="16"/>
    </row>
    <row r="705">
      <c r="A705" s="17"/>
      <c r="B705" s="17"/>
      <c r="C705" s="17"/>
      <c r="D705" s="48"/>
      <c r="E705" s="48"/>
      <c r="F705" s="16"/>
      <c r="G705" s="16"/>
      <c r="H705" s="16"/>
      <c r="I705" s="16"/>
      <c r="J705" s="16"/>
      <c r="K705" s="16"/>
      <c r="L705" s="16"/>
      <c r="M705" s="16"/>
      <c r="N705" s="16"/>
      <c r="O705" s="16"/>
      <c r="P705" s="16"/>
      <c r="Q705" s="16"/>
      <c r="R705" s="16"/>
      <c r="S705" s="16"/>
      <c r="T705" s="16"/>
      <c r="U705" s="16"/>
      <c r="V705" s="16"/>
      <c r="W705" s="16"/>
      <c r="X705" s="16"/>
    </row>
    <row r="706">
      <c r="A706" s="17"/>
      <c r="B706" s="17"/>
      <c r="C706" s="17"/>
      <c r="D706" s="48"/>
      <c r="E706" s="48"/>
      <c r="F706" s="16"/>
      <c r="G706" s="16"/>
      <c r="H706" s="16"/>
      <c r="I706" s="16"/>
      <c r="J706" s="16"/>
      <c r="K706" s="16"/>
      <c r="L706" s="16"/>
      <c r="M706" s="16"/>
      <c r="N706" s="16"/>
      <c r="O706" s="16"/>
      <c r="P706" s="16"/>
      <c r="Q706" s="16"/>
      <c r="R706" s="16"/>
      <c r="S706" s="16"/>
      <c r="T706" s="16"/>
      <c r="U706" s="16"/>
      <c r="V706" s="16"/>
      <c r="W706" s="16"/>
      <c r="X706" s="16"/>
    </row>
    <row r="707">
      <c r="A707" s="17"/>
      <c r="B707" s="17"/>
      <c r="C707" s="17"/>
      <c r="D707" s="48"/>
      <c r="E707" s="48"/>
      <c r="F707" s="16"/>
      <c r="G707" s="16"/>
      <c r="H707" s="16"/>
      <c r="I707" s="16"/>
      <c r="J707" s="16"/>
      <c r="K707" s="16"/>
      <c r="L707" s="16"/>
      <c r="M707" s="16"/>
      <c r="N707" s="16"/>
      <c r="O707" s="16"/>
      <c r="P707" s="16"/>
      <c r="Q707" s="16"/>
      <c r="R707" s="16"/>
      <c r="S707" s="16"/>
      <c r="T707" s="16"/>
      <c r="U707" s="16"/>
      <c r="V707" s="16"/>
      <c r="W707" s="16"/>
      <c r="X707" s="16"/>
    </row>
    <row r="708">
      <c r="A708" s="17"/>
      <c r="B708" s="17"/>
      <c r="C708" s="17"/>
      <c r="D708" s="48"/>
      <c r="E708" s="48"/>
      <c r="F708" s="16"/>
      <c r="G708" s="16"/>
      <c r="H708" s="16"/>
      <c r="I708" s="16"/>
      <c r="J708" s="16"/>
      <c r="K708" s="16"/>
      <c r="L708" s="16"/>
      <c r="M708" s="16"/>
      <c r="N708" s="16"/>
      <c r="O708" s="16"/>
      <c r="P708" s="16"/>
      <c r="Q708" s="16"/>
      <c r="R708" s="16"/>
      <c r="S708" s="16"/>
      <c r="T708" s="16"/>
      <c r="U708" s="16"/>
      <c r="V708" s="16"/>
      <c r="W708" s="16"/>
      <c r="X708" s="16"/>
    </row>
    <row r="709">
      <c r="A709" s="17"/>
      <c r="B709" s="17"/>
      <c r="C709" s="17"/>
      <c r="D709" s="48"/>
      <c r="E709" s="48"/>
      <c r="F709" s="16"/>
      <c r="G709" s="16"/>
      <c r="H709" s="16"/>
      <c r="I709" s="16"/>
      <c r="J709" s="16"/>
      <c r="K709" s="16"/>
      <c r="L709" s="16"/>
      <c r="M709" s="16"/>
      <c r="N709" s="16"/>
      <c r="O709" s="16"/>
      <c r="P709" s="16"/>
      <c r="Q709" s="16"/>
      <c r="R709" s="16"/>
      <c r="S709" s="16"/>
      <c r="T709" s="16"/>
      <c r="U709" s="16"/>
      <c r="V709" s="16"/>
      <c r="W709" s="16"/>
      <c r="X709" s="16"/>
    </row>
    <row r="710">
      <c r="A710" s="17"/>
      <c r="B710" s="17"/>
      <c r="C710" s="17"/>
      <c r="D710" s="48"/>
      <c r="E710" s="48"/>
      <c r="F710" s="16"/>
      <c r="G710" s="16"/>
      <c r="H710" s="16"/>
      <c r="I710" s="16"/>
      <c r="J710" s="16"/>
      <c r="K710" s="16"/>
      <c r="L710" s="16"/>
      <c r="M710" s="16"/>
      <c r="N710" s="16"/>
      <c r="O710" s="16"/>
      <c r="P710" s="16"/>
      <c r="Q710" s="16"/>
      <c r="R710" s="16"/>
      <c r="S710" s="16"/>
      <c r="T710" s="16"/>
      <c r="U710" s="16"/>
      <c r="V710" s="16"/>
      <c r="W710" s="16"/>
      <c r="X710" s="16"/>
    </row>
    <row r="711">
      <c r="A711" s="17"/>
      <c r="B711" s="17"/>
      <c r="C711" s="17"/>
      <c r="D711" s="48"/>
      <c r="E711" s="48"/>
      <c r="F711" s="16"/>
      <c r="G711" s="16"/>
      <c r="H711" s="16"/>
      <c r="I711" s="16"/>
      <c r="J711" s="16"/>
      <c r="K711" s="16"/>
      <c r="L711" s="16"/>
      <c r="M711" s="16"/>
      <c r="N711" s="16"/>
      <c r="O711" s="16"/>
      <c r="P711" s="16"/>
      <c r="Q711" s="16"/>
      <c r="R711" s="16"/>
      <c r="S711" s="16"/>
      <c r="T711" s="16"/>
      <c r="U711" s="16"/>
      <c r="V711" s="16"/>
      <c r="W711" s="16"/>
      <c r="X711" s="16"/>
    </row>
    <row r="712">
      <c r="A712" s="17"/>
      <c r="B712" s="17"/>
      <c r="C712" s="17"/>
      <c r="D712" s="48"/>
      <c r="E712" s="48"/>
      <c r="F712" s="16"/>
      <c r="G712" s="16"/>
      <c r="H712" s="16"/>
      <c r="I712" s="16"/>
      <c r="J712" s="16"/>
      <c r="K712" s="16"/>
      <c r="L712" s="16"/>
      <c r="M712" s="16"/>
      <c r="N712" s="16"/>
      <c r="O712" s="16"/>
      <c r="P712" s="16"/>
      <c r="Q712" s="16"/>
      <c r="R712" s="16"/>
      <c r="S712" s="16"/>
      <c r="T712" s="16"/>
      <c r="U712" s="16"/>
      <c r="V712" s="16"/>
      <c r="W712" s="16"/>
      <c r="X712" s="16"/>
    </row>
    <row r="713">
      <c r="A713" s="17"/>
      <c r="B713" s="17"/>
      <c r="C713" s="17"/>
      <c r="D713" s="48"/>
      <c r="E713" s="48"/>
      <c r="F713" s="16"/>
      <c r="G713" s="16"/>
      <c r="H713" s="16"/>
      <c r="I713" s="16"/>
      <c r="J713" s="16"/>
      <c r="K713" s="16"/>
      <c r="L713" s="16"/>
      <c r="M713" s="16"/>
      <c r="N713" s="16"/>
      <c r="O713" s="16"/>
      <c r="P713" s="16"/>
      <c r="Q713" s="16"/>
      <c r="R713" s="16"/>
      <c r="S713" s="16"/>
      <c r="T713" s="16"/>
      <c r="U713" s="16"/>
      <c r="V713" s="16"/>
      <c r="W713" s="16"/>
      <c r="X713" s="16"/>
    </row>
    <row r="714">
      <c r="A714" s="17"/>
      <c r="B714" s="17"/>
      <c r="C714" s="17"/>
      <c r="D714" s="48"/>
      <c r="E714" s="48"/>
      <c r="F714" s="16"/>
      <c r="G714" s="16"/>
      <c r="H714" s="16"/>
      <c r="I714" s="16"/>
      <c r="J714" s="16"/>
      <c r="K714" s="16"/>
      <c r="L714" s="16"/>
      <c r="M714" s="16"/>
      <c r="N714" s="16"/>
      <c r="O714" s="16"/>
      <c r="P714" s="16"/>
      <c r="Q714" s="16"/>
      <c r="R714" s="16"/>
      <c r="S714" s="16"/>
      <c r="T714" s="16"/>
      <c r="U714" s="16"/>
      <c r="V714" s="16"/>
      <c r="W714" s="16"/>
      <c r="X714" s="16"/>
    </row>
    <row r="715">
      <c r="A715" s="17"/>
      <c r="B715" s="17"/>
      <c r="C715" s="17"/>
      <c r="D715" s="48"/>
      <c r="E715" s="48"/>
      <c r="F715" s="16"/>
      <c r="G715" s="16"/>
      <c r="H715" s="16"/>
      <c r="I715" s="16"/>
      <c r="J715" s="16"/>
      <c r="K715" s="16"/>
      <c r="L715" s="16"/>
      <c r="M715" s="16"/>
      <c r="N715" s="16"/>
      <c r="O715" s="16"/>
      <c r="P715" s="16"/>
      <c r="Q715" s="16"/>
      <c r="R715" s="16"/>
      <c r="S715" s="16"/>
      <c r="T715" s="16"/>
      <c r="U715" s="16"/>
      <c r="V715" s="16"/>
      <c r="W715" s="16"/>
      <c r="X715" s="16"/>
    </row>
    <row r="716">
      <c r="A716" s="17"/>
      <c r="B716" s="17"/>
      <c r="C716" s="17"/>
      <c r="D716" s="48"/>
      <c r="E716" s="48"/>
      <c r="F716" s="16"/>
      <c r="G716" s="16"/>
      <c r="H716" s="16"/>
      <c r="I716" s="16"/>
      <c r="J716" s="16"/>
      <c r="K716" s="16"/>
      <c r="L716" s="16"/>
      <c r="M716" s="16"/>
      <c r="N716" s="16"/>
      <c r="O716" s="16"/>
      <c r="P716" s="16"/>
      <c r="Q716" s="16"/>
      <c r="R716" s="16"/>
      <c r="S716" s="16"/>
      <c r="T716" s="16"/>
      <c r="U716" s="16"/>
      <c r="V716" s="16"/>
      <c r="W716" s="16"/>
      <c r="X716" s="16"/>
    </row>
    <row r="717">
      <c r="A717" s="17"/>
      <c r="B717" s="17"/>
      <c r="C717" s="17"/>
      <c r="D717" s="48"/>
      <c r="E717" s="48"/>
      <c r="F717" s="16"/>
      <c r="G717" s="16"/>
      <c r="H717" s="16"/>
      <c r="I717" s="16"/>
      <c r="J717" s="16"/>
      <c r="K717" s="16"/>
      <c r="L717" s="16"/>
      <c r="M717" s="16"/>
      <c r="N717" s="16"/>
      <c r="O717" s="16"/>
      <c r="P717" s="16"/>
      <c r="Q717" s="16"/>
      <c r="R717" s="16"/>
      <c r="S717" s="16"/>
      <c r="T717" s="16"/>
      <c r="U717" s="16"/>
      <c r="V717" s="16"/>
      <c r="W717" s="16"/>
      <c r="X717" s="16"/>
    </row>
    <row r="718">
      <c r="A718" s="17"/>
      <c r="B718" s="17"/>
      <c r="C718" s="17"/>
      <c r="D718" s="48"/>
      <c r="E718" s="48"/>
      <c r="F718" s="16"/>
      <c r="G718" s="16"/>
      <c r="H718" s="16"/>
      <c r="I718" s="16"/>
      <c r="J718" s="16"/>
      <c r="K718" s="16"/>
      <c r="L718" s="16"/>
      <c r="M718" s="16"/>
      <c r="N718" s="16"/>
      <c r="O718" s="16"/>
      <c r="P718" s="16"/>
      <c r="Q718" s="16"/>
      <c r="R718" s="16"/>
      <c r="S718" s="16"/>
      <c r="T718" s="16"/>
      <c r="U718" s="16"/>
      <c r="V718" s="16"/>
      <c r="W718" s="16"/>
      <c r="X718" s="16"/>
    </row>
    <row r="719">
      <c r="A719" s="17"/>
      <c r="B719" s="17"/>
      <c r="C719" s="17"/>
      <c r="D719" s="48"/>
      <c r="E719" s="48"/>
      <c r="F719" s="16"/>
      <c r="G719" s="16"/>
      <c r="H719" s="16"/>
      <c r="I719" s="16"/>
      <c r="J719" s="16"/>
      <c r="K719" s="16"/>
      <c r="L719" s="16"/>
      <c r="M719" s="16"/>
      <c r="N719" s="16"/>
      <c r="O719" s="16"/>
      <c r="P719" s="16"/>
      <c r="Q719" s="16"/>
      <c r="R719" s="16"/>
      <c r="S719" s="16"/>
      <c r="T719" s="16"/>
      <c r="U719" s="16"/>
      <c r="V719" s="16"/>
      <c r="W719" s="16"/>
      <c r="X719" s="16"/>
    </row>
    <row r="720">
      <c r="A720" s="17"/>
      <c r="B720" s="17"/>
      <c r="C720" s="17"/>
      <c r="D720" s="48"/>
      <c r="E720" s="48"/>
      <c r="F720" s="16"/>
      <c r="G720" s="16"/>
      <c r="H720" s="16"/>
      <c r="I720" s="16"/>
      <c r="J720" s="16"/>
      <c r="K720" s="16"/>
      <c r="L720" s="16"/>
      <c r="M720" s="16"/>
      <c r="N720" s="16"/>
      <c r="O720" s="16"/>
      <c r="P720" s="16"/>
      <c r="Q720" s="16"/>
      <c r="R720" s="16"/>
      <c r="S720" s="16"/>
      <c r="T720" s="16"/>
      <c r="U720" s="16"/>
      <c r="V720" s="16"/>
      <c r="W720" s="16"/>
      <c r="X720" s="16"/>
    </row>
    <row r="721">
      <c r="A721" s="17"/>
      <c r="B721" s="17"/>
      <c r="C721" s="17"/>
      <c r="D721" s="48"/>
      <c r="E721" s="48"/>
      <c r="F721" s="16"/>
      <c r="G721" s="16"/>
      <c r="H721" s="16"/>
      <c r="I721" s="16"/>
      <c r="J721" s="16"/>
      <c r="K721" s="16"/>
      <c r="L721" s="16"/>
      <c r="M721" s="16"/>
      <c r="N721" s="16"/>
      <c r="O721" s="16"/>
      <c r="P721" s="16"/>
      <c r="Q721" s="16"/>
      <c r="R721" s="16"/>
      <c r="S721" s="16"/>
      <c r="T721" s="16"/>
      <c r="U721" s="16"/>
      <c r="V721" s="16"/>
      <c r="W721" s="16"/>
      <c r="X721" s="16"/>
    </row>
    <row r="722">
      <c r="A722" s="17"/>
      <c r="B722" s="17"/>
      <c r="C722" s="17"/>
      <c r="D722" s="48"/>
      <c r="E722" s="48"/>
      <c r="F722" s="16"/>
      <c r="G722" s="16"/>
      <c r="H722" s="16"/>
      <c r="I722" s="16"/>
      <c r="J722" s="16"/>
      <c r="K722" s="16"/>
      <c r="L722" s="16"/>
      <c r="M722" s="16"/>
      <c r="N722" s="16"/>
      <c r="O722" s="16"/>
      <c r="P722" s="16"/>
      <c r="Q722" s="16"/>
      <c r="R722" s="16"/>
      <c r="S722" s="16"/>
      <c r="T722" s="16"/>
      <c r="U722" s="16"/>
      <c r="V722" s="16"/>
      <c r="W722" s="16"/>
      <c r="X722" s="16"/>
    </row>
    <row r="723">
      <c r="A723" s="17"/>
      <c r="B723" s="17"/>
      <c r="C723" s="17"/>
      <c r="D723" s="48"/>
      <c r="E723" s="48"/>
      <c r="F723" s="16"/>
      <c r="G723" s="16"/>
      <c r="H723" s="16"/>
      <c r="I723" s="16"/>
      <c r="J723" s="16"/>
      <c r="K723" s="16"/>
      <c r="L723" s="16"/>
      <c r="M723" s="16"/>
      <c r="N723" s="16"/>
      <c r="O723" s="16"/>
      <c r="P723" s="16"/>
      <c r="Q723" s="16"/>
      <c r="R723" s="16"/>
      <c r="S723" s="16"/>
      <c r="T723" s="16"/>
      <c r="U723" s="16"/>
      <c r="V723" s="16"/>
      <c r="W723" s="16"/>
      <c r="X723" s="16"/>
    </row>
    <row r="724">
      <c r="A724" s="17"/>
      <c r="B724" s="17"/>
      <c r="C724" s="17"/>
      <c r="D724" s="48"/>
      <c r="E724" s="48"/>
      <c r="F724" s="16"/>
      <c r="G724" s="16"/>
      <c r="H724" s="16"/>
      <c r="I724" s="16"/>
      <c r="J724" s="16"/>
      <c r="K724" s="16"/>
      <c r="L724" s="16"/>
      <c r="M724" s="16"/>
      <c r="N724" s="16"/>
      <c r="O724" s="16"/>
      <c r="P724" s="16"/>
      <c r="Q724" s="16"/>
      <c r="R724" s="16"/>
      <c r="S724" s="16"/>
      <c r="T724" s="16"/>
      <c r="U724" s="16"/>
      <c r="V724" s="16"/>
      <c r="W724" s="16"/>
      <c r="X724" s="16"/>
    </row>
    <row r="725">
      <c r="A725" s="17"/>
      <c r="B725" s="17"/>
      <c r="C725" s="17"/>
      <c r="D725" s="48"/>
      <c r="E725" s="48"/>
      <c r="F725" s="16"/>
      <c r="G725" s="16"/>
      <c r="H725" s="16"/>
      <c r="I725" s="16"/>
      <c r="J725" s="16"/>
      <c r="K725" s="16"/>
      <c r="L725" s="16"/>
      <c r="M725" s="16"/>
      <c r="N725" s="16"/>
      <c r="O725" s="16"/>
      <c r="P725" s="16"/>
      <c r="Q725" s="16"/>
      <c r="R725" s="16"/>
      <c r="S725" s="16"/>
      <c r="T725" s="16"/>
      <c r="U725" s="16"/>
      <c r="V725" s="16"/>
      <c r="W725" s="16"/>
      <c r="X725" s="16"/>
    </row>
    <row r="726">
      <c r="A726" s="17"/>
      <c r="B726" s="17"/>
      <c r="C726" s="17"/>
      <c r="D726" s="48"/>
      <c r="E726" s="48"/>
      <c r="F726" s="16"/>
      <c r="G726" s="16"/>
      <c r="H726" s="16"/>
      <c r="I726" s="16"/>
      <c r="J726" s="16"/>
      <c r="K726" s="16"/>
      <c r="L726" s="16"/>
      <c r="M726" s="16"/>
      <c r="N726" s="16"/>
      <c r="O726" s="16"/>
      <c r="P726" s="16"/>
      <c r="Q726" s="16"/>
      <c r="R726" s="16"/>
      <c r="S726" s="16"/>
      <c r="T726" s="16"/>
      <c r="U726" s="16"/>
      <c r="V726" s="16"/>
      <c r="W726" s="16"/>
      <c r="X726" s="16"/>
    </row>
    <row r="727">
      <c r="A727" s="17"/>
      <c r="B727" s="17"/>
      <c r="C727" s="17"/>
      <c r="D727" s="48"/>
      <c r="E727" s="48"/>
      <c r="F727" s="16"/>
      <c r="G727" s="16"/>
      <c r="H727" s="16"/>
      <c r="I727" s="16"/>
      <c r="J727" s="16"/>
      <c r="K727" s="16"/>
      <c r="L727" s="16"/>
      <c r="M727" s="16"/>
      <c r="N727" s="16"/>
      <c r="O727" s="16"/>
      <c r="P727" s="16"/>
      <c r="Q727" s="16"/>
      <c r="R727" s="16"/>
      <c r="S727" s="16"/>
      <c r="T727" s="16"/>
      <c r="U727" s="16"/>
      <c r="V727" s="16"/>
      <c r="W727" s="16"/>
      <c r="X727" s="16"/>
    </row>
    <row r="728">
      <c r="A728" s="17"/>
      <c r="B728" s="17"/>
      <c r="C728" s="17"/>
      <c r="D728" s="48"/>
      <c r="E728" s="48"/>
      <c r="F728" s="16"/>
      <c r="G728" s="16"/>
      <c r="H728" s="16"/>
      <c r="I728" s="16"/>
      <c r="J728" s="16"/>
      <c r="K728" s="16"/>
      <c r="L728" s="16"/>
      <c r="M728" s="16"/>
      <c r="N728" s="16"/>
      <c r="O728" s="16"/>
      <c r="P728" s="16"/>
      <c r="Q728" s="16"/>
      <c r="R728" s="16"/>
      <c r="S728" s="16"/>
      <c r="T728" s="16"/>
      <c r="U728" s="16"/>
      <c r="V728" s="16"/>
      <c r="W728" s="16"/>
      <c r="X728" s="16"/>
    </row>
    <row r="729">
      <c r="A729" s="17"/>
      <c r="B729" s="17"/>
      <c r="C729" s="17"/>
      <c r="D729" s="48"/>
      <c r="E729" s="48"/>
      <c r="F729" s="16"/>
      <c r="G729" s="16"/>
      <c r="H729" s="16"/>
      <c r="I729" s="16"/>
      <c r="J729" s="16"/>
      <c r="K729" s="16"/>
      <c r="L729" s="16"/>
      <c r="M729" s="16"/>
      <c r="N729" s="16"/>
      <c r="O729" s="16"/>
      <c r="P729" s="16"/>
      <c r="Q729" s="16"/>
      <c r="R729" s="16"/>
      <c r="S729" s="16"/>
      <c r="T729" s="16"/>
      <c r="U729" s="16"/>
      <c r="V729" s="16"/>
      <c r="W729" s="16"/>
      <c r="X729" s="16"/>
    </row>
    <row r="730">
      <c r="A730" s="17"/>
      <c r="B730" s="17"/>
      <c r="C730" s="17"/>
      <c r="D730" s="48"/>
      <c r="E730" s="48"/>
      <c r="F730" s="16"/>
      <c r="G730" s="16"/>
      <c r="H730" s="16"/>
      <c r="I730" s="16"/>
      <c r="J730" s="16"/>
      <c r="K730" s="16"/>
      <c r="L730" s="16"/>
      <c r="M730" s="16"/>
      <c r="N730" s="16"/>
      <c r="O730" s="16"/>
      <c r="P730" s="16"/>
      <c r="Q730" s="16"/>
      <c r="R730" s="16"/>
      <c r="S730" s="16"/>
      <c r="T730" s="16"/>
      <c r="U730" s="16"/>
      <c r="V730" s="16"/>
      <c r="W730" s="16"/>
      <c r="X730" s="16"/>
    </row>
    <row r="731">
      <c r="A731" s="17"/>
      <c r="B731" s="17"/>
      <c r="C731" s="17"/>
      <c r="D731" s="48"/>
      <c r="E731" s="48"/>
      <c r="F731" s="16"/>
      <c r="G731" s="16"/>
      <c r="H731" s="16"/>
      <c r="I731" s="16"/>
      <c r="J731" s="16"/>
      <c r="K731" s="16"/>
      <c r="L731" s="16"/>
      <c r="M731" s="16"/>
      <c r="N731" s="16"/>
      <c r="O731" s="16"/>
      <c r="P731" s="16"/>
      <c r="Q731" s="16"/>
      <c r="R731" s="16"/>
      <c r="S731" s="16"/>
      <c r="T731" s="16"/>
      <c r="U731" s="16"/>
      <c r="V731" s="16"/>
      <c r="W731" s="16"/>
      <c r="X731" s="16"/>
    </row>
    <row r="732">
      <c r="A732" s="17"/>
      <c r="B732" s="17"/>
      <c r="C732" s="17"/>
      <c r="D732" s="48"/>
      <c r="E732" s="48"/>
      <c r="F732" s="16"/>
      <c r="G732" s="16"/>
      <c r="H732" s="16"/>
      <c r="I732" s="16"/>
      <c r="J732" s="16"/>
      <c r="K732" s="16"/>
      <c r="L732" s="16"/>
      <c r="M732" s="16"/>
      <c r="N732" s="16"/>
      <c r="O732" s="16"/>
      <c r="P732" s="16"/>
      <c r="Q732" s="16"/>
      <c r="R732" s="16"/>
      <c r="S732" s="16"/>
      <c r="T732" s="16"/>
      <c r="U732" s="16"/>
      <c r="V732" s="16"/>
      <c r="W732" s="16"/>
      <c r="X732" s="16"/>
    </row>
    <row r="733">
      <c r="A733" s="17"/>
      <c r="B733" s="17"/>
      <c r="C733" s="17"/>
      <c r="D733" s="48"/>
      <c r="E733" s="48"/>
      <c r="F733" s="16"/>
      <c r="G733" s="16"/>
      <c r="H733" s="16"/>
      <c r="I733" s="16"/>
      <c r="J733" s="16"/>
      <c r="K733" s="16"/>
      <c r="L733" s="16"/>
      <c r="M733" s="16"/>
      <c r="N733" s="16"/>
      <c r="O733" s="16"/>
      <c r="P733" s="16"/>
      <c r="Q733" s="16"/>
      <c r="R733" s="16"/>
      <c r="S733" s="16"/>
      <c r="T733" s="16"/>
      <c r="U733" s="16"/>
      <c r="V733" s="16"/>
      <c r="W733" s="16"/>
      <c r="X733" s="16"/>
    </row>
    <row r="734">
      <c r="A734" s="17"/>
      <c r="B734" s="17"/>
      <c r="C734" s="17"/>
      <c r="D734" s="48"/>
      <c r="E734" s="48"/>
      <c r="F734" s="16"/>
      <c r="G734" s="16"/>
      <c r="H734" s="16"/>
      <c r="I734" s="16"/>
      <c r="J734" s="16"/>
      <c r="K734" s="16"/>
      <c r="L734" s="16"/>
      <c r="M734" s="16"/>
      <c r="N734" s="16"/>
      <c r="O734" s="16"/>
      <c r="P734" s="16"/>
      <c r="Q734" s="16"/>
      <c r="R734" s="16"/>
      <c r="S734" s="16"/>
      <c r="T734" s="16"/>
      <c r="U734" s="16"/>
      <c r="V734" s="16"/>
      <c r="W734" s="16"/>
      <c r="X734" s="16"/>
    </row>
    <row r="735">
      <c r="A735" s="17"/>
      <c r="B735" s="17"/>
      <c r="C735" s="17"/>
      <c r="D735" s="48"/>
      <c r="E735" s="48"/>
      <c r="F735" s="16"/>
      <c r="G735" s="16"/>
      <c r="H735" s="16"/>
      <c r="I735" s="16"/>
      <c r="J735" s="16"/>
      <c r="K735" s="16"/>
      <c r="L735" s="16"/>
      <c r="M735" s="16"/>
      <c r="N735" s="16"/>
      <c r="O735" s="16"/>
      <c r="P735" s="16"/>
      <c r="Q735" s="16"/>
      <c r="R735" s="16"/>
      <c r="S735" s="16"/>
      <c r="T735" s="16"/>
      <c r="U735" s="16"/>
      <c r="V735" s="16"/>
      <c r="W735" s="16"/>
      <c r="X735" s="16"/>
    </row>
    <row r="736">
      <c r="A736" s="17"/>
      <c r="B736" s="17"/>
      <c r="C736" s="17"/>
      <c r="D736" s="48"/>
      <c r="E736" s="48"/>
      <c r="F736" s="16"/>
      <c r="G736" s="16"/>
      <c r="H736" s="16"/>
      <c r="I736" s="16"/>
      <c r="J736" s="16"/>
      <c r="K736" s="16"/>
      <c r="L736" s="16"/>
      <c r="M736" s="16"/>
      <c r="N736" s="16"/>
      <c r="O736" s="16"/>
      <c r="P736" s="16"/>
      <c r="Q736" s="16"/>
      <c r="R736" s="16"/>
      <c r="S736" s="16"/>
      <c r="T736" s="16"/>
      <c r="U736" s="16"/>
      <c r="V736" s="16"/>
      <c r="W736" s="16"/>
      <c r="X736" s="16"/>
    </row>
    <row r="737">
      <c r="A737" s="17"/>
      <c r="B737" s="17"/>
      <c r="C737" s="17"/>
      <c r="D737" s="48"/>
      <c r="E737" s="48"/>
      <c r="F737" s="16"/>
      <c r="G737" s="16"/>
      <c r="H737" s="16"/>
      <c r="I737" s="16"/>
      <c r="J737" s="16"/>
      <c r="K737" s="16"/>
      <c r="L737" s="16"/>
      <c r="M737" s="16"/>
      <c r="N737" s="16"/>
      <c r="O737" s="16"/>
      <c r="P737" s="16"/>
      <c r="Q737" s="16"/>
      <c r="R737" s="16"/>
      <c r="S737" s="16"/>
      <c r="T737" s="16"/>
      <c r="U737" s="16"/>
      <c r="V737" s="16"/>
      <c r="W737" s="16"/>
      <c r="X737" s="16"/>
    </row>
    <row r="738">
      <c r="A738" s="17"/>
      <c r="B738" s="17"/>
      <c r="C738" s="17"/>
      <c r="D738" s="48"/>
      <c r="E738" s="48"/>
      <c r="F738" s="16"/>
      <c r="G738" s="16"/>
      <c r="H738" s="16"/>
      <c r="I738" s="16"/>
      <c r="J738" s="16"/>
      <c r="K738" s="16"/>
      <c r="L738" s="16"/>
      <c r="M738" s="16"/>
      <c r="N738" s="16"/>
      <c r="O738" s="16"/>
      <c r="P738" s="16"/>
      <c r="Q738" s="16"/>
      <c r="R738" s="16"/>
      <c r="S738" s="16"/>
      <c r="T738" s="16"/>
      <c r="U738" s="16"/>
      <c r="V738" s="16"/>
      <c r="W738" s="16"/>
      <c r="X738" s="16"/>
    </row>
    <row r="739">
      <c r="A739" s="17"/>
      <c r="B739" s="17"/>
      <c r="C739" s="17"/>
      <c r="D739" s="48"/>
      <c r="E739" s="48"/>
      <c r="F739" s="16"/>
      <c r="G739" s="16"/>
      <c r="H739" s="16"/>
      <c r="I739" s="16"/>
      <c r="J739" s="16"/>
      <c r="K739" s="16"/>
      <c r="L739" s="16"/>
      <c r="M739" s="16"/>
      <c r="N739" s="16"/>
      <c r="O739" s="16"/>
      <c r="P739" s="16"/>
      <c r="Q739" s="16"/>
      <c r="R739" s="16"/>
      <c r="S739" s="16"/>
      <c r="T739" s="16"/>
      <c r="U739" s="16"/>
      <c r="V739" s="16"/>
      <c r="W739" s="16"/>
      <c r="X739" s="16"/>
    </row>
    <row r="740">
      <c r="A740" s="17"/>
      <c r="B740" s="17"/>
      <c r="C740" s="17"/>
      <c r="D740" s="48"/>
      <c r="E740" s="48"/>
      <c r="F740" s="16"/>
      <c r="G740" s="16"/>
      <c r="H740" s="16"/>
      <c r="I740" s="16"/>
      <c r="J740" s="16"/>
      <c r="K740" s="16"/>
      <c r="L740" s="16"/>
      <c r="M740" s="16"/>
      <c r="N740" s="16"/>
      <c r="O740" s="16"/>
      <c r="P740" s="16"/>
      <c r="Q740" s="16"/>
      <c r="R740" s="16"/>
      <c r="S740" s="16"/>
      <c r="T740" s="16"/>
      <c r="U740" s="16"/>
      <c r="V740" s="16"/>
      <c r="W740" s="16"/>
      <c r="X740" s="16"/>
    </row>
    <row r="741">
      <c r="A741" s="17"/>
      <c r="B741" s="17"/>
      <c r="C741" s="17"/>
      <c r="D741" s="48"/>
      <c r="E741" s="48"/>
      <c r="F741" s="16"/>
      <c r="G741" s="16"/>
      <c r="H741" s="16"/>
      <c r="I741" s="16"/>
      <c r="J741" s="16"/>
      <c r="K741" s="16"/>
      <c r="L741" s="16"/>
      <c r="M741" s="16"/>
      <c r="N741" s="16"/>
      <c r="O741" s="16"/>
      <c r="P741" s="16"/>
      <c r="Q741" s="16"/>
      <c r="R741" s="16"/>
      <c r="S741" s="16"/>
      <c r="T741" s="16"/>
      <c r="U741" s="16"/>
      <c r="V741" s="16"/>
      <c r="W741" s="16"/>
      <c r="X741" s="16"/>
    </row>
    <row r="742">
      <c r="A742" s="17"/>
      <c r="B742" s="17"/>
      <c r="C742" s="17"/>
      <c r="D742" s="48"/>
      <c r="E742" s="48"/>
      <c r="F742" s="16"/>
      <c r="G742" s="16"/>
      <c r="H742" s="16"/>
      <c r="I742" s="16"/>
      <c r="J742" s="16"/>
      <c r="K742" s="16"/>
      <c r="L742" s="16"/>
      <c r="M742" s="16"/>
      <c r="N742" s="16"/>
      <c r="O742" s="16"/>
      <c r="P742" s="16"/>
      <c r="Q742" s="16"/>
      <c r="R742" s="16"/>
      <c r="S742" s="16"/>
      <c r="T742" s="16"/>
      <c r="U742" s="16"/>
      <c r="V742" s="16"/>
      <c r="W742" s="16"/>
      <c r="X742" s="16"/>
    </row>
    <row r="743">
      <c r="A743" s="17"/>
      <c r="B743" s="17"/>
      <c r="C743" s="17"/>
      <c r="D743" s="48"/>
      <c r="E743" s="48"/>
      <c r="F743" s="16"/>
      <c r="G743" s="16"/>
      <c r="H743" s="16"/>
      <c r="I743" s="16"/>
      <c r="J743" s="16"/>
      <c r="K743" s="16"/>
      <c r="L743" s="16"/>
      <c r="M743" s="16"/>
      <c r="N743" s="16"/>
      <c r="O743" s="16"/>
      <c r="P743" s="16"/>
      <c r="Q743" s="16"/>
      <c r="R743" s="16"/>
      <c r="S743" s="16"/>
      <c r="T743" s="16"/>
      <c r="U743" s="16"/>
      <c r="V743" s="16"/>
      <c r="W743" s="16"/>
      <c r="X743" s="16"/>
    </row>
    <row r="744">
      <c r="A744" s="17"/>
      <c r="B744" s="17"/>
      <c r="C744" s="17"/>
      <c r="D744" s="48"/>
      <c r="E744" s="48"/>
      <c r="F744" s="16"/>
      <c r="G744" s="16"/>
      <c r="H744" s="16"/>
      <c r="I744" s="16"/>
      <c r="J744" s="16"/>
      <c r="K744" s="16"/>
      <c r="L744" s="16"/>
      <c r="M744" s="16"/>
      <c r="N744" s="16"/>
      <c r="O744" s="16"/>
      <c r="P744" s="16"/>
      <c r="Q744" s="16"/>
      <c r="R744" s="16"/>
      <c r="S744" s="16"/>
      <c r="T744" s="16"/>
      <c r="U744" s="16"/>
      <c r="V744" s="16"/>
      <c r="W744" s="16"/>
      <c r="X744" s="16"/>
    </row>
    <row r="745">
      <c r="A745" s="17"/>
      <c r="B745" s="17"/>
      <c r="C745" s="17"/>
      <c r="D745" s="48"/>
      <c r="E745" s="48"/>
      <c r="F745" s="16"/>
      <c r="G745" s="16"/>
      <c r="H745" s="16"/>
      <c r="I745" s="16"/>
      <c r="J745" s="16"/>
      <c r="K745" s="16"/>
      <c r="L745" s="16"/>
      <c r="M745" s="16"/>
      <c r="N745" s="16"/>
      <c r="O745" s="16"/>
      <c r="P745" s="16"/>
      <c r="Q745" s="16"/>
      <c r="R745" s="16"/>
      <c r="S745" s="16"/>
      <c r="T745" s="16"/>
      <c r="U745" s="16"/>
      <c r="V745" s="16"/>
      <c r="W745" s="16"/>
      <c r="X745" s="16"/>
    </row>
    <row r="746">
      <c r="A746" s="17"/>
      <c r="B746" s="17"/>
      <c r="C746" s="17"/>
      <c r="D746" s="48"/>
      <c r="E746" s="48"/>
      <c r="F746" s="16"/>
      <c r="G746" s="16"/>
      <c r="H746" s="16"/>
      <c r="I746" s="16"/>
      <c r="J746" s="16"/>
      <c r="K746" s="16"/>
      <c r="L746" s="16"/>
      <c r="M746" s="16"/>
      <c r="N746" s="16"/>
      <c r="O746" s="16"/>
      <c r="P746" s="16"/>
      <c r="Q746" s="16"/>
      <c r="R746" s="16"/>
      <c r="S746" s="16"/>
      <c r="T746" s="16"/>
      <c r="U746" s="16"/>
      <c r="V746" s="16"/>
      <c r="W746" s="16"/>
      <c r="X746" s="16"/>
    </row>
    <row r="747">
      <c r="A747" s="17"/>
      <c r="B747" s="17"/>
      <c r="C747" s="17"/>
      <c r="D747" s="48"/>
      <c r="E747" s="48"/>
      <c r="F747" s="16"/>
      <c r="G747" s="16"/>
      <c r="H747" s="16"/>
      <c r="I747" s="16"/>
      <c r="J747" s="16"/>
      <c r="K747" s="16"/>
      <c r="L747" s="16"/>
      <c r="M747" s="16"/>
      <c r="N747" s="16"/>
      <c r="O747" s="16"/>
      <c r="P747" s="16"/>
      <c r="Q747" s="16"/>
      <c r="R747" s="16"/>
      <c r="S747" s="16"/>
      <c r="T747" s="16"/>
      <c r="U747" s="16"/>
      <c r="V747" s="16"/>
      <c r="W747" s="16"/>
      <c r="X747" s="16"/>
    </row>
    <row r="748">
      <c r="A748" s="17"/>
      <c r="B748" s="17"/>
      <c r="C748" s="17"/>
      <c r="D748" s="48"/>
      <c r="E748" s="48"/>
      <c r="F748" s="16"/>
      <c r="G748" s="16"/>
      <c r="H748" s="16"/>
      <c r="I748" s="16"/>
      <c r="J748" s="16"/>
      <c r="K748" s="16"/>
      <c r="L748" s="16"/>
      <c r="M748" s="16"/>
      <c r="N748" s="16"/>
      <c r="O748" s="16"/>
      <c r="P748" s="16"/>
      <c r="Q748" s="16"/>
      <c r="R748" s="16"/>
      <c r="S748" s="16"/>
      <c r="T748" s="16"/>
      <c r="U748" s="16"/>
      <c r="V748" s="16"/>
      <c r="W748" s="16"/>
      <c r="X748" s="16"/>
    </row>
    <row r="749">
      <c r="A749" s="17"/>
      <c r="B749" s="17"/>
      <c r="C749" s="17"/>
      <c r="D749" s="48"/>
      <c r="E749" s="48"/>
      <c r="F749" s="16"/>
      <c r="G749" s="16"/>
      <c r="H749" s="16"/>
      <c r="I749" s="16"/>
      <c r="J749" s="16"/>
      <c r="K749" s="16"/>
      <c r="L749" s="16"/>
      <c r="M749" s="16"/>
      <c r="N749" s="16"/>
      <c r="O749" s="16"/>
      <c r="P749" s="16"/>
      <c r="Q749" s="16"/>
      <c r="R749" s="16"/>
      <c r="S749" s="16"/>
      <c r="T749" s="16"/>
      <c r="U749" s="16"/>
      <c r="V749" s="16"/>
      <c r="W749" s="16"/>
      <c r="X749" s="16"/>
    </row>
    <row r="750">
      <c r="A750" s="17"/>
      <c r="B750" s="17"/>
      <c r="C750" s="17"/>
      <c r="D750" s="48"/>
      <c r="E750" s="48"/>
      <c r="F750" s="16"/>
      <c r="G750" s="16"/>
      <c r="H750" s="16"/>
      <c r="I750" s="16"/>
      <c r="J750" s="16"/>
      <c r="K750" s="16"/>
      <c r="L750" s="16"/>
      <c r="M750" s="16"/>
      <c r="N750" s="16"/>
      <c r="O750" s="16"/>
      <c r="P750" s="16"/>
      <c r="Q750" s="16"/>
      <c r="R750" s="16"/>
      <c r="S750" s="16"/>
      <c r="T750" s="16"/>
      <c r="U750" s="16"/>
      <c r="V750" s="16"/>
      <c r="W750" s="16"/>
      <c r="X750" s="16"/>
    </row>
    <row r="751">
      <c r="A751" s="17"/>
      <c r="B751" s="17"/>
      <c r="C751" s="17"/>
      <c r="D751" s="48"/>
      <c r="E751" s="48"/>
      <c r="F751" s="16"/>
      <c r="G751" s="16"/>
      <c r="H751" s="16"/>
      <c r="I751" s="16"/>
      <c r="J751" s="16"/>
      <c r="K751" s="16"/>
      <c r="L751" s="16"/>
      <c r="M751" s="16"/>
      <c r="N751" s="16"/>
      <c r="O751" s="16"/>
      <c r="P751" s="16"/>
      <c r="Q751" s="16"/>
      <c r="R751" s="16"/>
      <c r="S751" s="16"/>
      <c r="T751" s="16"/>
      <c r="U751" s="16"/>
      <c r="V751" s="16"/>
      <c r="W751" s="16"/>
      <c r="X751" s="16"/>
    </row>
    <row r="752">
      <c r="A752" s="17"/>
      <c r="B752" s="17"/>
      <c r="C752" s="17"/>
      <c r="D752" s="48"/>
      <c r="E752" s="48"/>
      <c r="F752" s="16"/>
      <c r="G752" s="16"/>
      <c r="H752" s="16"/>
      <c r="I752" s="16"/>
      <c r="J752" s="16"/>
      <c r="K752" s="16"/>
      <c r="L752" s="16"/>
      <c r="M752" s="16"/>
      <c r="N752" s="16"/>
      <c r="O752" s="16"/>
      <c r="P752" s="16"/>
      <c r="Q752" s="16"/>
      <c r="R752" s="16"/>
      <c r="S752" s="16"/>
      <c r="T752" s="16"/>
      <c r="U752" s="16"/>
      <c r="V752" s="16"/>
      <c r="W752" s="16"/>
      <c r="X752" s="16"/>
    </row>
    <row r="753">
      <c r="A753" s="17"/>
      <c r="B753" s="17"/>
      <c r="C753" s="17"/>
      <c r="D753" s="48"/>
      <c r="E753" s="48"/>
      <c r="F753" s="16"/>
      <c r="G753" s="16"/>
      <c r="H753" s="16"/>
      <c r="I753" s="16"/>
      <c r="J753" s="16"/>
      <c r="K753" s="16"/>
      <c r="L753" s="16"/>
      <c r="M753" s="16"/>
      <c r="N753" s="16"/>
      <c r="O753" s="16"/>
      <c r="P753" s="16"/>
      <c r="Q753" s="16"/>
      <c r="R753" s="16"/>
      <c r="S753" s="16"/>
      <c r="T753" s="16"/>
      <c r="U753" s="16"/>
      <c r="V753" s="16"/>
      <c r="W753" s="16"/>
      <c r="X753" s="16"/>
    </row>
    <row r="754">
      <c r="A754" s="17"/>
      <c r="B754" s="17"/>
      <c r="C754" s="17"/>
      <c r="D754" s="48"/>
      <c r="E754" s="48"/>
      <c r="F754" s="16"/>
      <c r="G754" s="16"/>
      <c r="H754" s="16"/>
      <c r="I754" s="16"/>
      <c r="J754" s="16"/>
      <c r="K754" s="16"/>
      <c r="L754" s="16"/>
      <c r="M754" s="16"/>
      <c r="N754" s="16"/>
      <c r="O754" s="16"/>
      <c r="P754" s="16"/>
      <c r="Q754" s="16"/>
      <c r="R754" s="16"/>
      <c r="S754" s="16"/>
      <c r="T754" s="16"/>
      <c r="U754" s="16"/>
      <c r="V754" s="16"/>
      <c r="W754" s="16"/>
      <c r="X754" s="16"/>
    </row>
    <row r="755">
      <c r="A755" s="17"/>
      <c r="B755" s="17"/>
      <c r="C755" s="17"/>
      <c r="D755" s="48"/>
      <c r="E755" s="48"/>
      <c r="F755" s="16"/>
      <c r="G755" s="16"/>
      <c r="H755" s="16"/>
      <c r="I755" s="16"/>
      <c r="J755" s="16"/>
      <c r="K755" s="16"/>
      <c r="L755" s="16"/>
      <c r="M755" s="16"/>
      <c r="N755" s="16"/>
      <c r="O755" s="16"/>
      <c r="P755" s="16"/>
      <c r="Q755" s="16"/>
      <c r="R755" s="16"/>
      <c r="S755" s="16"/>
      <c r="T755" s="16"/>
      <c r="U755" s="16"/>
      <c r="V755" s="16"/>
      <c r="W755" s="16"/>
      <c r="X755" s="16"/>
    </row>
    <row r="756">
      <c r="A756" s="17"/>
      <c r="B756" s="17"/>
      <c r="C756" s="17"/>
      <c r="D756" s="48"/>
      <c r="E756" s="48"/>
      <c r="F756" s="16"/>
      <c r="G756" s="16"/>
      <c r="H756" s="16"/>
      <c r="I756" s="16"/>
      <c r="J756" s="16"/>
      <c r="K756" s="16"/>
      <c r="L756" s="16"/>
      <c r="M756" s="16"/>
      <c r="N756" s="16"/>
      <c r="O756" s="16"/>
      <c r="P756" s="16"/>
      <c r="Q756" s="16"/>
      <c r="R756" s="16"/>
      <c r="S756" s="16"/>
      <c r="T756" s="16"/>
      <c r="U756" s="16"/>
      <c r="V756" s="16"/>
      <c r="W756" s="16"/>
      <c r="X756" s="16"/>
    </row>
    <row r="757">
      <c r="A757" s="17"/>
      <c r="B757" s="17"/>
      <c r="C757" s="17"/>
      <c r="D757" s="48"/>
      <c r="E757" s="48"/>
      <c r="F757" s="16"/>
      <c r="G757" s="16"/>
      <c r="H757" s="16"/>
      <c r="I757" s="16"/>
      <c r="J757" s="16"/>
      <c r="K757" s="16"/>
      <c r="L757" s="16"/>
      <c r="M757" s="16"/>
      <c r="N757" s="16"/>
      <c r="O757" s="16"/>
      <c r="P757" s="16"/>
      <c r="Q757" s="16"/>
      <c r="R757" s="16"/>
      <c r="S757" s="16"/>
      <c r="T757" s="16"/>
      <c r="U757" s="16"/>
      <c r="V757" s="16"/>
      <c r="W757" s="16"/>
      <c r="X757" s="16"/>
    </row>
    <row r="758">
      <c r="A758" s="17"/>
      <c r="B758" s="17"/>
      <c r="C758" s="17"/>
      <c r="D758" s="48"/>
      <c r="E758" s="48"/>
      <c r="F758" s="16"/>
      <c r="G758" s="16"/>
      <c r="H758" s="16"/>
      <c r="I758" s="16"/>
      <c r="J758" s="16"/>
      <c r="K758" s="16"/>
      <c r="L758" s="16"/>
      <c r="M758" s="16"/>
      <c r="N758" s="16"/>
      <c r="O758" s="16"/>
      <c r="P758" s="16"/>
      <c r="Q758" s="16"/>
      <c r="R758" s="16"/>
      <c r="S758" s="16"/>
      <c r="T758" s="16"/>
      <c r="U758" s="16"/>
      <c r="V758" s="16"/>
      <c r="W758" s="16"/>
      <c r="X758" s="16"/>
    </row>
    <row r="759">
      <c r="A759" s="17"/>
      <c r="B759" s="17"/>
      <c r="C759" s="17"/>
      <c r="D759" s="48"/>
      <c r="E759" s="48"/>
      <c r="F759" s="16"/>
      <c r="G759" s="16"/>
      <c r="H759" s="16"/>
      <c r="I759" s="16"/>
      <c r="J759" s="16"/>
      <c r="K759" s="16"/>
      <c r="L759" s="16"/>
      <c r="M759" s="16"/>
      <c r="N759" s="16"/>
      <c r="O759" s="16"/>
      <c r="P759" s="16"/>
      <c r="Q759" s="16"/>
      <c r="R759" s="16"/>
      <c r="S759" s="16"/>
      <c r="T759" s="16"/>
      <c r="U759" s="16"/>
      <c r="V759" s="16"/>
      <c r="W759" s="16"/>
      <c r="X759" s="16"/>
    </row>
    <row r="760">
      <c r="A760" s="17"/>
      <c r="B760" s="17"/>
      <c r="C760" s="17"/>
      <c r="D760" s="48"/>
      <c r="E760" s="48"/>
      <c r="F760" s="16"/>
      <c r="G760" s="16"/>
      <c r="H760" s="16"/>
      <c r="I760" s="16"/>
      <c r="J760" s="16"/>
      <c r="K760" s="16"/>
      <c r="L760" s="16"/>
      <c r="M760" s="16"/>
      <c r="N760" s="16"/>
      <c r="O760" s="16"/>
      <c r="P760" s="16"/>
      <c r="Q760" s="16"/>
      <c r="R760" s="16"/>
      <c r="S760" s="16"/>
      <c r="T760" s="16"/>
      <c r="U760" s="16"/>
      <c r="V760" s="16"/>
      <c r="W760" s="16"/>
      <c r="X760" s="16"/>
    </row>
    <row r="761">
      <c r="A761" s="17"/>
      <c r="B761" s="17"/>
      <c r="C761" s="17"/>
      <c r="D761" s="48"/>
      <c r="E761" s="48"/>
      <c r="F761" s="16"/>
      <c r="G761" s="16"/>
      <c r="H761" s="16"/>
      <c r="I761" s="16"/>
      <c r="J761" s="16"/>
      <c r="K761" s="16"/>
      <c r="L761" s="16"/>
      <c r="M761" s="16"/>
      <c r="N761" s="16"/>
      <c r="O761" s="16"/>
      <c r="P761" s="16"/>
      <c r="Q761" s="16"/>
      <c r="R761" s="16"/>
      <c r="S761" s="16"/>
      <c r="T761" s="16"/>
      <c r="U761" s="16"/>
      <c r="V761" s="16"/>
      <c r="W761" s="16"/>
      <c r="X761" s="16"/>
    </row>
    <row r="762">
      <c r="A762" s="17"/>
      <c r="B762" s="17"/>
      <c r="C762" s="17"/>
      <c r="D762" s="48"/>
      <c r="E762" s="48"/>
      <c r="F762" s="16"/>
      <c r="G762" s="16"/>
      <c r="H762" s="16"/>
      <c r="I762" s="16"/>
      <c r="J762" s="16"/>
      <c r="K762" s="16"/>
      <c r="L762" s="16"/>
      <c r="M762" s="16"/>
      <c r="N762" s="16"/>
      <c r="O762" s="16"/>
      <c r="P762" s="16"/>
      <c r="Q762" s="16"/>
      <c r="R762" s="16"/>
      <c r="S762" s="16"/>
      <c r="T762" s="16"/>
      <c r="U762" s="16"/>
      <c r="V762" s="16"/>
      <c r="W762" s="16"/>
      <c r="X762" s="16"/>
    </row>
    <row r="763">
      <c r="A763" s="17"/>
      <c r="B763" s="17"/>
      <c r="C763" s="17"/>
      <c r="D763" s="48"/>
      <c r="E763" s="48"/>
      <c r="F763" s="16"/>
      <c r="G763" s="16"/>
      <c r="H763" s="16"/>
      <c r="I763" s="16"/>
      <c r="J763" s="16"/>
      <c r="K763" s="16"/>
      <c r="L763" s="16"/>
      <c r="M763" s="16"/>
      <c r="N763" s="16"/>
      <c r="O763" s="16"/>
      <c r="P763" s="16"/>
      <c r="Q763" s="16"/>
      <c r="R763" s="16"/>
      <c r="S763" s="16"/>
      <c r="T763" s="16"/>
      <c r="U763" s="16"/>
      <c r="V763" s="16"/>
      <c r="W763" s="16"/>
      <c r="X763" s="16"/>
    </row>
    <row r="764">
      <c r="A764" s="17"/>
      <c r="B764" s="17"/>
      <c r="C764" s="17"/>
      <c r="D764" s="48"/>
      <c r="E764" s="48"/>
      <c r="F764" s="16"/>
      <c r="G764" s="16"/>
      <c r="H764" s="16"/>
      <c r="I764" s="16"/>
      <c r="J764" s="16"/>
      <c r="K764" s="16"/>
      <c r="L764" s="16"/>
      <c r="M764" s="16"/>
      <c r="N764" s="16"/>
      <c r="O764" s="16"/>
      <c r="P764" s="16"/>
      <c r="Q764" s="16"/>
      <c r="R764" s="16"/>
      <c r="S764" s="16"/>
      <c r="T764" s="16"/>
      <c r="U764" s="16"/>
      <c r="V764" s="16"/>
      <c r="W764" s="16"/>
      <c r="X764" s="16"/>
    </row>
    <row r="765">
      <c r="A765" s="17"/>
      <c r="B765" s="17"/>
      <c r="C765" s="17"/>
      <c r="D765" s="48"/>
      <c r="E765" s="48"/>
      <c r="F765" s="16"/>
      <c r="G765" s="16"/>
      <c r="H765" s="16"/>
      <c r="I765" s="16"/>
      <c r="J765" s="16"/>
      <c r="K765" s="16"/>
      <c r="L765" s="16"/>
      <c r="M765" s="16"/>
      <c r="N765" s="16"/>
      <c r="O765" s="16"/>
      <c r="P765" s="16"/>
      <c r="Q765" s="16"/>
      <c r="R765" s="16"/>
      <c r="S765" s="16"/>
      <c r="T765" s="16"/>
      <c r="U765" s="16"/>
      <c r="V765" s="16"/>
      <c r="W765" s="16"/>
      <c r="X765" s="16"/>
    </row>
    <row r="766">
      <c r="A766" s="17"/>
      <c r="B766" s="17"/>
      <c r="C766" s="17"/>
      <c r="D766" s="48"/>
      <c r="E766" s="48"/>
      <c r="F766" s="16"/>
      <c r="G766" s="16"/>
      <c r="H766" s="16"/>
      <c r="I766" s="16"/>
      <c r="J766" s="16"/>
      <c r="K766" s="16"/>
      <c r="L766" s="16"/>
      <c r="M766" s="16"/>
      <c r="N766" s="16"/>
      <c r="O766" s="16"/>
      <c r="P766" s="16"/>
      <c r="Q766" s="16"/>
      <c r="R766" s="16"/>
      <c r="S766" s="16"/>
      <c r="T766" s="16"/>
      <c r="U766" s="16"/>
      <c r="V766" s="16"/>
      <c r="W766" s="16"/>
      <c r="X766" s="16"/>
    </row>
    <row r="767">
      <c r="A767" s="17"/>
      <c r="B767" s="17"/>
      <c r="C767" s="17"/>
      <c r="D767" s="48"/>
      <c r="E767" s="48"/>
      <c r="F767" s="16"/>
      <c r="G767" s="16"/>
      <c r="H767" s="16"/>
      <c r="I767" s="16"/>
      <c r="J767" s="16"/>
      <c r="K767" s="16"/>
      <c r="L767" s="16"/>
      <c r="M767" s="16"/>
      <c r="N767" s="16"/>
      <c r="O767" s="16"/>
      <c r="P767" s="16"/>
      <c r="Q767" s="16"/>
      <c r="R767" s="16"/>
      <c r="S767" s="16"/>
      <c r="T767" s="16"/>
      <c r="U767" s="16"/>
      <c r="V767" s="16"/>
      <c r="W767" s="16"/>
      <c r="X767" s="16"/>
    </row>
    <row r="768">
      <c r="A768" s="17"/>
      <c r="B768" s="17"/>
      <c r="C768" s="17"/>
      <c r="D768" s="48"/>
      <c r="E768" s="48"/>
      <c r="F768" s="16"/>
      <c r="G768" s="16"/>
      <c r="H768" s="16"/>
      <c r="I768" s="16"/>
      <c r="J768" s="16"/>
      <c r="K768" s="16"/>
      <c r="L768" s="16"/>
      <c r="M768" s="16"/>
      <c r="N768" s="16"/>
      <c r="O768" s="16"/>
      <c r="P768" s="16"/>
      <c r="Q768" s="16"/>
      <c r="R768" s="16"/>
      <c r="S768" s="16"/>
      <c r="T768" s="16"/>
      <c r="U768" s="16"/>
      <c r="V768" s="16"/>
      <c r="W768" s="16"/>
      <c r="X768" s="16"/>
    </row>
    <row r="769">
      <c r="A769" s="17"/>
      <c r="B769" s="17"/>
      <c r="C769" s="17"/>
      <c r="D769" s="48"/>
      <c r="E769" s="48"/>
      <c r="F769" s="16"/>
      <c r="G769" s="16"/>
      <c r="H769" s="16"/>
      <c r="I769" s="16"/>
      <c r="J769" s="16"/>
      <c r="K769" s="16"/>
      <c r="L769" s="16"/>
      <c r="M769" s="16"/>
      <c r="N769" s="16"/>
      <c r="O769" s="16"/>
      <c r="P769" s="16"/>
      <c r="Q769" s="16"/>
      <c r="R769" s="16"/>
      <c r="S769" s="16"/>
      <c r="T769" s="16"/>
      <c r="U769" s="16"/>
      <c r="V769" s="16"/>
      <c r="W769" s="16"/>
      <c r="X769" s="16"/>
    </row>
    <row r="770">
      <c r="A770" s="17"/>
      <c r="B770" s="17"/>
      <c r="C770" s="17"/>
      <c r="D770" s="48"/>
      <c r="E770" s="48"/>
      <c r="F770" s="16"/>
      <c r="G770" s="16"/>
      <c r="H770" s="16"/>
      <c r="I770" s="16"/>
      <c r="J770" s="16"/>
      <c r="K770" s="16"/>
      <c r="L770" s="16"/>
      <c r="M770" s="16"/>
      <c r="N770" s="16"/>
      <c r="O770" s="16"/>
      <c r="P770" s="16"/>
      <c r="Q770" s="16"/>
      <c r="R770" s="16"/>
      <c r="S770" s="16"/>
      <c r="T770" s="16"/>
      <c r="U770" s="16"/>
      <c r="V770" s="16"/>
      <c r="W770" s="16"/>
      <c r="X770" s="16"/>
    </row>
    <row r="771">
      <c r="A771" s="17"/>
      <c r="B771" s="17"/>
      <c r="C771" s="17"/>
      <c r="D771" s="48"/>
      <c r="E771" s="48"/>
      <c r="F771" s="16"/>
      <c r="G771" s="16"/>
      <c r="H771" s="16"/>
      <c r="I771" s="16"/>
      <c r="J771" s="16"/>
      <c r="K771" s="16"/>
      <c r="L771" s="16"/>
      <c r="M771" s="16"/>
      <c r="N771" s="16"/>
      <c r="O771" s="16"/>
      <c r="P771" s="16"/>
      <c r="Q771" s="16"/>
      <c r="R771" s="16"/>
      <c r="S771" s="16"/>
      <c r="T771" s="16"/>
      <c r="U771" s="16"/>
      <c r="V771" s="16"/>
      <c r="W771" s="16"/>
      <c r="X771" s="16"/>
    </row>
    <row r="772">
      <c r="A772" s="17"/>
      <c r="B772" s="17"/>
      <c r="C772" s="17"/>
      <c r="D772" s="48"/>
      <c r="E772" s="48"/>
      <c r="F772" s="16"/>
      <c r="G772" s="16"/>
      <c r="H772" s="16"/>
      <c r="I772" s="16"/>
      <c r="J772" s="16"/>
      <c r="K772" s="16"/>
      <c r="L772" s="16"/>
      <c r="M772" s="16"/>
      <c r="N772" s="16"/>
      <c r="O772" s="16"/>
      <c r="P772" s="16"/>
      <c r="Q772" s="16"/>
      <c r="R772" s="16"/>
      <c r="S772" s="16"/>
      <c r="T772" s="16"/>
      <c r="U772" s="16"/>
      <c r="V772" s="16"/>
      <c r="W772" s="16"/>
      <c r="X772" s="16"/>
    </row>
    <row r="773">
      <c r="A773" s="17"/>
      <c r="B773" s="17"/>
      <c r="C773" s="17"/>
      <c r="D773" s="48"/>
      <c r="E773" s="48"/>
      <c r="F773" s="16"/>
      <c r="G773" s="16"/>
      <c r="H773" s="16"/>
      <c r="I773" s="16"/>
      <c r="J773" s="16"/>
      <c r="K773" s="16"/>
      <c r="L773" s="16"/>
      <c r="M773" s="16"/>
      <c r="N773" s="16"/>
      <c r="O773" s="16"/>
      <c r="P773" s="16"/>
      <c r="Q773" s="16"/>
      <c r="R773" s="16"/>
      <c r="S773" s="16"/>
      <c r="T773" s="16"/>
      <c r="U773" s="16"/>
      <c r="V773" s="16"/>
      <c r="W773" s="16"/>
      <c r="X773" s="16"/>
    </row>
    <row r="774">
      <c r="A774" s="17"/>
      <c r="B774" s="17"/>
      <c r="C774" s="17"/>
      <c r="D774" s="48"/>
      <c r="E774" s="48"/>
      <c r="F774" s="16"/>
      <c r="G774" s="16"/>
      <c r="H774" s="16"/>
      <c r="I774" s="16"/>
      <c r="J774" s="16"/>
      <c r="K774" s="16"/>
      <c r="L774" s="16"/>
      <c r="M774" s="16"/>
      <c r="N774" s="16"/>
      <c r="O774" s="16"/>
      <c r="P774" s="16"/>
      <c r="Q774" s="16"/>
      <c r="R774" s="16"/>
      <c r="S774" s="16"/>
      <c r="T774" s="16"/>
      <c r="U774" s="16"/>
      <c r="V774" s="16"/>
      <c r="W774" s="16"/>
      <c r="X774" s="16"/>
    </row>
    <row r="775">
      <c r="A775" s="17"/>
      <c r="B775" s="17"/>
      <c r="C775" s="17"/>
      <c r="D775" s="48"/>
      <c r="E775" s="48"/>
      <c r="F775" s="16"/>
      <c r="G775" s="16"/>
      <c r="H775" s="16"/>
      <c r="I775" s="16"/>
      <c r="J775" s="16"/>
      <c r="K775" s="16"/>
      <c r="L775" s="16"/>
      <c r="M775" s="16"/>
      <c r="N775" s="16"/>
      <c r="O775" s="16"/>
      <c r="P775" s="16"/>
      <c r="Q775" s="16"/>
      <c r="R775" s="16"/>
      <c r="S775" s="16"/>
      <c r="T775" s="16"/>
      <c r="U775" s="16"/>
      <c r="V775" s="16"/>
      <c r="W775" s="16"/>
      <c r="X775" s="16"/>
    </row>
    <row r="776">
      <c r="A776" s="17"/>
      <c r="B776" s="17"/>
      <c r="C776" s="17"/>
      <c r="D776" s="48"/>
      <c r="E776" s="48"/>
      <c r="F776" s="16"/>
      <c r="G776" s="16"/>
      <c r="H776" s="16"/>
      <c r="I776" s="16"/>
      <c r="J776" s="16"/>
      <c r="K776" s="16"/>
      <c r="L776" s="16"/>
      <c r="M776" s="16"/>
      <c r="N776" s="16"/>
      <c r="O776" s="16"/>
      <c r="P776" s="16"/>
      <c r="Q776" s="16"/>
      <c r="R776" s="16"/>
      <c r="S776" s="16"/>
      <c r="T776" s="16"/>
      <c r="U776" s="16"/>
      <c r="V776" s="16"/>
      <c r="W776" s="16"/>
      <c r="X776" s="16"/>
    </row>
    <row r="777">
      <c r="A777" s="17"/>
      <c r="B777" s="17"/>
      <c r="C777" s="17"/>
      <c r="D777" s="48"/>
      <c r="E777" s="48"/>
      <c r="F777" s="16"/>
      <c r="G777" s="16"/>
      <c r="H777" s="16"/>
      <c r="I777" s="16"/>
      <c r="J777" s="16"/>
      <c r="K777" s="16"/>
      <c r="L777" s="16"/>
      <c r="M777" s="16"/>
      <c r="N777" s="16"/>
      <c r="O777" s="16"/>
      <c r="P777" s="16"/>
      <c r="Q777" s="16"/>
      <c r="R777" s="16"/>
      <c r="S777" s="16"/>
      <c r="T777" s="16"/>
      <c r="U777" s="16"/>
      <c r="V777" s="16"/>
      <c r="W777" s="16"/>
      <c r="X777" s="16"/>
    </row>
    <row r="778">
      <c r="A778" s="17"/>
      <c r="B778" s="17"/>
      <c r="C778" s="17"/>
      <c r="D778" s="48"/>
      <c r="E778" s="48"/>
      <c r="F778" s="16"/>
      <c r="G778" s="16"/>
      <c r="H778" s="16"/>
      <c r="I778" s="16"/>
      <c r="J778" s="16"/>
      <c r="K778" s="16"/>
      <c r="L778" s="16"/>
      <c r="M778" s="16"/>
      <c r="N778" s="16"/>
      <c r="O778" s="16"/>
      <c r="P778" s="16"/>
      <c r="Q778" s="16"/>
      <c r="R778" s="16"/>
      <c r="S778" s="16"/>
      <c r="T778" s="16"/>
      <c r="U778" s="16"/>
      <c r="V778" s="16"/>
      <c r="W778" s="16"/>
      <c r="X778" s="16"/>
    </row>
    <row r="779">
      <c r="A779" s="17"/>
      <c r="B779" s="17"/>
      <c r="C779" s="17"/>
      <c r="D779" s="48"/>
      <c r="E779" s="48"/>
      <c r="F779" s="16"/>
      <c r="G779" s="16"/>
      <c r="H779" s="16"/>
      <c r="I779" s="16"/>
      <c r="J779" s="16"/>
      <c r="K779" s="16"/>
      <c r="L779" s="16"/>
      <c r="M779" s="16"/>
      <c r="N779" s="16"/>
      <c r="O779" s="16"/>
      <c r="P779" s="16"/>
      <c r="Q779" s="16"/>
      <c r="R779" s="16"/>
      <c r="S779" s="16"/>
      <c r="T779" s="16"/>
      <c r="U779" s="16"/>
      <c r="V779" s="16"/>
      <c r="W779" s="16"/>
      <c r="X779" s="16"/>
    </row>
    <row r="780">
      <c r="A780" s="17"/>
      <c r="B780" s="17"/>
      <c r="C780" s="17"/>
      <c r="D780" s="48"/>
      <c r="E780" s="48"/>
      <c r="F780" s="16"/>
      <c r="G780" s="16"/>
      <c r="H780" s="16"/>
      <c r="I780" s="16"/>
      <c r="J780" s="16"/>
      <c r="K780" s="16"/>
      <c r="L780" s="16"/>
      <c r="M780" s="16"/>
      <c r="N780" s="16"/>
      <c r="O780" s="16"/>
      <c r="P780" s="16"/>
      <c r="Q780" s="16"/>
      <c r="R780" s="16"/>
      <c r="S780" s="16"/>
      <c r="T780" s="16"/>
      <c r="U780" s="16"/>
      <c r="V780" s="16"/>
      <c r="W780" s="16"/>
      <c r="X780" s="16"/>
    </row>
    <row r="781">
      <c r="A781" s="17"/>
      <c r="B781" s="17"/>
      <c r="C781" s="17"/>
      <c r="D781" s="48"/>
      <c r="E781" s="48"/>
      <c r="F781" s="16"/>
      <c r="G781" s="16"/>
      <c r="H781" s="16"/>
      <c r="I781" s="16"/>
      <c r="J781" s="16"/>
      <c r="K781" s="16"/>
      <c r="L781" s="16"/>
      <c r="M781" s="16"/>
      <c r="N781" s="16"/>
      <c r="O781" s="16"/>
      <c r="P781" s="16"/>
      <c r="Q781" s="16"/>
      <c r="R781" s="16"/>
      <c r="S781" s="16"/>
      <c r="T781" s="16"/>
      <c r="U781" s="16"/>
      <c r="V781" s="16"/>
      <c r="W781" s="16"/>
      <c r="X781" s="16"/>
    </row>
    <row r="782">
      <c r="A782" s="17"/>
      <c r="B782" s="17"/>
      <c r="C782" s="17"/>
      <c r="D782" s="48"/>
      <c r="E782" s="48"/>
      <c r="F782" s="16"/>
      <c r="G782" s="16"/>
      <c r="H782" s="16"/>
      <c r="I782" s="16"/>
      <c r="J782" s="16"/>
      <c r="K782" s="16"/>
      <c r="L782" s="16"/>
      <c r="M782" s="16"/>
      <c r="N782" s="16"/>
      <c r="O782" s="16"/>
      <c r="P782" s="16"/>
      <c r="Q782" s="16"/>
      <c r="R782" s="16"/>
      <c r="S782" s="16"/>
      <c r="T782" s="16"/>
      <c r="U782" s="16"/>
      <c r="V782" s="16"/>
      <c r="W782" s="16"/>
      <c r="X782" s="16"/>
    </row>
    <row r="783">
      <c r="A783" s="17"/>
      <c r="B783" s="17"/>
      <c r="C783" s="17"/>
      <c r="D783" s="48"/>
      <c r="E783" s="48"/>
      <c r="F783" s="16"/>
      <c r="G783" s="16"/>
      <c r="H783" s="16"/>
      <c r="I783" s="16"/>
      <c r="J783" s="16"/>
      <c r="K783" s="16"/>
      <c r="L783" s="16"/>
      <c r="M783" s="16"/>
      <c r="N783" s="16"/>
      <c r="O783" s="16"/>
      <c r="P783" s="16"/>
      <c r="Q783" s="16"/>
      <c r="R783" s="16"/>
      <c r="S783" s="16"/>
      <c r="T783" s="16"/>
      <c r="U783" s="16"/>
      <c r="V783" s="16"/>
      <c r="W783" s="16"/>
      <c r="X783" s="16"/>
    </row>
    <row r="784">
      <c r="A784" s="17"/>
      <c r="B784" s="17"/>
      <c r="C784" s="17"/>
      <c r="D784" s="48"/>
      <c r="E784" s="48"/>
      <c r="F784" s="16"/>
      <c r="G784" s="16"/>
      <c r="H784" s="16"/>
      <c r="I784" s="16"/>
      <c r="J784" s="16"/>
      <c r="K784" s="16"/>
      <c r="L784" s="16"/>
      <c r="M784" s="16"/>
      <c r="N784" s="16"/>
      <c r="O784" s="16"/>
      <c r="P784" s="16"/>
      <c r="Q784" s="16"/>
      <c r="R784" s="16"/>
      <c r="S784" s="16"/>
      <c r="T784" s="16"/>
      <c r="U784" s="16"/>
      <c r="V784" s="16"/>
      <c r="W784" s="16"/>
      <c r="X784" s="16"/>
    </row>
    <row r="785">
      <c r="A785" s="17"/>
      <c r="B785" s="17"/>
      <c r="C785" s="17"/>
      <c r="D785" s="48"/>
      <c r="E785" s="48"/>
      <c r="F785" s="16"/>
      <c r="G785" s="16"/>
      <c r="H785" s="16"/>
      <c r="I785" s="16"/>
      <c r="J785" s="16"/>
      <c r="K785" s="16"/>
      <c r="L785" s="16"/>
      <c r="M785" s="16"/>
      <c r="N785" s="16"/>
      <c r="O785" s="16"/>
      <c r="P785" s="16"/>
      <c r="Q785" s="16"/>
      <c r="R785" s="16"/>
      <c r="S785" s="16"/>
      <c r="T785" s="16"/>
      <c r="U785" s="16"/>
      <c r="V785" s="16"/>
      <c r="W785" s="16"/>
      <c r="X785" s="16"/>
    </row>
    <row r="786">
      <c r="A786" s="17"/>
      <c r="B786" s="17"/>
      <c r="C786" s="17"/>
      <c r="D786" s="48"/>
      <c r="E786" s="48"/>
      <c r="F786" s="16"/>
      <c r="G786" s="16"/>
      <c r="H786" s="16"/>
      <c r="I786" s="16"/>
      <c r="J786" s="16"/>
      <c r="K786" s="16"/>
      <c r="L786" s="16"/>
      <c r="M786" s="16"/>
      <c r="N786" s="16"/>
      <c r="O786" s="16"/>
      <c r="P786" s="16"/>
      <c r="Q786" s="16"/>
      <c r="R786" s="16"/>
      <c r="S786" s="16"/>
      <c r="T786" s="16"/>
      <c r="U786" s="16"/>
      <c r="V786" s="16"/>
      <c r="W786" s="16"/>
      <c r="X786" s="16"/>
    </row>
    <row r="787">
      <c r="A787" s="17"/>
      <c r="B787" s="17"/>
      <c r="C787" s="17"/>
      <c r="D787" s="48"/>
      <c r="E787" s="48"/>
      <c r="F787" s="16"/>
      <c r="G787" s="16"/>
      <c r="H787" s="16"/>
      <c r="I787" s="16"/>
      <c r="J787" s="16"/>
      <c r="K787" s="16"/>
      <c r="L787" s="16"/>
      <c r="M787" s="16"/>
      <c r="N787" s="16"/>
      <c r="O787" s="16"/>
      <c r="P787" s="16"/>
      <c r="Q787" s="16"/>
      <c r="R787" s="16"/>
      <c r="S787" s="16"/>
      <c r="T787" s="16"/>
      <c r="U787" s="16"/>
      <c r="V787" s="16"/>
      <c r="W787" s="16"/>
      <c r="X787" s="16"/>
    </row>
    <row r="788">
      <c r="A788" s="17"/>
      <c r="B788" s="17"/>
      <c r="C788" s="17"/>
      <c r="D788" s="48"/>
      <c r="E788" s="48"/>
      <c r="F788" s="16"/>
      <c r="G788" s="16"/>
      <c r="H788" s="16"/>
      <c r="I788" s="16"/>
      <c r="J788" s="16"/>
      <c r="K788" s="16"/>
      <c r="L788" s="16"/>
      <c r="M788" s="16"/>
      <c r="N788" s="16"/>
      <c r="O788" s="16"/>
      <c r="P788" s="16"/>
      <c r="Q788" s="16"/>
      <c r="R788" s="16"/>
      <c r="S788" s="16"/>
      <c r="T788" s="16"/>
      <c r="U788" s="16"/>
      <c r="V788" s="16"/>
      <c r="W788" s="16"/>
      <c r="X788" s="16"/>
    </row>
    <row r="789">
      <c r="A789" s="17"/>
      <c r="B789" s="17"/>
      <c r="C789" s="17"/>
      <c r="D789" s="48"/>
      <c r="E789" s="48"/>
      <c r="F789" s="16"/>
      <c r="G789" s="16"/>
      <c r="H789" s="16"/>
      <c r="I789" s="16"/>
      <c r="J789" s="16"/>
      <c r="K789" s="16"/>
      <c r="L789" s="16"/>
      <c r="M789" s="16"/>
      <c r="N789" s="16"/>
      <c r="O789" s="16"/>
      <c r="P789" s="16"/>
      <c r="Q789" s="16"/>
      <c r="R789" s="16"/>
      <c r="S789" s="16"/>
      <c r="T789" s="16"/>
      <c r="U789" s="16"/>
      <c r="V789" s="16"/>
      <c r="W789" s="16"/>
      <c r="X789" s="16"/>
    </row>
    <row r="790">
      <c r="A790" s="17"/>
      <c r="B790" s="17"/>
      <c r="C790" s="17"/>
      <c r="D790" s="48"/>
      <c r="E790" s="48"/>
      <c r="F790" s="16"/>
      <c r="G790" s="16"/>
      <c r="H790" s="16"/>
      <c r="I790" s="16"/>
      <c r="J790" s="16"/>
      <c r="K790" s="16"/>
      <c r="L790" s="16"/>
      <c r="M790" s="16"/>
      <c r="N790" s="16"/>
      <c r="O790" s="16"/>
      <c r="P790" s="16"/>
      <c r="Q790" s="16"/>
      <c r="R790" s="16"/>
      <c r="S790" s="16"/>
      <c r="T790" s="16"/>
      <c r="U790" s="16"/>
      <c r="V790" s="16"/>
      <c r="W790" s="16"/>
      <c r="X790" s="16"/>
    </row>
    <row r="791">
      <c r="A791" s="17"/>
      <c r="B791" s="17"/>
      <c r="C791" s="17"/>
      <c r="D791" s="48"/>
      <c r="E791" s="48"/>
      <c r="F791" s="16"/>
      <c r="G791" s="16"/>
      <c r="H791" s="16"/>
      <c r="I791" s="16"/>
      <c r="J791" s="16"/>
      <c r="K791" s="16"/>
      <c r="L791" s="16"/>
      <c r="M791" s="16"/>
      <c r="N791" s="16"/>
      <c r="O791" s="16"/>
      <c r="P791" s="16"/>
      <c r="Q791" s="16"/>
      <c r="R791" s="16"/>
      <c r="S791" s="16"/>
      <c r="T791" s="16"/>
      <c r="U791" s="16"/>
      <c r="V791" s="16"/>
      <c r="W791" s="16"/>
      <c r="X791" s="16"/>
    </row>
    <row r="792">
      <c r="A792" s="17"/>
      <c r="B792" s="17"/>
      <c r="C792" s="17"/>
      <c r="D792" s="48"/>
      <c r="E792" s="48"/>
      <c r="F792" s="16"/>
      <c r="G792" s="16"/>
      <c r="H792" s="16"/>
      <c r="I792" s="16"/>
      <c r="J792" s="16"/>
      <c r="K792" s="16"/>
      <c r="L792" s="16"/>
      <c r="M792" s="16"/>
      <c r="N792" s="16"/>
      <c r="O792" s="16"/>
      <c r="P792" s="16"/>
      <c r="Q792" s="16"/>
      <c r="R792" s="16"/>
      <c r="S792" s="16"/>
      <c r="T792" s="16"/>
      <c r="U792" s="16"/>
      <c r="V792" s="16"/>
      <c r="W792" s="16"/>
      <c r="X792" s="16"/>
    </row>
    <row r="793">
      <c r="A793" s="17"/>
      <c r="B793" s="17"/>
      <c r="C793" s="17"/>
      <c r="D793" s="48"/>
      <c r="E793" s="48"/>
      <c r="F793" s="16"/>
      <c r="G793" s="16"/>
      <c r="H793" s="16"/>
      <c r="I793" s="16"/>
      <c r="J793" s="16"/>
      <c r="K793" s="16"/>
      <c r="L793" s="16"/>
      <c r="M793" s="16"/>
      <c r="N793" s="16"/>
      <c r="O793" s="16"/>
      <c r="P793" s="16"/>
      <c r="Q793" s="16"/>
      <c r="R793" s="16"/>
      <c r="S793" s="16"/>
      <c r="T793" s="16"/>
      <c r="U793" s="16"/>
      <c r="V793" s="16"/>
      <c r="W793" s="16"/>
      <c r="X793" s="16"/>
    </row>
    <row r="794">
      <c r="A794" s="17"/>
      <c r="B794" s="17"/>
      <c r="C794" s="17"/>
      <c r="D794" s="48"/>
      <c r="E794" s="48"/>
      <c r="F794" s="16"/>
      <c r="G794" s="16"/>
      <c r="H794" s="16"/>
      <c r="I794" s="16"/>
      <c r="J794" s="16"/>
      <c r="K794" s="16"/>
      <c r="L794" s="16"/>
      <c r="M794" s="16"/>
      <c r="N794" s="16"/>
      <c r="O794" s="16"/>
      <c r="P794" s="16"/>
      <c r="Q794" s="16"/>
      <c r="R794" s="16"/>
      <c r="S794" s="16"/>
      <c r="T794" s="16"/>
      <c r="U794" s="16"/>
      <c r="V794" s="16"/>
      <c r="W794" s="16"/>
      <c r="X794" s="16"/>
    </row>
    <row r="795">
      <c r="A795" s="17"/>
      <c r="B795" s="17"/>
      <c r="C795" s="17"/>
      <c r="D795" s="48"/>
      <c r="E795" s="48"/>
      <c r="F795" s="16"/>
      <c r="G795" s="16"/>
      <c r="H795" s="16"/>
      <c r="I795" s="16"/>
      <c r="J795" s="16"/>
      <c r="K795" s="16"/>
      <c r="L795" s="16"/>
      <c r="M795" s="16"/>
      <c r="N795" s="16"/>
      <c r="O795" s="16"/>
      <c r="P795" s="16"/>
      <c r="Q795" s="16"/>
      <c r="R795" s="16"/>
      <c r="S795" s="16"/>
      <c r="T795" s="16"/>
      <c r="U795" s="16"/>
      <c r="V795" s="16"/>
      <c r="W795" s="16"/>
      <c r="X795" s="16"/>
    </row>
    <row r="796">
      <c r="A796" s="17"/>
      <c r="B796" s="17"/>
      <c r="C796" s="17"/>
      <c r="D796" s="48"/>
      <c r="E796" s="48"/>
      <c r="F796" s="16"/>
      <c r="G796" s="16"/>
      <c r="H796" s="16"/>
      <c r="I796" s="16"/>
      <c r="J796" s="16"/>
      <c r="K796" s="16"/>
      <c r="L796" s="16"/>
      <c r="M796" s="16"/>
      <c r="N796" s="16"/>
      <c r="O796" s="16"/>
      <c r="P796" s="16"/>
      <c r="Q796" s="16"/>
      <c r="R796" s="16"/>
      <c r="S796" s="16"/>
      <c r="T796" s="16"/>
      <c r="U796" s="16"/>
      <c r="V796" s="16"/>
      <c r="W796" s="16"/>
      <c r="X796" s="16"/>
    </row>
    <row r="797">
      <c r="A797" s="17"/>
      <c r="B797" s="17"/>
      <c r="C797" s="17"/>
      <c r="D797" s="48"/>
      <c r="E797" s="48"/>
      <c r="F797" s="16"/>
      <c r="G797" s="16"/>
      <c r="H797" s="16"/>
      <c r="I797" s="16"/>
      <c r="J797" s="16"/>
      <c r="K797" s="16"/>
      <c r="L797" s="16"/>
      <c r="M797" s="16"/>
      <c r="N797" s="16"/>
      <c r="O797" s="16"/>
      <c r="P797" s="16"/>
      <c r="Q797" s="16"/>
      <c r="R797" s="16"/>
      <c r="S797" s="16"/>
      <c r="T797" s="16"/>
      <c r="U797" s="16"/>
      <c r="V797" s="16"/>
      <c r="W797" s="16"/>
      <c r="X797" s="16"/>
    </row>
    <row r="798">
      <c r="A798" s="17"/>
      <c r="B798" s="17"/>
      <c r="C798" s="17"/>
      <c r="D798" s="48"/>
      <c r="E798" s="48"/>
      <c r="F798" s="16"/>
      <c r="G798" s="16"/>
      <c r="H798" s="16"/>
      <c r="I798" s="16"/>
      <c r="J798" s="16"/>
      <c r="K798" s="16"/>
      <c r="L798" s="16"/>
      <c r="M798" s="16"/>
      <c r="N798" s="16"/>
      <c r="O798" s="16"/>
      <c r="P798" s="16"/>
      <c r="Q798" s="16"/>
      <c r="R798" s="16"/>
      <c r="S798" s="16"/>
      <c r="T798" s="16"/>
      <c r="U798" s="16"/>
      <c r="V798" s="16"/>
      <c r="W798" s="16"/>
      <c r="X798" s="16"/>
    </row>
    <row r="799">
      <c r="A799" s="17"/>
      <c r="B799" s="17"/>
      <c r="C799" s="17"/>
      <c r="D799" s="48"/>
      <c r="E799" s="48"/>
      <c r="F799" s="16"/>
      <c r="G799" s="16"/>
      <c r="H799" s="16"/>
      <c r="I799" s="16"/>
      <c r="J799" s="16"/>
      <c r="K799" s="16"/>
      <c r="L799" s="16"/>
      <c r="M799" s="16"/>
      <c r="N799" s="16"/>
      <c r="O799" s="16"/>
      <c r="P799" s="16"/>
      <c r="Q799" s="16"/>
      <c r="R799" s="16"/>
      <c r="S799" s="16"/>
      <c r="T799" s="16"/>
      <c r="U799" s="16"/>
      <c r="V799" s="16"/>
      <c r="W799" s="16"/>
      <c r="X799" s="16"/>
    </row>
    <row r="800">
      <c r="A800" s="17"/>
      <c r="B800" s="17"/>
      <c r="C800" s="17"/>
      <c r="D800" s="48"/>
      <c r="E800" s="48"/>
      <c r="F800" s="16"/>
      <c r="G800" s="16"/>
      <c r="H800" s="16"/>
      <c r="I800" s="16"/>
      <c r="J800" s="16"/>
      <c r="K800" s="16"/>
      <c r="L800" s="16"/>
      <c r="M800" s="16"/>
      <c r="N800" s="16"/>
      <c r="O800" s="16"/>
      <c r="P800" s="16"/>
      <c r="Q800" s="16"/>
      <c r="R800" s="16"/>
      <c r="S800" s="16"/>
      <c r="T800" s="16"/>
      <c r="U800" s="16"/>
      <c r="V800" s="16"/>
      <c r="W800" s="16"/>
      <c r="X800" s="16"/>
    </row>
    <row r="801">
      <c r="A801" s="17"/>
      <c r="B801" s="17"/>
      <c r="C801" s="17"/>
      <c r="D801" s="48"/>
      <c r="E801" s="48"/>
      <c r="F801" s="16"/>
      <c r="G801" s="16"/>
      <c r="H801" s="16"/>
      <c r="I801" s="16"/>
      <c r="J801" s="16"/>
      <c r="K801" s="16"/>
      <c r="L801" s="16"/>
      <c r="M801" s="16"/>
      <c r="N801" s="16"/>
      <c r="O801" s="16"/>
      <c r="P801" s="16"/>
      <c r="Q801" s="16"/>
      <c r="R801" s="16"/>
      <c r="S801" s="16"/>
      <c r="T801" s="16"/>
      <c r="U801" s="16"/>
      <c r="V801" s="16"/>
      <c r="W801" s="16"/>
      <c r="X801" s="16"/>
    </row>
    <row r="802">
      <c r="A802" s="17"/>
      <c r="B802" s="17"/>
      <c r="C802" s="17"/>
      <c r="D802" s="48"/>
      <c r="E802" s="48"/>
      <c r="F802" s="16"/>
      <c r="G802" s="16"/>
      <c r="H802" s="16"/>
      <c r="I802" s="16"/>
      <c r="J802" s="16"/>
      <c r="K802" s="16"/>
      <c r="L802" s="16"/>
      <c r="M802" s="16"/>
      <c r="N802" s="16"/>
      <c r="O802" s="16"/>
      <c r="P802" s="16"/>
      <c r="Q802" s="16"/>
      <c r="R802" s="16"/>
      <c r="S802" s="16"/>
      <c r="T802" s="16"/>
      <c r="U802" s="16"/>
      <c r="V802" s="16"/>
      <c r="W802" s="16"/>
      <c r="X802" s="16"/>
    </row>
    <row r="803">
      <c r="A803" s="17"/>
      <c r="B803" s="17"/>
      <c r="C803" s="17"/>
      <c r="D803" s="48"/>
      <c r="E803" s="48"/>
      <c r="F803" s="16"/>
      <c r="G803" s="16"/>
      <c r="H803" s="16"/>
      <c r="I803" s="16"/>
      <c r="J803" s="16"/>
      <c r="K803" s="16"/>
      <c r="L803" s="16"/>
      <c r="M803" s="16"/>
      <c r="N803" s="16"/>
      <c r="O803" s="16"/>
      <c r="P803" s="16"/>
      <c r="Q803" s="16"/>
      <c r="R803" s="16"/>
      <c r="S803" s="16"/>
      <c r="T803" s="16"/>
      <c r="U803" s="16"/>
      <c r="V803" s="16"/>
      <c r="W803" s="16"/>
      <c r="X803" s="16"/>
    </row>
    <row r="804">
      <c r="A804" s="17"/>
      <c r="B804" s="17"/>
      <c r="C804" s="17"/>
      <c r="D804" s="48"/>
      <c r="E804" s="48"/>
      <c r="F804" s="16"/>
      <c r="G804" s="16"/>
      <c r="H804" s="16"/>
      <c r="I804" s="16"/>
      <c r="J804" s="16"/>
      <c r="K804" s="16"/>
      <c r="L804" s="16"/>
      <c r="M804" s="16"/>
      <c r="N804" s="16"/>
      <c r="O804" s="16"/>
      <c r="P804" s="16"/>
      <c r="Q804" s="16"/>
      <c r="R804" s="16"/>
      <c r="S804" s="16"/>
      <c r="T804" s="16"/>
      <c r="U804" s="16"/>
      <c r="V804" s="16"/>
      <c r="W804" s="16"/>
      <c r="X804" s="16"/>
    </row>
    <row r="805">
      <c r="A805" s="17"/>
      <c r="B805" s="17"/>
      <c r="C805" s="17"/>
      <c r="D805" s="48"/>
      <c r="E805" s="48"/>
      <c r="F805" s="16"/>
      <c r="G805" s="16"/>
      <c r="H805" s="16"/>
      <c r="I805" s="16"/>
      <c r="J805" s="16"/>
      <c r="K805" s="16"/>
      <c r="L805" s="16"/>
      <c r="M805" s="16"/>
      <c r="N805" s="16"/>
      <c r="O805" s="16"/>
      <c r="P805" s="16"/>
      <c r="Q805" s="16"/>
      <c r="R805" s="16"/>
      <c r="S805" s="16"/>
      <c r="T805" s="16"/>
      <c r="U805" s="16"/>
      <c r="V805" s="16"/>
      <c r="W805" s="16"/>
      <c r="X805" s="16"/>
    </row>
    <row r="806">
      <c r="A806" s="17"/>
      <c r="B806" s="17"/>
      <c r="C806" s="17"/>
      <c r="D806" s="48"/>
      <c r="E806" s="48"/>
      <c r="F806" s="16"/>
      <c r="G806" s="16"/>
      <c r="H806" s="16"/>
      <c r="I806" s="16"/>
      <c r="J806" s="16"/>
      <c r="K806" s="16"/>
      <c r="L806" s="16"/>
      <c r="M806" s="16"/>
      <c r="N806" s="16"/>
      <c r="O806" s="16"/>
      <c r="P806" s="16"/>
      <c r="Q806" s="16"/>
      <c r="R806" s="16"/>
      <c r="S806" s="16"/>
      <c r="T806" s="16"/>
      <c r="U806" s="16"/>
      <c r="V806" s="16"/>
      <c r="W806" s="16"/>
      <c r="X806" s="16"/>
    </row>
    <row r="807">
      <c r="A807" s="17"/>
      <c r="B807" s="17"/>
      <c r="C807" s="17"/>
      <c r="D807" s="48"/>
      <c r="E807" s="48"/>
      <c r="F807" s="16"/>
      <c r="G807" s="16"/>
      <c r="H807" s="16"/>
      <c r="I807" s="16"/>
      <c r="J807" s="16"/>
      <c r="K807" s="16"/>
      <c r="L807" s="16"/>
      <c r="M807" s="16"/>
      <c r="N807" s="16"/>
      <c r="O807" s="16"/>
      <c r="P807" s="16"/>
      <c r="Q807" s="16"/>
      <c r="R807" s="16"/>
      <c r="S807" s="16"/>
      <c r="T807" s="16"/>
      <c r="U807" s="16"/>
      <c r="V807" s="16"/>
      <c r="W807" s="16"/>
      <c r="X807" s="16"/>
    </row>
    <row r="808">
      <c r="A808" s="17"/>
      <c r="B808" s="17"/>
      <c r="C808" s="17"/>
      <c r="D808" s="48"/>
      <c r="E808" s="48"/>
      <c r="F808" s="16"/>
      <c r="G808" s="16"/>
      <c r="H808" s="16"/>
      <c r="I808" s="16"/>
      <c r="J808" s="16"/>
      <c r="K808" s="16"/>
      <c r="L808" s="16"/>
      <c r="M808" s="16"/>
      <c r="N808" s="16"/>
      <c r="O808" s="16"/>
      <c r="P808" s="16"/>
      <c r="Q808" s="16"/>
      <c r="R808" s="16"/>
      <c r="S808" s="16"/>
      <c r="T808" s="16"/>
      <c r="U808" s="16"/>
      <c r="V808" s="16"/>
      <c r="W808" s="16"/>
      <c r="X808" s="16"/>
    </row>
    <row r="809">
      <c r="A809" s="17"/>
      <c r="B809" s="17"/>
      <c r="C809" s="17"/>
      <c r="D809" s="48"/>
      <c r="E809" s="48"/>
      <c r="F809" s="16"/>
      <c r="G809" s="16"/>
      <c r="H809" s="16"/>
      <c r="I809" s="16"/>
      <c r="J809" s="16"/>
      <c r="K809" s="16"/>
      <c r="L809" s="16"/>
      <c r="M809" s="16"/>
      <c r="N809" s="16"/>
      <c r="O809" s="16"/>
      <c r="P809" s="16"/>
      <c r="Q809" s="16"/>
      <c r="R809" s="16"/>
      <c r="S809" s="16"/>
      <c r="T809" s="16"/>
      <c r="U809" s="16"/>
      <c r="V809" s="16"/>
      <c r="W809" s="16"/>
      <c r="X809" s="16"/>
    </row>
    <row r="810">
      <c r="A810" s="17"/>
      <c r="B810" s="17"/>
      <c r="C810" s="17"/>
      <c r="D810" s="48"/>
      <c r="E810" s="48"/>
      <c r="F810" s="16"/>
      <c r="G810" s="16"/>
      <c r="H810" s="16"/>
      <c r="I810" s="16"/>
      <c r="J810" s="16"/>
      <c r="K810" s="16"/>
      <c r="L810" s="16"/>
      <c r="M810" s="16"/>
      <c r="N810" s="16"/>
      <c r="O810" s="16"/>
      <c r="P810" s="16"/>
      <c r="Q810" s="16"/>
      <c r="R810" s="16"/>
      <c r="S810" s="16"/>
      <c r="T810" s="16"/>
      <c r="U810" s="16"/>
      <c r="V810" s="16"/>
      <c r="W810" s="16"/>
      <c r="X810" s="16"/>
    </row>
    <row r="811">
      <c r="A811" s="17"/>
      <c r="B811" s="17"/>
      <c r="C811" s="17"/>
      <c r="D811" s="48"/>
      <c r="E811" s="48"/>
      <c r="F811" s="16"/>
      <c r="G811" s="16"/>
      <c r="H811" s="16"/>
      <c r="I811" s="16"/>
      <c r="J811" s="16"/>
      <c r="K811" s="16"/>
      <c r="L811" s="16"/>
      <c r="M811" s="16"/>
      <c r="N811" s="16"/>
      <c r="O811" s="16"/>
      <c r="P811" s="16"/>
      <c r="Q811" s="16"/>
      <c r="R811" s="16"/>
      <c r="S811" s="16"/>
      <c r="T811" s="16"/>
      <c r="U811" s="16"/>
      <c r="V811" s="16"/>
      <c r="W811" s="16"/>
      <c r="X811" s="16"/>
    </row>
    <row r="812">
      <c r="A812" s="17"/>
      <c r="B812" s="17"/>
      <c r="C812" s="17"/>
      <c r="D812" s="48"/>
      <c r="E812" s="48"/>
      <c r="F812" s="16"/>
      <c r="G812" s="16"/>
      <c r="H812" s="16"/>
      <c r="I812" s="16"/>
      <c r="J812" s="16"/>
      <c r="K812" s="16"/>
      <c r="L812" s="16"/>
      <c r="M812" s="16"/>
      <c r="N812" s="16"/>
      <c r="O812" s="16"/>
      <c r="P812" s="16"/>
      <c r="Q812" s="16"/>
      <c r="R812" s="16"/>
      <c r="S812" s="16"/>
      <c r="T812" s="16"/>
      <c r="U812" s="16"/>
      <c r="V812" s="16"/>
      <c r="W812" s="16"/>
      <c r="X812" s="16"/>
    </row>
    <row r="813">
      <c r="A813" s="17"/>
      <c r="B813" s="17"/>
      <c r="C813" s="17"/>
      <c r="D813" s="48"/>
      <c r="E813" s="48"/>
      <c r="F813" s="16"/>
      <c r="G813" s="16"/>
      <c r="H813" s="16"/>
      <c r="I813" s="16"/>
      <c r="J813" s="16"/>
      <c r="K813" s="16"/>
      <c r="L813" s="16"/>
      <c r="M813" s="16"/>
      <c r="N813" s="16"/>
      <c r="O813" s="16"/>
      <c r="P813" s="16"/>
      <c r="Q813" s="16"/>
      <c r="R813" s="16"/>
      <c r="S813" s="16"/>
      <c r="T813" s="16"/>
      <c r="U813" s="16"/>
      <c r="V813" s="16"/>
      <c r="W813" s="16"/>
      <c r="X813" s="16"/>
    </row>
    <row r="814">
      <c r="A814" s="17"/>
      <c r="B814" s="17"/>
      <c r="C814" s="17"/>
      <c r="D814" s="48"/>
      <c r="E814" s="48"/>
      <c r="F814" s="16"/>
      <c r="G814" s="16"/>
      <c r="H814" s="16"/>
      <c r="I814" s="16"/>
      <c r="J814" s="16"/>
      <c r="K814" s="16"/>
      <c r="L814" s="16"/>
      <c r="M814" s="16"/>
      <c r="N814" s="16"/>
      <c r="O814" s="16"/>
      <c r="P814" s="16"/>
      <c r="Q814" s="16"/>
      <c r="R814" s="16"/>
      <c r="S814" s="16"/>
      <c r="T814" s="16"/>
      <c r="U814" s="16"/>
      <c r="V814" s="16"/>
      <c r="W814" s="16"/>
      <c r="X814" s="16"/>
    </row>
    <row r="815">
      <c r="A815" s="17"/>
      <c r="B815" s="17"/>
      <c r="C815" s="17"/>
      <c r="D815" s="48"/>
      <c r="E815" s="48"/>
      <c r="F815" s="16"/>
      <c r="G815" s="16"/>
      <c r="H815" s="16"/>
      <c r="I815" s="16"/>
      <c r="J815" s="16"/>
      <c r="K815" s="16"/>
      <c r="L815" s="16"/>
      <c r="M815" s="16"/>
      <c r="N815" s="16"/>
      <c r="O815" s="16"/>
      <c r="P815" s="16"/>
      <c r="Q815" s="16"/>
      <c r="R815" s="16"/>
      <c r="S815" s="16"/>
      <c r="T815" s="16"/>
      <c r="U815" s="16"/>
      <c r="V815" s="16"/>
      <c r="W815" s="16"/>
      <c r="X815" s="16"/>
    </row>
    <row r="816">
      <c r="A816" s="17"/>
      <c r="B816" s="17"/>
      <c r="C816" s="17"/>
      <c r="D816" s="48"/>
      <c r="E816" s="48"/>
      <c r="F816" s="16"/>
      <c r="G816" s="16"/>
      <c r="H816" s="16"/>
      <c r="I816" s="16"/>
      <c r="J816" s="16"/>
      <c r="K816" s="16"/>
      <c r="L816" s="16"/>
      <c r="M816" s="16"/>
      <c r="N816" s="16"/>
      <c r="O816" s="16"/>
      <c r="P816" s="16"/>
      <c r="Q816" s="16"/>
      <c r="R816" s="16"/>
      <c r="S816" s="16"/>
      <c r="T816" s="16"/>
      <c r="U816" s="16"/>
      <c r="V816" s="16"/>
      <c r="W816" s="16"/>
      <c r="X816" s="16"/>
    </row>
    <row r="817">
      <c r="A817" s="17"/>
      <c r="B817" s="17"/>
      <c r="C817" s="17"/>
      <c r="D817" s="48"/>
      <c r="E817" s="48"/>
      <c r="F817" s="16"/>
      <c r="G817" s="16"/>
      <c r="H817" s="16"/>
      <c r="I817" s="16"/>
      <c r="J817" s="16"/>
      <c r="K817" s="16"/>
      <c r="L817" s="16"/>
      <c r="M817" s="16"/>
      <c r="N817" s="16"/>
      <c r="O817" s="16"/>
      <c r="P817" s="16"/>
      <c r="Q817" s="16"/>
      <c r="R817" s="16"/>
      <c r="S817" s="16"/>
      <c r="T817" s="16"/>
      <c r="U817" s="16"/>
      <c r="V817" s="16"/>
      <c r="W817" s="16"/>
      <c r="X817" s="16"/>
    </row>
    <row r="818">
      <c r="A818" s="17"/>
      <c r="B818" s="17"/>
      <c r="C818" s="17"/>
      <c r="D818" s="48"/>
      <c r="E818" s="48"/>
      <c r="F818" s="16"/>
      <c r="G818" s="16"/>
      <c r="H818" s="16"/>
      <c r="I818" s="16"/>
      <c r="J818" s="16"/>
      <c r="K818" s="16"/>
      <c r="L818" s="16"/>
      <c r="M818" s="16"/>
      <c r="N818" s="16"/>
      <c r="O818" s="16"/>
      <c r="P818" s="16"/>
      <c r="Q818" s="16"/>
      <c r="R818" s="16"/>
      <c r="S818" s="16"/>
      <c r="T818" s="16"/>
      <c r="U818" s="16"/>
      <c r="V818" s="16"/>
      <c r="W818" s="16"/>
      <c r="X818" s="16"/>
    </row>
    <row r="819">
      <c r="A819" s="17"/>
      <c r="B819" s="17"/>
      <c r="C819" s="17"/>
      <c r="D819" s="48"/>
      <c r="E819" s="48"/>
      <c r="F819" s="16"/>
      <c r="G819" s="16"/>
      <c r="H819" s="16"/>
      <c r="I819" s="16"/>
      <c r="J819" s="16"/>
      <c r="K819" s="16"/>
      <c r="L819" s="16"/>
      <c r="M819" s="16"/>
      <c r="N819" s="16"/>
      <c r="O819" s="16"/>
      <c r="P819" s="16"/>
      <c r="Q819" s="16"/>
      <c r="R819" s="16"/>
      <c r="S819" s="16"/>
      <c r="T819" s="16"/>
      <c r="U819" s="16"/>
      <c r="V819" s="16"/>
      <c r="W819" s="16"/>
      <c r="X819" s="16"/>
    </row>
    <row r="820">
      <c r="A820" s="17"/>
      <c r="B820" s="17"/>
      <c r="C820" s="17"/>
      <c r="D820" s="48"/>
      <c r="E820" s="48"/>
      <c r="F820" s="16"/>
      <c r="G820" s="16"/>
      <c r="H820" s="16"/>
      <c r="I820" s="16"/>
      <c r="J820" s="16"/>
      <c r="K820" s="16"/>
      <c r="L820" s="16"/>
      <c r="M820" s="16"/>
      <c r="N820" s="16"/>
      <c r="O820" s="16"/>
      <c r="P820" s="16"/>
      <c r="Q820" s="16"/>
      <c r="R820" s="16"/>
      <c r="S820" s="16"/>
      <c r="T820" s="16"/>
      <c r="U820" s="16"/>
      <c r="V820" s="16"/>
      <c r="W820" s="16"/>
      <c r="X820" s="16"/>
    </row>
    <row r="821">
      <c r="A821" s="17"/>
      <c r="B821" s="17"/>
      <c r="C821" s="17"/>
      <c r="D821" s="48"/>
      <c r="E821" s="48"/>
      <c r="F821" s="16"/>
      <c r="G821" s="16"/>
      <c r="H821" s="16"/>
      <c r="I821" s="16"/>
      <c r="J821" s="16"/>
      <c r="K821" s="16"/>
      <c r="L821" s="16"/>
      <c r="M821" s="16"/>
      <c r="N821" s="16"/>
      <c r="O821" s="16"/>
      <c r="P821" s="16"/>
      <c r="Q821" s="16"/>
      <c r="R821" s="16"/>
      <c r="S821" s="16"/>
      <c r="T821" s="16"/>
      <c r="U821" s="16"/>
      <c r="V821" s="16"/>
      <c r="W821" s="16"/>
      <c r="X821" s="16"/>
    </row>
    <row r="822">
      <c r="A822" s="17"/>
      <c r="B822" s="17"/>
      <c r="C822" s="17"/>
      <c r="D822" s="48"/>
      <c r="E822" s="48"/>
      <c r="F822" s="16"/>
      <c r="G822" s="16"/>
      <c r="H822" s="16"/>
      <c r="I822" s="16"/>
      <c r="J822" s="16"/>
      <c r="K822" s="16"/>
      <c r="L822" s="16"/>
      <c r="M822" s="16"/>
      <c r="N822" s="16"/>
      <c r="O822" s="16"/>
      <c r="P822" s="16"/>
      <c r="Q822" s="16"/>
      <c r="R822" s="16"/>
      <c r="S822" s="16"/>
      <c r="T822" s="16"/>
      <c r="U822" s="16"/>
      <c r="V822" s="16"/>
      <c r="W822" s="16"/>
      <c r="X822" s="16"/>
    </row>
    <row r="823">
      <c r="A823" s="17"/>
      <c r="B823" s="17"/>
      <c r="C823" s="17"/>
      <c r="D823" s="48"/>
      <c r="E823" s="48"/>
      <c r="F823" s="16"/>
      <c r="G823" s="16"/>
      <c r="H823" s="16"/>
      <c r="I823" s="16"/>
      <c r="J823" s="16"/>
      <c r="K823" s="16"/>
      <c r="L823" s="16"/>
      <c r="M823" s="16"/>
      <c r="N823" s="16"/>
      <c r="O823" s="16"/>
      <c r="P823" s="16"/>
      <c r="Q823" s="16"/>
      <c r="R823" s="16"/>
      <c r="S823" s="16"/>
      <c r="T823" s="16"/>
      <c r="U823" s="16"/>
      <c r="V823" s="16"/>
      <c r="W823" s="16"/>
      <c r="X823" s="16"/>
    </row>
    <row r="824">
      <c r="A824" s="17"/>
      <c r="B824" s="17"/>
      <c r="C824" s="17"/>
      <c r="D824" s="48"/>
      <c r="E824" s="48"/>
      <c r="F824" s="16"/>
      <c r="G824" s="16"/>
      <c r="H824" s="16"/>
      <c r="I824" s="16"/>
      <c r="J824" s="16"/>
      <c r="K824" s="16"/>
      <c r="L824" s="16"/>
      <c r="M824" s="16"/>
      <c r="N824" s="16"/>
      <c r="O824" s="16"/>
      <c r="P824" s="16"/>
      <c r="Q824" s="16"/>
      <c r="R824" s="16"/>
      <c r="S824" s="16"/>
      <c r="T824" s="16"/>
      <c r="U824" s="16"/>
      <c r="V824" s="16"/>
      <c r="W824" s="16"/>
      <c r="X824" s="16"/>
    </row>
    <row r="825">
      <c r="A825" s="17"/>
      <c r="B825" s="17"/>
      <c r="C825" s="17"/>
      <c r="D825" s="48"/>
      <c r="E825" s="48"/>
      <c r="F825" s="16"/>
      <c r="G825" s="16"/>
      <c r="H825" s="16"/>
      <c r="I825" s="16"/>
      <c r="J825" s="16"/>
      <c r="K825" s="16"/>
      <c r="L825" s="16"/>
      <c r="M825" s="16"/>
      <c r="N825" s="16"/>
      <c r="O825" s="16"/>
      <c r="P825" s="16"/>
      <c r="Q825" s="16"/>
      <c r="R825" s="16"/>
      <c r="S825" s="16"/>
      <c r="T825" s="16"/>
      <c r="U825" s="16"/>
      <c r="V825" s="16"/>
      <c r="W825" s="16"/>
      <c r="X825" s="16"/>
    </row>
    <row r="826">
      <c r="A826" s="17"/>
      <c r="B826" s="17"/>
      <c r="C826" s="17"/>
      <c r="D826" s="48"/>
      <c r="E826" s="48"/>
      <c r="F826" s="16"/>
      <c r="G826" s="16"/>
      <c r="H826" s="16"/>
      <c r="I826" s="16"/>
      <c r="J826" s="16"/>
      <c r="K826" s="16"/>
      <c r="L826" s="16"/>
      <c r="M826" s="16"/>
      <c r="N826" s="16"/>
      <c r="O826" s="16"/>
      <c r="P826" s="16"/>
      <c r="Q826" s="16"/>
      <c r="R826" s="16"/>
      <c r="S826" s="16"/>
      <c r="T826" s="16"/>
      <c r="U826" s="16"/>
      <c r="V826" s="16"/>
      <c r="W826" s="16"/>
      <c r="X826" s="16"/>
    </row>
    <row r="827">
      <c r="A827" s="17"/>
      <c r="B827" s="17"/>
      <c r="C827" s="17"/>
      <c r="D827" s="48"/>
      <c r="E827" s="48"/>
      <c r="F827" s="16"/>
      <c r="G827" s="16"/>
      <c r="H827" s="16"/>
      <c r="I827" s="16"/>
      <c r="J827" s="16"/>
      <c r="K827" s="16"/>
      <c r="L827" s="16"/>
      <c r="M827" s="16"/>
      <c r="N827" s="16"/>
      <c r="O827" s="16"/>
      <c r="P827" s="16"/>
      <c r="Q827" s="16"/>
      <c r="R827" s="16"/>
      <c r="S827" s="16"/>
      <c r="T827" s="16"/>
      <c r="U827" s="16"/>
      <c r="V827" s="16"/>
      <c r="W827" s="16"/>
      <c r="X827" s="16"/>
    </row>
    <row r="828">
      <c r="A828" s="17"/>
      <c r="B828" s="17"/>
      <c r="C828" s="17"/>
      <c r="D828" s="48"/>
      <c r="E828" s="48"/>
      <c r="F828" s="16"/>
      <c r="G828" s="16"/>
      <c r="H828" s="16"/>
      <c r="I828" s="16"/>
      <c r="J828" s="16"/>
      <c r="K828" s="16"/>
      <c r="L828" s="16"/>
      <c r="M828" s="16"/>
      <c r="N828" s="16"/>
      <c r="O828" s="16"/>
      <c r="P828" s="16"/>
      <c r="Q828" s="16"/>
      <c r="R828" s="16"/>
      <c r="S828" s="16"/>
      <c r="T828" s="16"/>
      <c r="U828" s="16"/>
      <c r="V828" s="16"/>
      <c r="W828" s="16"/>
      <c r="X828" s="16"/>
    </row>
    <row r="829">
      <c r="A829" s="17"/>
      <c r="B829" s="17"/>
      <c r="C829" s="17"/>
      <c r="D829" s="48"/>
      <c r="E829" s="48"/>
      <c r="F829" s="16"/>
      <c r="G829" s="16"/>
      <c r="H829" s="16"/>
      <c r="I829" s="16"/>
      <c r="J829" s="16"/>
      <c r="K829" s="16"/>
      <c r="L829" s="16"/>
      <c r="M829" s="16"/>
      <c r="N829" s="16"/>
      <c r="O829" s="16"/>
      <c r="P829" s="16"/>
      <c r="Q829" s="16"/>
      <c r="R829" s="16"/>
      <c r="S829" s="16"/>
      <c r="T829" s="16"/>
      <c r="U829" s="16"/>
      <c r="V829" s="16"/>
      <c r="W829" s="16"/>
      <c r="X829" s="16"/>
    </row>
    <row r="830">
      <c r="A830" s="17"/>
      <c r="B830" s="17"/>
      <c r="C830" s="17"/>
      <c r="D830" s="48"/>
      <c r="E830" s="48"/>
      <c r="F830" s="16"/>
      <c r="G830" s="16"/>
      <c r="H830" s="16"/>
      <c r="I830" s="16"/>
      <c r="J830" s="16"/>
      <c r="K830" s="16"/>
      <c r="L830" s="16"/>
      <c r="M830" s="16"/>
      <c r="N830" s="16"/>
      <c r="O830" s="16"/>
      <c r="P830" s="16"/>
      <c r="Q830" s="16"/>
      <c r="R830" s="16"/>
      <c r="S830" s="16"/>
      <c r="T830" s="16"/>
      <c r="U830" s="16"/>
      <c r="V830" s="16"/>
      <c r="W830" s="16"/>
      <c r="X830" s="16"/>
    </row>
    <row r="831">
      <c r="A831" s="17"/>
      <c r="B831" s="17"/>
      <c r="C831" s="17"/>
      <c r="D831" s="48"/>
      <c r="E831" s="48"/>
      <c r="F831" s="16"/>
      <c r="G831" s="16"/>
      <c r="H831" s="16"/>
      <c r="I831" s="16"/>
      <c r="J831" s="16"/>
      <c r="K831" s="16"/>
      <c r="L831" s="16"/>
      <c r="M831" s="16"/>
      <c r="N831" s="16"/>
      <c r="O831" s="16"/>
      <c r="P831" s="16"/>
      <c r="Q831" s="16"/>
      <c r="R831" s="16"/>
      <c r="S831" s="16"/>
      <c r="T831" s="16"/>
      <c r="U831" s="16"/>
      <c r="V831" s="16"/>
      <c r="W831" s="16"/>
      <c r="X831" s="16"/>
    </row>
    <row r="832">
      <c r="A832" s="17"/>
      <c r="B832" s="17"/>
      <c r="C832" s="17"/>
      <c r="D832" s="48"/>
      <c r="E832" s="48"/>
      <c r="F832" s="16"/>
      <c r="G832" s="16"/>
      <c r="H832" s="16"/>
      <c r="I832" s="16"/>
      <c r="J832" s="16"/>
      <c r="K832" s="16"/>
      <c r="L832" s="16"/>
      <c r="M832" s="16"/>
      <c r="N832" s="16"/>
      <c r="O832" s="16"/>
      <c r="P832" s="16"/>
      <c r="Q832" s="16"/>
      <c r="R832" s="16"/>
      <c r="S832" s="16"/>
      <c r="T832" s="16"/>
      <c r="U832" s="16"/>
      <c r="V832" s="16"/>
      <c r="W832" s="16"/>
      <c r="X832" s="16"/>
    </row>
    <row r="833">
      <c r="A833" s="17"/>
      <c r="B833" s="17"/>
      <c r="C833" s="17"/>
      <c r="D833" s="48"/>
      <c r="E833" s="48"/>
      <c r="F833" s="16"/>
      <c r="G833" s="16"/>
      <c r="H833" s="16"/>
      <c r="I833" s="16"/>
      <c r="J833" s="16"/>
      <c r="K833" s="16"/>
      <c r="L833" s="16"/>
      <c r="M833" s="16"/>
      <c r="N833" s="16"/>
      <c r="O833" s="16"/>
      <c r="P833" s="16"/>
      <c r="Q833" s="16"/>
      <c r="R833" s="16"/>
      <c r="S833" s="16"/>
      <c r="T833" s="16"/>
      <c r="U833" s="16"/>
      <c r="V833" s="16"/>
      <c r="W833" s="16"/>
      <c r="X833" s="16"/>
    </row>
    <row r="834">
      <c r="A834" s="17"/>
      <c r="B834" s="17"/>
      <c r="C834" s="17"/>
      <c r="D834" s="48"/>
      <c r="E834" s="48"/>
      <c r="F834" s="16"/>
      <c r="G834" s="16"/>
      <c r="H834" s="16"/>
      <c r="I834" s="16"/>
      <c r="J834" s="16"/>
      <c r="K834" s="16"/>
      <c r="L834" s="16"/>
      <c r="M834" s="16"/>
      <c r="N834" s="16"/>
      <c r="O834" s="16"/>
      <c r="P834" s="16"/>
      <c r="Q834" s="16"/>
      <c r="R834" s="16"/>
      <c r="S834" s="16"/>
      <c r="T834" s="16"/>
      <c r="U834" s="16"/>
      <c r="V834" s="16"/>
      <c r="W834" s="16"/>
      <c r="X834" s="16"/>
    </row>
    <row r="835">
      <c r="A835" s="17"/>
      <c r="B835" s="17"/>
      <c r="C835" s="17"/>
      <c r="D835" s="48"/>
      <c r="E835" s="48"/>
      <c r="F835" s="16"/>
      <c r="G835" s="16"/>
      <c r="H835" s="16"/>
      <c r="I835" s="16"/>
      <c r="J835" s="16"/>
      <c r="K835" s="16"/>
      <c r="L835" s="16"/>
      <c r="M835" s="16"/>
      <c r="N835" s="16"/>
      <c r="O835" s="16"/>
      <c r="P835" s="16"/>
      <c r="Q835" s="16"/>
      <c r="R835" s="16"/>
      <c r="S835" s="16"/>
      <c r="T835" s="16"/>
      <c r="U835" s="16"/>
      <c r="V835" s="16"/>
      <c r="W835" s="16"/>
      <c r="X835" s="16"/>
    </row>
    <row r="836">
      <c r="A836" s="17"/>
      <c r="B836" s="17"/>
      <c r="C836" s="17"/>
      <c r="D836" s="48"/>
      <c r="E836" s="48"/>
      <c r="F836" s="16"/>
      <c r="G836" s="16"/>
      <c r="H836" s="16"/>
      <c r="I836" s="16"/>
      <c r="J836" s="16"/>
      <c r="K836" s="16"/>
      <c r="L836" s="16"/>
      <c r="M836" s="16"/>
      <c r="N836" s="16"/>
      <c r="O836" s="16"/>
      <c r="P836" s="16"/>
      <c r="Q836" s="16"/>
      <c r="R836" s="16"/>
      <c r="S836" s="16"/>
      <c r="T836" s="16"/>
      <c r="U836" s="16"/>
      <c r="V836" s="16"/>
      <c r="W836" s="16"/>
      <c r="X836" s="16"/>
    </row>
    <row r="837">
      <c r="A837" s="17"/>
      <c r="B837" s="17"/>
      <c r="C837" s="17"/>
      <c r="D837" s="48"/>
      <c r="E837" s="48"/>
      <c r="F837" s="16"/>
      <c r="G837" s="16"/>
      <c r="H837" s="16"/>
      <c r="I837" s="16"/>
      <c r="J837" s="16"/>
      <c r="K837" s="16"/>
      <c r="L837" s="16"/>
      <c r="M837" s="16"/>
      <c r="N837" s="16"/>
      <c r="O837" s="16"/>
      <c r="P837" s="16"/>
      <c r="Q837" s="16"/>
      <c r="R837" s="16"/>
      <c r="S837" s="16"/>
      <c r="T837" s="16"/>
      <c r="U837" s="16"/>
      <c r="V837" s="16"/>
      <c r="W837" s="16"/>
      <c r="X837" s="16"/>
    </row>
    <row r="838">
      <c r="A838" s="17"/>
      <c r="B838" s="17"/>
      <c r="C838" s="17"/>
      <c r="D838" s="48"/>
      <c r="E838" s="48"/>
      <c r="F838" s="16"/>
      <c r="G838" s="16"/>
      <c r="H838" s="16"/>
      <c r="I838" s="16"/>
      <c r="J838" s="16"/>
      <c r="K838" s="16"/>
      <c r="L838" s="16"/>
      <c r="M838" s="16"/>
      <c r="N838" s="16"/>
      <c r="O838" s="16"/>
      <c r="P838" s="16"/>
      <c r="Q838" s="16"/>
      <c r="R838" s="16"/>
      <c r="S838" s="16"/>
      <c r="T838" s="16"/>
      <c r="U838" s="16"/>
      <c r="V838" s="16"/>
      <c r="W838" s="16"/>
      <c r="X838" s="16"/>
    </row>
    <row r="839">
      <c r="A839" s="17"/>
      <c r="B839" s="17"/>
      <c r="C839" s="17"/>
      <c r="D839" s="48"/>
      <c r="E839" s="48"/>
      <c r="F839" s="16"/>
      <c r="G839" s="16"/>
      <c r="H839" s="16"/>
      <c r="I839" s="16"/>
      <c r="J839" s="16"/>
      <c r="K839" s="16"/>
      <c r="L839" s="16"/>
      <c r="M839" s="16"/>
      <c r="N839" s="16"/>
      <c r="O839" s="16"/>
      <c r="P839" s="16"/>
      <c r="Q839" s="16"/>
      <c r="R839" s="16"/>
      <c r="S839" s="16"/>
      <c r="T839" s="16"/>
      <c r="U839" s="16"/>
      <c r="V839" s="16"/>
      <c r="W839" s="16"/>
      <c r="X839" s="16"/>
    </row>
    <row r="840">
      <c r="A840" s="17"/>
      <c r="B840" s="17"/>
      <c r="C840" s="17"/>
      <c r="D840" s="48"/>
      <c r="E840" s="48"/>
      <c r="F840" s="16"/>
      <c r="G840" s="16"/>
      <c r="H840" s="16"/>
      <c r="I840" s="16"/>
      <c r="J840" s="16"/>
      <c r="K840" s="16"/>
      <c r="L840" s="16"/>
      <c r="M840" s="16"/>
      <c r="N840" s="16"/>
      <c r="O840" s="16"/>
      <c r="P840" s="16"/>
      <c r="Q840" s="16"/>
      <c r="R840" s="16"/>
      <c r="S840" s="16"/>
      <c r="T840" s="16"/>
      <c r="U840" s="16"/>
      <c r="V840" s="16"/>
      <c r="W840" s="16"/>
      <c r="X840" s="16"/>
    </row>
    <row r="841">
      <c r="A841" s="17"/>
      <c r="B841" s="17"/>
      <c r="C841" s="17"/>
      <c r="D841" s="48"/>
      <c r="E841" s="48"/>
      <c r="F841" s="16"/>
      <c r="G841" s="16"/>
      <c r="H841" s="16"/>
      <c r="I841" s="16"/>
      <c r="J841" s="16"/>
      <c r="K841" s="16"/>
      <c r="L841" s="16"/>
      <c r="M841" s="16"/>
      <c r="N841" s="16"/>
      <c r="O841" s="16"/>
      <c r="P841" s="16"/>
      <c r="Q841" s="16"/>
      <c r="R841" s="16"/>
      <c r="S841" s="16"/>
      <c r="T841" s="16"/>
      <c r="U841" s="16"/>
      <c r="V841" s="16"/>
      <c r="W841" s="16"/>
      <c r="X841" s="16"/>
    </row>
    <row r="842">
      <c r="A842" s="17"/>
      <c r="B842" s="17"/>
      <c r="C842" s="17"/>
      <c r="D842" s="48"/>
      <c r="E842" s="48"/>
      <c r="F842" s="16"/>
      <c r="G842" s="16"/>
      <c r="H842" s="16"/>
      <c r="I842" s="16"/>
      <c r="J842" s="16"/>
      <c r="K842" s="16"/>
      <c r="L842" s="16"/>
      <c r="M842" s="16"/>
      <c r="N842" s="16"/>
      <c r="O842" s="16"/>
      <c r="P842" s="16"/>
      <c r="Q842" s="16"/>
      <c r="R842" s="16"/>
      <c r="S842" s="16"/>
      <c r="T842" s="16"/>
      <c r="U842" s="16"/>
      <c r="V842" s="16"/>
      <c r="W842" s="16"/>
      <c r="X842" s="16"/>
    </row>
    <row r="843">
      <c r="A843" s="17"/>
      <c r="B843" s="17"/>
      <c r="C843" s="17"/>
      <c r="D843" s="48"/>
      <c r="E843" s="48"/>
      <c r="F843" s="16"/>
      <c r="G843" s="16"/>
      <c r="H843" s="16"/>
      <c r="I843" s="16"/>
      <c r="J843" s="16"/>
      <c r="K843" s="16"/>
      <c r="L843" s="16"/>
      <c r="M843" s="16"/>
      <c r="N843" s="16"/>
      <c r="O843" s="16"/>
      <c r="P843" s="16"/>
      <c r="Q843" s="16"/>
      <c r="R843" s="16"/>
      <c r="S843" s="16"/>
      <c r="T843" s="16"/>
      <c r="U843" s="16"/>
      <c r="V843" s="16"/>
      <c r="W843" s="16"/>
      <c r="X843" s="16"/>
    </row>
    <row r="844">
      <c r="A844" s="17"/>
      <c r="B844" s="17"/>
      <c r="C844" s="17"/>
      <c r="D844" s="48"/>
      <c r="E844" s="48"/>
      <c r="F844" s="16"/>
      <c r="G844" s="16"/>
      <c r="H844" s="16"/>
      <c r="I844" s="16"/>
      <c r="J844" s="16"/>
      <c r="K844" s="16"/>
      <c r="L844" s="16"/>
      <c r="M844" s="16"/>
      <c r="N844" s="16"/>
      <c r="O844" s="16"/>
      <c r="P844" s="16"/>
      <c r="Q844" s="16"/>
      <c r="R844" s="16"/>
      <c r="S844" s="16"/>
      <c r="T844" s="16"/>
      <c r="U844" s="16"/>
      <c r="V844" s="16"/>
      <c r="W844" s="16"/>
      <c r="X844" s="16"/>
    </row>
    <row r="845">
      <c r="A845" s="17"/>
      <c r="B845" s="17"/>
      <c r="C845" s="17"/>
      <c r="D845" s="48"/>
      <c r="E845" s="48"/>
      <c r="F845" s="16"/>
      <c r="G845" s="16"/>
      <c r="H845" s="16"/>
      <c r="I845" s="16"/>
      <c r="J845" s="16"/>
      <c r="K845" s="16"/>
      <c r="L845" s="16"/>
      <c r="M845" s="16"/>
      <c r="N845" s="16"/>
      <c r="O845" s="16"/>
      <c r="P845" s="16"/>
      <c r="Q845" s="16"/>
      <c r="R845" s="16"/>
      <c r="S845" s="16"/>
      <c r="T845" s="16"/>
      <c r="U845" s="16"/>
      <c r="V845" s="16"/>
      <c r="W845" s="16"/>
      <c r="X845" s="16"/>
    </row>
    <row r="846">
      <c r="A846" s="17"/>
      <c r="B846" s="17"/>
      <c r="C846" s="17"/>
      <c r="D846" s="48"/>
      <c r="E846" s="48"/>
      <c r="F846" s="16"/>
      <c r="G846" s="16"/>
      <c r="H846" s="16"/>
      <c r="I846" s="16"/>
      <c r="J846" s="16"/>
      <c r="K846" s="16"/>
      <c r="L846" s="16"/>
      <c r="M846" s="16"/>
      <c r="N846" s="16"/>
      <c r="O846" s="16"/>
      <c r="P846" s="16"/>
      <c r="Q846" s="16"/>
      <c r="R846" s="16"/>
      <c r="S846" s="16"/>
      <c r="T846" s="16"/>
      <c r="U846" s="16"/>
      <c r="V846" s="16"/>
      <c r="W846" s="16"/>
      <c r="X846" s="16"/>
    </row>
    <row r="847">
      <c r="A847" s="17"/>
      <c r="B847" s="17"/>
      <c r="C847" s="17"/>
      <c r="D847" s="48"/>
      <c r="E847" s="48"/>
      <c r="F847" s="16"/>
      <c r="G847" s="16"/>
      <c r="H847" s="16"/>
      <c r="I847" s="16"/>
      <c r="J847" s="16"/>
      <c r="K847" s="16"/>
      <c r="L847" s="16"/>
      <c r="M847" s="16"/>
      <c r="N847" s="16"/>
      <c r="O847" s="16"/>
      <c r="P847" s="16"/>
      <c r="Q847" s="16"/>
      <c r="R847" s="16"/>
      <c r="S847" s="16"/>
      <c r="T847" s="16"/>
      <c r="U847" s="16"/>
      <c r="V847" s="16"/>
      <c r="W847" s="16"/>
      <c r="X847" s="16"/>
    </row>
    <row r="848">
      <c r="A848" s="17"/>
      <c r="B848" s="17"/>
      <c r="C848" s="17"/>
      <c r="D848" s="48"/>
      <c r="E848" s="48"/>
      <c r="F848" s="16"/>
      <c r="G848" s="16"/>
      <c r="H848" s="16"/>
      <c r="I848" s="16"/>
      <c r="J848" s="16"/>
      <c r="K848" s="16"/>
      <c r="L848" s="16"/>
      <c r="M848" s="16"/>
      <c r="N848" s="16"/>
      <c r="O848" s="16"/>
      <c r="P848" s="16"/>
      <c r="Q848" s="16"/>
      <c r="R848" s="16"/>
      <c r="S848" s="16"/>
      <c r="T848" s="16"/>
      <c r="U848" s="16"/>
      <c r="V848" s="16"/>
      <c r="W848" s="16"/>
      <c r="X848" s="16"/>
    </row>
    <row r="849">
      <c r="A849" s="17"/>
      <c r="B849" s="17"/>
      <c r="C849" s="17"/>
      <c r="D849" s="48"/>
      <c r="E849" s="48"/>
      <c r="F849" s="16"/>
      <c r="G849" s="16"/>
      <c r="H849" s="16"/>
      <c r="I849" s="16"/>
      <c r="J849" s="16"/>
      <c r="K849" s="16"/>
      <c r="L849" s="16"/>
      <c r="M849" s="16"/>
      <c r="N849" s="16"/>
      <c r="O849" s="16"/>
      <c r="P849" s="16"/>
      <c r="Q849" s="16"/>
      <c r="R849" s="16"/>
      <c r="S849" s="16"/>
      <c r="T849" s="16"/>
      <c r="U849" s="16"/>
      <c r="V849" s="16"/>
      <c r="W849" s="16"/>
      <c r="X849" s="16"/>
    </row>
    <row r="850">
      <c r="A850" s="17"/>
      <c r="B850" s="17"/>
      <c r="C850" s="17"/>
      <c r="D850" s="48"/>
      <c r="E850" s="48"/>
      <c r="F850" s="16"/>
      <c r="G850" s="16"/>
      <c r="H850" s="16"/>
      <c r="I850" s="16"/>
      <c r="J850" s="16"/>
      <c r="K850" s="16"/>
      <c r="L850" s="16"/>
      <c r="M850" s="16"/>
      <c r="N850" s="16"/>
      <c r="O850" s="16"/>
      <c r="P850" s="16"/>
      <c r="Q850" s="16"/>
      <c r="R850" s="16"/>
      <c r="S850" s="16"/>
      <c r="T850" s="16"/>
      <c r="U850" s="16"/>
      <c r="V850" s="16"/>
      <c r="W850" s="16"/>
      <c r="X850" s="16"/>
    </row>
    <row r="851">
      <c r="A851" s="17"/>
      <c r="B851" s="17"/>
      <c r="C851" s="17"/>
      <c r="D851" s="48"/>
      <c r="E851" s="48"/>
      <c r="F851" s="16"/>
      <c r="G851" s="16"/>
      <c r="H851" s="16"/>
      <c r="I851" s="16"/>
      <c r="J851" s="16"/>
      <c r="K851" s="16"/>
      <c r="L851" s="16"/>
      <c r="M851" s="16"/>
      <c r="N851" s="16"/>
      <c r="O851" s="16"/>
      <c r="P851" s="16"/>
      <c r="Q851" s="16"/>
      <c r="R851" s="16"/>
      <c r="S851" s="16"/>
      <c r="T851" s="16"/>
      <c r="U851" s="16"/>
      <c r="V851" s="16"/>
      <c r="W851" s="16"/>
      <c r="X851" s="16"/>
    </row>
    <row r="852">
      <c r="A852" s="17"/>
      <c r="B852" s="17"/>
      <c r="C852" s="17"/>
      <c r="D852" s="48"/>
      <c r="E852" s="48"/>
      <c r="F852" s="16"/>
      <c r="G852" s="16"/>
      <c r="H852" s="16"/>
      <c r="I852" s="16"/>
      <c r="J852" s="16"/>
      <c r="K852" s="16"/>
      <c r="L852" s="16"/>
      <c r="M852" s="16"/>
      <c r="N852" s="16"/>
      <c r="O852" s="16"/>
      <c r="P852" s="16"/>
      <c r="Q852" s="16"/>
      <c r="R852" s="16"/>
      <c r="S852" s="16"/>
      <c r="T852" s="16"/>
      <c r="U852" s="16"/>
      <c r="V852" s="16"/>
      <c r="W852" s="16"/>
      <c r="X852" s="16"/>
    </row>
    <row r="853">
      <c r="A853" s="17"/>
      <c r="B853" s="17"/>
      <c r="C853" s="17"/>
      <c r="D853" s="48"/>
      <c r="E853" s="48"/>
      <c r="F853" s="16"/>
      <c r="G853" s="16"/>
      <c r="H853" s="16"/>
      <c r="I853" s="16"/>
      <c r="J853" s="16"/>
      <c r="K853" s="16"/>
      <c r="L853" s="16"/>
      <c r="M853" s="16"/>
      <c r="N853" s="16"/>
      <c r="O853" s="16"/>
      <c r="P853" s="16"/>
      <c r="Q853" s="16"/>
      <c r="R853" s="16"/>
      <c r="S853" s="16"/>
      <c r="T853" s="16"/>
      <c r="U853" s="16"/>
      <c r="V853" s="16"/>
      <c r="W853" s="16"/>
      <c r="X853" s="16"/>
    </row>
    <row r="854">
      <c r="A854" s="17"/>
      <c r="B854" s="17"/>
      <c r="C854" s="17"/>
      <c r="D854" s="48"/>
      <c r="E854" s="48"/>
      <c r="F854" s="16"/>
      <c r="G854" s="16"/>
      <c r="H854" s="16"/>
      <c r="I854" s="16"/>
      <c r="J854" s="16"/>
      <c r="K854" s="16"/>
      <c r="L854" s="16"/>
      <c r="M854" s="16"/>
      <c r="N854" s="16"/>
      <c r="O854" s="16"/>
      <c r="P854" s="16"/>
      <c r="Q854" s="16"/>
      <c r="R854" s="16"/>
      <c r="S854" s="16"/>
      <c r="T854" s="16"/>
      <c r="U854" s="16"/>
      <c r="V854" s="16"/>
      <c r="W854" s="16"/>
      <c r="X854" s="16"/>
    </row>
    <row r="855">
      <c r="A855" s="17"/>
      <c r="B855" s="17"/>
      <c r="C855" s="17"/>
      <c r="D855" s="48"/>
      <c r="E855" s="48"/>
      <c r="F855" s="16"/>
      <c r="G855" s="16"/>
      <c r="H855" s="16"/>
      <c r="I855" s="16"/>
      <c r="J855" s="16"/>
      <c r="K855" s="16"/>
      <c r="L855" s="16"/>
      <c r="M855" s="16"/>
      <c r="N855" s="16"/>
      <c r="O855" s="16"/>
      <c r="P855" s="16"/>
      <c r="Q855" s="16"/>
      <c r="R855" s="16"/>
      <c r="S855" s="16"/>
      <c r="T855" s="16"/>
      <c r="U855" s="16"/>
      <c r="V855" s="16"/>
      <c r="W855" s="16"/>
      <c r="X855" s="16"/>
    </row>
    <row r="856">
      <c r="A856" s="17"/>
      <c r="B856" s="17"/>
      <c r="C856" s="17"/>
      <c r="D856" s="48"/>
      <c r="E856" s="48"/>
      <c r="F856" s="16"/>
      <c r="G856" s="16"/>
      <c r="H856" s="16"/>
      <c r="I856" s="16"/>
      <c r="J856" s="16"/>
      <c r="K856" s="16"/>
      <c r="L856" s="16"/>
      <c r="M856" s="16"/>
      <c r="N856" s="16"/>
      <c r="O856" s="16"/>
      <c r="P856" s="16"/>
      <c r="Q856" s="16"/>
      <c r="R856" s="16"/>
      <c r="S856" s="16"/>
      <c r="T856" s="16"/>
      <c r="U856" s="16"/>
      <c r="V856" s="16"/>
      <c r="W856" s="16"/>
      <c r="X856" s="16"/>
    </row>
    <row r="857">
      <c r="A857" s="17"/>
      <c r="B857" s="17"/>
      <c r="C857" s="17"/>
      <c r="D857" s="48"/>
      <c r="E857" s="48"/>
      <c r="F857" s="16"/>
      <c r="G857" s="16"/>
      <c r="H857" s="16"/>
      <c r="I857" s="16"/>
      <c r="J857" s="16"/>
      <c r="K857" s="16"/>
      <c r="L857" s="16"/>
      <c r="M857" s="16"/>
      <c r="N857" s="16"/>
      <c r="O857" s="16"/>
      <c r="P857" s="16"/>
      <c r="Q857" s="16"/>
      <c r="R857" s="16"/>
      <c r="S857" s="16"/>
      <c r="T857" s="16"/>
      <c r="U857" s="16"/>
      <c r="V857" s="16"/>
      <c r="W857" s="16"/>
      <c r="X857" s="16"/>
    </row>
    <row r="858">
      <c r="A858" s="17"/>
      <c r="B858" s="17"/>
      <c r="C858" s="17"/>
      <c r="D858" s="48"/>
      <c r="E858" s="48"/>
      <c r="F858" s="16"/>
      <c r="G858" s="16"/>
      <c r="H858" s="16"/>
      <c r="I858" s="16"/>
      <c r="J858" s="16"/>
      <c r="K858" s="16"/>
      <c r="L858" s="16"/>
      <c r="M858" s="16"/>
      <c r="N858" s="16"/>
      <c r="O858" s="16"/>
      <c r="P858" s="16"/>
      <c r="Q858" s="16"/>
      <c r="R858" s="16"/>
      <c r="S858" s="16"/>
      <c r="T858" s="16"/>
      <c r="U858" s="16"/>
      <c r="V858" s="16"/>
      <c r="W858" s="16"/>
      <c r="X858" s="16"/>
    </row>
    <row r="859">
      <c r="A859" s="17"/>
      <c r="B859" s="17"/>
      <c r="C859" s="17"/>
      <c r="D859" s="48"/>
      <c r="E859" s="48"/>
      <c r="F859" s="16"/>
      <c r="G859" s="16"/>
      <c r="H859" s="16"/>
      <c r="I859" s="16"/>
      <c r="J859" s="16"/>
      <c r="K859" s="16"/>
      <c r="L859" s="16"/>
      <c r="M859" s="16"/>
      <c r="N859" s="16"/>
      <c r="O859" s="16"/>
      <c r="P859" s="16"/>
      <c r="Q859" s="16"/>
      <c r="R859" s="16"/>
      <c r="S859" s="16"/>
      <c r="T859" s="16"/>
      <c r="U859" s="16"/>
      <c r="V859" s="16"/>
      <c r="W859" s="16"/>
      <c r="X859" s="16"/>
    </row>
    <row r="860">
      <c r="A860" s="17"/>
      <c r="B860" s="17"/>
      <c r="C860" s="17"/>
      <c r="D860" s="48"/>
      <c r="E860" s="48"/>
      <c r="F860" s="16"/>
      <c r="G860" s="16"/>
      <c r="H860" s="16"/>
      <c r="I860" s="16"/>
      <c r="J860" s="16"/>
      <c r="K860" s="16"/>
      <c r="L860" s="16"/>
      <c r="M860" s="16"/>
      <c r="N860" s="16"/>
      <c r="O860" s="16"/>
      <c r="P860" s="16"/>
      <c r="Q860" s="16"/>
      <c r="R860" s="16"/>
      <c r="S860" s="16"/>
      <c r="T860" s="16"/>
      <c r="U860" s="16"/>
      <c r="V860" s="16"/>
      <c r="W860" s="16"/>
      <c r="X860" s="16"/>
    </row>
    <row r="861">
      <c r="A861" s="17"/>
      <c r="B861" s="17"/>
      <c r="C861" s="17"/>
      <c r="D861" s="48"/>
      <c r="E861" s="48"/>
      <c r="F861" s="16"/>
      <c r="G861" s="16"/>
      <c r="H861" s="16"/>
      <c r="I861" s="16"/>
      <c r="J861" s="16"/>
      <c r="K861" s="16"/>
      <c r="L861" s="16"/>
      <c r="M861" s="16"/>
      <c r="N861" s="16"/>
      <c r="O861" s="16"/>
      <c r="P861" s="16"/>
      <c r="Q861" s="16"/>
      <c r="R861" s="16"/>
      <c r="S861" s="16"/>
      <c r="T861" s="16"/>
      <c r="U861" s="16"/>
      <c r="V861" s="16"/>
      <c r="W861" s="16"/>
      <c r="X861" s="16"/>
    </row>
    <row r="862">
      <c r="A862" s="17"/>
      <c r="B862" s="17"/>
      <c r="C862" s="17"/>
      <c r="D862" s="48"/>
      <c r="E862" s="48"/>
      <c r="F862" s="16"/>
      <c r="G862" s="16"/>
      <c r="H862" s="16"/>
      <c r="I862" s="16"/>
      <c r="J862" s="16"/>
      <c r="K862" s="16"/>
      <c r="L862" s="16"/>
      <c r="M862" s="16"/>
      <c r="N862" s="16"/>
      <c r="O862" s="16"/>
      <c r="P862" s="16"/>
      <c r="Q862" s="16"/>
      <c r="R862" s="16"/>
      <c r="S862" s="16"/>
      <c r="T862" s="16"/>
      <c r="U862" s="16"/>
      <c r="V862" s="16"/>
      <c r="W862" s="16"/>
      <c r="X862" s="16"/>
    </row>
    <row r="863">
      <c r="A863" s="17"/>
      <c r="B863" s="17"/>
      <c r="C863" s="17"/>
      <c r="D863" s="48"/>
      <c r="E863" s="48"/>
      <c r="F863" s="16"/>
      <c r="G863" s="16"/>
      <c r="H863" s="16"/>
      <c r="I863" s="16"/>
      <c r="J863" s="16"/>
      <c r="K863" s="16"/>
      <c r="L863" s="16"/>
      <c r="M863" s="16"/>
      <c r="N863" s="16"/>
      <c r="O863" s="16"/>
      <c r="P863" s="16"/>
      <c r="Q863" s="16"/>
      <c r="R863" s="16"/>
      <c r="S863" s="16"/>
      <c r="T863" s="16"/>
      <c r="U863" s="16"/>
      <c r="V863" s="16"/>
      <c r="W863" s="16"/>
      <c r="X863" s="16"/>
    </row>
    <row r="864">
      <c r="A864" s="17"/>
      <c r="B864" s="17"/>
      <c r="C864" s="17"/>
      <c r="D864" s="48"/>
      <c r="E864" s="48"/>
      <c r="F864" s="16"/>
      <c r="G864" s="16"/>
      <c r="H864" s="16"/>
      <c r="I864" s="16"/>
      <c r="J864" s="16"/>
      <c r="K864" s="16"/>
      <c r="L864" s="16"/>
      <c r="M864" s="16"/>
      <c r="N864" s="16"/>
      <c r="O864" s="16"/>
      <c r="P864" s="16"/>
      <c r="Q864" s="16"/>
      <c r="R864" s="16"/>
      <c r="S864" s="16"/>
      <c r="T864" s="16"/>
      <c r="U864" s="16"/>
      <c r="V864" s="16"/>
      <c r="W864" s="16"/>
      <c r="X864" s="16"/>
    </row>
    <row r="865">
      <c r="A865" s="17"/>
      <c r="B865" s="17"/>
      <c r="C865" s="17"/>
      <c r="D865" s="48"/>
      <c r="E865" s="48"/>
      <c r="F865" s="16"/>
      <c r="G865" s="16"/>
      <c r="H865" s="16"/>
      <c r="I865" s="16"/>
      <c r="J865" s="16"/>
      <c r="K865" s="16"/>
      <c r="L865" s="16"/>
      <c r="M865" s="16"/>
      <c r="N865" s="16"/>
      <c r="O865" s="16"/>
      <c r="P865" s="16"/>
      <c r="Q865" s="16"/>
      <c r="R865" s="16"/>
      <c r="S865" s="16"/>
      <c r="T865" s="16"/>
      <c r="U865" s="16"/>
      <c r="V865" s="16"/>
      <c r="W865" s="16"/>
      <c r="X865" s="16"/>
    </row>
    <row r="866">
      <c r="A866" s="17"/>
      <c r="B866" s="17"/>
      <c r="C866" s="17"/>
      <c r="D866" s="48"/>
      <c r="E866" s="48"/>
      <c r="F866" s="16"/>
      <c r="G866" s="16"/>
      <c r="H866" s="16"/>
      <c r="I866" s="16"/>
      <c r="J866" s="16"/>
      <c r="K866" s="16"/>
      <c r="L866" s="16"/>
      <c r="M866" s="16"/>
      <c r="N866" s="16"/>
      <c r="O866" s="16"/>
      <c r="P866" s="16"/>
      <c r="Q866" s="16"/>
      <c r="R866" s="16"/>
      <c r="S866" s="16"/>
      <c r="T866" s="16"/>
      <c r="U866" s="16"/>
      <c r="V866" s="16"/>
      <c r="W866" s="16"/>
      <c r="X866" s="16"/>
    </row>
    <row r="867">
      <c r="A867" s="17"/>
      <c r="B867" s="17"/>
      <c r="C867" s="17"/>
      <c r="D867" s="48"/>
      <c r="E867" s="48"/>
      <c r="F867" s="16"/>
      <c r="G867" s="16"/>
      <c r="H867" s="16"/>
      <c r="I867" s="16"/>
      <c r="J867" s="16"/>
      <c r="K867" s="16"/>
      <c r="L867" s="16"/>
      <c r="M867" s="16"/>
      <c r="N867" s="16"/>
      <c r="O867" s="16"/>
      <c r="P867" s="16"/>
      <c r="Q867" s="16"/>
      <c r="R867" s="16"/>
      <c r="S867" s="16"/>
      <c r="T867" s="16"/>
      <c r="U867" s="16"/>
      <c r="V867" s="16"/>
      <c r="W867" s="16"/>
      <c r="X867" s="16"/>
    </row>
    <row r="868">
      <c r="A868" s="17"/>
      <c r="B868" s="17"/>
      <c r="C868" s="17"/>
      <c r="D868" s="48"/>
      <c r="E868" s="48"/>
      <c r="F868" s="16"/>
      <c r="G868" s="16"/>
      <c r="H868" s="16"/>
      <c r="I868" s="16"/>
      <c r="J868" s="16"/>
      <c r="K868" s="16"/>
      <c r="L868" s="16"/>
      <c r="M868" s="16"/>
      <c r="N868" s="16"/>
      <c r="O868" s="16"/>
      <c r="P868" s="16"/>
      <c r="Q868" s="16"/>
      <c r="R868" s="16"/>
      <c r="S868" s="16"/>
      <c r="T868" s="16"/>
      <c r="U868" s="16"/>
      <c r="V868" s="16"/>
      <c r="W868" s="16"/>
      <c r="X868" s="16"/>
    </row>
    <row r="869">
      <c r="A869" s="17"/>
      <c r="B869" s="17"/>
      <c r="C869" s="17"/>
      <c r="D869" s="48"/>
      <c r="E869" s="48"/>
      <c r="F869" s="16"/>
      <c r="G869" s="16"/>
      <c r="H869" s="16"/>
      <c r="I869" s="16"/>
      <c r="J869" s="16"/>
      <c r="K869" s="16"/>
      <c r="L869" s="16"/>
      <c r="M869" s="16"/>
      <c r="N869" s="16"/>
      <c r="O869" s="16"/>
      <c r="P869" s="16"/>
      <c r="Q869" s="16"/>
      <c r="R869" s="16"/>
      <c r="S869" s="16"/>
      <c r="T869" s="16"/>
      <c r="U869" s="16"/>
      <c r="V869" s="16"/>
      <c r="W869" s="16"/>
      <c r="X869" s="16"/>
    </row>
    <row r="870">
      <c r="A870" s="17"/>
      <c r="B870" s="17"/>
      <c r="C870" s="17"/>
      <c r="D870" s="48"/>
      <c r="E870" s="48"/>
      <c r="F870" s="16"/>
      <c r="G870" s="16"/>
      <c r="H870" s="16"/>
      <c r="I870" s="16"/>
      <c r="J870" s="16"/>
      <c r="K870" s="16"/>
      <c r="L870" s="16"/>
      <c r="M870" s="16"/>
      <c r="N870" s="16"/>
      <c r="O870" s="16"/>
      <c r="P870" s="16"/>
      <c r="Q870" s="16"/>
      <c r="R870" s="16"/>
      <c r="S870" s="16"/>
      <c r="T870" s="16"/>
      <c r="U870" s="16"/>
      <c r="V870" s="16"/>
      <c r="W870" s="16"/>
      <c r="X870" s="16"/>
    </row>
    <row r="871">
      <c r="A871" s="17"/>
      <c r="B871" s="17"/>
      <c r="C871" s="17"/>
      <c r="D871" s="48"/>
      <c r="E871" s="48"/>
      <c r="F871" s="16"/>
      <c r="G871" s="16"/>
      <c r="H871" s="16"/>
      <c r="I871" s="16"/>
      <c r="J871" s="16"/>
      <c r="K871" s="16"/>
      <c r="L871" s="16"/>
      <c r="M871" s="16"/>
      <c r="N871" s="16"/>
      <c r="O871" s="16"/>
      <c r="P871" s="16"/>
      <c r="Q871" s="16"/>
      <c r="R871" s="16"/>
      <c r="S871" s="16"/>
      <c r="T871" s="16"/>
      <c r="U871" s="16"/>
      <c r="V871" s="16"/>
      <c r="W871" s="16"/>
      <c r="X871" s="16"/>
    </row>
    <row r="872">
      <c r="A872" s="17"/>
      <c r="B872" s="17"/>
      <c r="C872" s="17"/>
      <c r="D872" s="48"/>
      <c r="E872" s="48"/>
      <c r="F872" s="16"/>
      <c r="G872" s="16"/>
      <c r="H872" s="16"/>
      <c r="I872" s="16"/>
      <c r="J872" s="16"/>
      <c r="K872" s="16"/>
      <c r="L872" s="16"/>
      <c r="M872" s="16"/>
      <c r="N872" s="16"/>
      <c r="O872" s="16"/>
      <c r="P872" s="16"/>
      <c r="Q872" s="16"/>
      <c r="R872" s="16"/>
      <c r="S872" s="16"/>
      <c r="T872" s="16"/>
      <c r="U872" s="16"/>
      <c r="V872" s="16"/>
      <c r="W872" s="16"/>
      <c r="X872" s="16"/>
    </row>
    <row r="873">
      <c r="A873" s="17"/>
      <c r="B873" s="17"/>
      <c r="C873" s="17"/>
      <c r="D873" s="48"/>
      <c r="E873" s="48"/>
      <c r="F873" s="16"/>
      <c r="G873" s="16"/>
      <c r="H873" s="16"/>
      <c r="I873" s="16"/>
      <c r="J873" s="16"/>
      <c r="K873" s="16"/>
      <c r="L873" s="16"/>
      <c r="M873" s="16"/>
      <c r="N873" s="16"/>
      <c r="O873" s="16"/>
      <c r="P873" s="16"/>
      <c r="Q873" s="16"/>
      <c r="R873" s="16"/>
      <c r="S873" s="16"/>
      <c r="T873" s="16"/>
      <c r="U873" s="16"/>
      <c r="V873" s="16"/>
      <c r="W873" s="16"/>
      <c r="X873" s="16"/>
    </row>
    <row r="874">
      <c r="A874" s="17"/>
      <c r="B874" s="17"/>
      <c r="C874" s="17"/>
      <c r="D874" s="48"/>
      <c r="E874" s="48"/>
      <c r="F874" s="16"/>
      <c r="G874" s="16"/>
      <c r="H874" s="16"/>
      <c r="I874" s="16"/>
      <c r="J874" s="16"/>
      <c r="K874" s="16"/>
      <c r="L874" s="16"/>
      <c r="M874" s="16"/>
      <c r="N874" s="16"/>
      <c r="O874" s="16"/>
      <c r="P874" s="16"/>
      <c r="Q874" s="16"/>
      <c r="R874" s="16"/>
      <c r="S874" s="16"/>
      <c r="T874" s="16"/>
      <c r="U874" s="16"/>
      <c r="V874" s="16"/>
      <c r="W874" s="16"/>
      <c r="X874" s="16"/>
    </row>
    <row r="875">
      <c r="A875" s="17"/>
      <c r="B875" s="17"/>
      <c r="C875" s="17"/>
      <c r="D875" s="48"/>
      <c r="E875" s="48"/>
      <c r="F875" s="16"/>
      <c r="G875" s="16"/>
      <c r="H875" s="16"/>
      <c r="I875" s="16"/>
      <c r="J875" s="16"/>
      <c r="K875" s="16"/>
      <c r="L875" s="16"/>
      <c r="M875" s="16"/>
      <c r="N875" s="16"/>
      <c r="O875" s="16"/>
      <c r="P875" s="16"/>
      <c r="Q875" s="16"/>
      <c r="R875" s="16"/>
      <c r="S875" s="16"/>
      <c r="T875" s="16"/>
      <c r="U875" s="16"/>
      <c r="V875" s="16"/>
      <c r="W875" s="16"/>
      <c r="X875" s="16"/>
    </row>
    <row r="876">
      <c r="A876" s="17"/>
      <c r="B876" s="17"/>
      <c r="C876" s="17"/>
      <c r="D876" s="48"/>
      <c r="E876" s="48"/>
      <c r="F876" s="16"/>
      <c r="G876" s="16"/>
      <c r="H876" s="16"/>
      <c r="I876" s="16"/>
      <c r="J876" s="16"/>
      <c r="K876" s="16"/>
      <c r="L876" s="16"/>
      <c r="M876" s="16"/>
      <c r="N876" s="16"/>
      <c r="O876" s="16"/>
      <c r="P876" s="16"/>
      <c r="Q876" s="16"/>
      <c r="R876" s="16"/>
      <c r="S876" s="16"/>
      <c r="T876" s="16"/>
      <c r="U876" s="16"/>
      <c r="V876" s="16"/>
      <c r="W876" s="16"/>
      <c r="X876" s="16"/>
    </row>
    <row r="877">
      <c r="A877" s="17"/>
      <c r="B877" s="17"/>
      <c r="C877" s="17"/>
      <c r="D877" s="48"/>
      <c r="E877" s="48"/>
      <c r="F877" s="16"/>
      <c r="G877" s="16"/>
      <c r="H877" s="16"/>
      <c r="I877" s="16"/>
      <c r="J877" s="16"/>
      <c r="K877" s="16"/>
      <c r="L877" s="16"/>
      <c r="M877" s="16"/>
      <c r="N877" s="16"/>
      <c r="O877" s="16"/>
      <c r="P877" s="16"/>
      <c r="Q877" s="16"/>
      <c r="R877" s="16"/>
      <c r="S877" s="16"/>
      <c r="T877" s="16"/>
      <c r="U877" s="16"/>
      <c r="V877" s="16"/>
      <c r="W877" s="16"/>
      <c r="X877" s="16"/>
    </row>
    <row r="878">
      <c r="A878" s="17"/>
      <c r="B878" s="17"/>
      <c r="C878" s="17"/>
      <c r="D878" s="48"/>
      <c r="E878" s="48"/>
      <c r="F878" s="16"/>
      <c r="G878" s="16"/>
      <c r="H878" s="16"/>
      <c r="I878" s="16"/>
      <c r="J878" s="16"/>
      <c r="K878" s="16"/>
      <c r="L878" s="16"/>
      <c r="M878" s="16"/>
      <c r="N878" s="16"/>
      <c r="O878" s="16"/>
      <c r="P878" s="16"/>
      <c r="Q878" s="16"/>
      <c r="R878" s="16"/>
      <c r="S878" s="16"/>
      <c r="T878" s="16"/>
      <c r="U878" s="16"/>
      <c r="V878" s="16"/>
      <c r="W878" s="16"/>
      <c r="X878" s="16"/>
    </row>
    <row r="879">
      <c r="A879" s="17"/>
      <c r="B879" s="17"/>
      <c r="C879" s="17"/>
      <c r="D879" s="48"/>
      <c r="E879" s="48"/>
      <c r="F879" s="16"/>
      <c r="G879" s="16"/>
      <c r="H879" s="16"/>
      <c r="I879" s="16"/>
      <c r="J879" s="16"/>
      <c r="K879" s="16"/>
      <c r="L879" s="16"/>
      <c r="M879" s="16"/>
      <c r="N879" s="16"/>
      <c r="O879" s="16"/>
      <c r="P879" s="16"/>
      <c r="Q879" s="16"/>
      <c r="R879" s="16"/>
      <c r="S879" s="16"/>
      <c r="T879" s="16"/>
      <c r="U879" s="16"/>
      <c r="V879" s="16"/>
      <c r="W879" s="16"/>
      <c r="X879" s="16"/>
    </row>
    <row r="880">
      <c r="A880" s="17"/>
      <c r="B880" s="17"/>
      <c r="C880" s="17"/>
      <c r="D880" s="48"/>
      <c r="E880" s="48"/>
      <c r="F880" s="16"/>
      <c r="G880" s="16"/>
      <c r="H880" s="16"/>
      <c r="I880" s="16"/>
      <c r="J880" s="16"/>
      <c r="K880" s="16"/>
      <c r="L880" s="16"/>
      <c r="M880" s="16"/>
      <c r="N880" s="16"/>
      <c r="O880" s="16"/>
      <c r="P880" s="16"/>
      <c r="Q880" s="16"/>
      <c r="R880" s="16"/>
      <c r="S880" s="16"/>
      <c r="T880" s="16"/>
      <c r="U880" s="16"/>
      <c r="V880" s="16"/>
      <c r="W880" s="16"/>
      <c r="X880" s="16"/>
    </row>
    <row r="881">
      <c r="A881" s="17"/>
      <c r="B881" s="17"/>
      <c r="C881" s="17"/>
      <c r="D881" s="48"/>
      <c r="E881" s="48"/>
      <c r="F881" s="16"/>
      <c r="G881" s="16"/>
      <c r="H881" s="16"/>
      <c r="I881" s="16"/>
      <c r="J881" s="16"/>
      <c r="K881" s="16"/>
      <c r="L881" s="16"/>
      <c r="M881" s="16"/>
      <c r="N881" s="16"/>
      <c r="O881" s="16"/>
      <c r="P881" s="16"/>
      <c r="Q881" s="16"/>
      <c r="R881" s="16"/>
      <c r="S881" s="16"/>
      <c r="T881" s="16"/>
      <c r="U881" s="16"/>
      <c r="V881" s="16"/>
      <c r="W881" s="16"/>
      <c r="X881" s="16"/>
    </row>
    <row r="882">
      <c r="A882" s="17"/>
      <c r="B882" s="17"/>
      <c r="C882" s="17"/>
      <c r="D882" s="48"/>
      <c r="E882" s="48"/>
      <c r="F882" s="16"/>
      <c r="G882" s="16"/>
      <c r="H882" s="16"/>
      <c r="I882" s="16"/>
      <c r="J882" s="16"/>
      <c r="K882" s="16"/>
      <c r="L882" s="16"/>
      <c r="M882" s="16"/>
      <c r="N882" s="16"/>
      <c r="O882" s="16"/>
      <c r="P882" s="16"/>
      <c r="Q882" s="16"/>
      <c r="R882" s="16"/>
      <c r="S882" s="16"/>
      <c r="T882" s="16"/>
      <c r="U882" s="16"/>
      <c r="V882" s="16"/>
      <c r="W882" s="16"/>
      <c r="X882" s="16"/>
    </row>
    <row r="883">
      <c r="A883" s="17"/>
      <c r="B883" s="17"/>
      <c r="C883" s="17"/>
      <c r="D883" s="48"/>
      <c r="E883" s="48"/>
      <c r="F883" s="16"/>
      <c r="G883" s="16"/>
      <c r="H883" s="16"/>
      <c r="I883" s="16"/>
      <c r="J883" s="16"/>
      <c r="K883" s="16"/>
      <c r="L883" s="16"/>
      <c r="M883" s="16"/>
      <c r="N883" s="16"/>
      <c r="O883" s="16"/>
      <c r="P883" s="16"/>
      <c r="Q883" s="16"/>
      <c r="R883" s="16"/>
      <c r="S883" s="16"/>
      <c r="T883" s="16"/>
      <c r="U883" s="16"/>
      <c r="V883" s="16"/>
      <c r="W883" s="16"/>
      <c r="X883" s="16"/>
    </row>
    <row r="884">
      <c r="A884" s="17"/>
      <c r="B884" s="17"/>
      <c r="C884" s="17"/>
      <c r="D884" s="48"/>
      <c r="E884" s="48"/>
      <c r="F884" s="16"/>
      <c r="G884" s="16"/>
      <c r="H884" s="16"/>
      <c r="I884" s="16"/>
      <c r="J884" s="16"/>
      <c r="K884" s="16"/>
      <c r="L884" s="16"/>
      <c r="M884" s="16"/>
      <c r="N884" s="16"/>
      <c r="O884" s="16"/>
      <c r="P884" s="16"/>
      <c r="Q884" s="16"/>
      <c r="R884" s="16"/>
      <c r="S884" s="16"/>
      <c r="T884" s="16"/>
      <c r="U884" s="16"/>
      <c r="V884" s="16"/>
      <c r="W884" s="16"/>
      <c r="X884" s="16"/>
    </row>
    <row r="885">
      <c r="A885" s="17"/>
      <c r="B885" s="17"/>
      <c r="C885" s="17"/>
      <c r="D885" s="48"/>
      <c r="E885" s="48"/>
      <c r="F885" s="16"/>
      <c r="G885" s="16"/>
      <c r="H885" s="16"/>
      <c r="I885" s="16"/>
      <c r="J885" s="16"/>
      <c r="K885" s="16"/>
      <c r="L885" s="16"/>
      <c r="M885" s="16"/>
      <c r="N885" s="16"/>
      <c r="O885" s="16"/>
      <c r="P885" s="16"/>
      <c r="Q885" s="16"/>
      <c r="R885" s="16"/>
      <c r="S885" s="16"/>
      <c r="T885" s="16"/>
      <c r="U885" s="16"/>
      <c r="V885" s="16"/>
      <c r="W885" s="16"/>
      <c r="X885" s="16"/>
    </row>
    <row r="886">
      <c r="A886" s="17"/>
      <c r="B886" s="17"/>
      <c r="C886" s="17"/>
      <c r="D886" s="48"/>
      <c r="E886" s="48"/>
      <c r="F886" s="16"/>
      <c r="G886" s="16"/>
      <c r="H886" s="16"/>
      <c r="I886" s="16"/>
      <c r="J886" s="16"/>
      <c r="K886" s="16"/>
      <c r="L886" s="16"/>
      <c r="M886" s="16"/>
      <c r="N886" s="16"/>
      <c r="O886" s="16"/>
      <c r="P886" s="16"/>
      <c r="Q886" s="16"/>
      <c r="R886" s="16"/>
      <c r="S886" s="16"/>
      <c r="T886" s="16"/>
      <c r="U886" s="16"/>
      <c r="V886" s="16"/>
      <c r="W886" s="16"/>
      <c r="X886" s="16"/>
    </row>
    <row r="887">
      <c r="A887" s="17"/>
      <c r="B887" s="17"/>
      <c r="C887" s="17"/>
      <c r="D887" s="48"/>
      <c r="E887" s="48"/>
      <c r="F887" s="16"/>
      <c r="G887" s="16"/>
      <c r="H887" s="16"/>
      <c r="I887" s="16"/>
      <c r="J887" s="16"/>
      <c r="K887" s="16"/>
      <c r="L887" s="16"/>
      <c r="M887" s="16"/>
      <c r="N887" s="16"/>
      <c r="O887" s="16"/>
      <c r="P887" s="16"/>
      <c r="Q887" s="16"/>
      <c r="R887" s="16"/>
      <c r="S887" s="16"/>
      <c r="T887" s="16"/>
      <c r="U887" s="16"/>
      <c r="V887" s="16"/>
      <c r="W887" s="16"/>
      <c r="X887" s="16"/>
    </row>
    <row r="888">
      <c r="A888" s="17"/>
      <c r="B888" s="17"/>
      <c r="C888" s="17"/>
      <c r="D888" s="48"/>
      <c r="E888" s="48"/>
      <c r="F888" s="16"/>
      <c r="G888" s="16"/>
      <c r="H888" s="16"/>
      <c r="I888" s="16"/>
      <c r="J888" s="16"/>
      <c r="K888" s="16"/>
      <c r="L888" s="16"/>
      <c r="M888" s="16"/>
      <c r="N888" s="16"/>
      <c r="O888" s="16"/>
      <c r="P888" s="16"/>
      <c r="Q888" s="16"/>
      <c r="R888" s="16"/>
      <c r="S888" s="16"/>
      <c r="T888" s="16"/>
      <c r="U888" s="16"/>
      <c r="V888" s="16"/>
      <c r="W888" s="16"/>
      <c r="X888" s="16"/>
    </row>
    <row r="889">
      <c r="A889" s="17"/>
      <c r="B889" s="17"/>
      <c r="C889" s="17"/>
      <c r="D889" s="48"/>
      <c r="E889" s="48"/>
      <c r="F889" s="16"/>
      <c r="G889" s="16"/>
      <c r="H889" s="16"/>
      <c r="I889" s="16"/>
      <c r="J889" s="16"/>
      <c r="K889" s="16"/>
      <c r="L889" s="16"/>
      <c r="M889" s="16"/>
      <c r="N889" s="16"/>
      <c r="O889" s="16"/>
      <c r="P889" s="16"/>
      <c r="Q889" s="16"/>
      <c r="R889" s="16"/>
      <c r="S889" s="16"/>
      <c r="T889" s="16"/>
      <c r="U889" s="16"/>
      <c r="V889" s="16"/>
      <c r="W889" s="16"/>
      <c r="X889" s="16"/>
    </row>
    <row r="890">
      <c r="A890" s="17"/>
      <c r="B890" s="17"/>
      <c r="C890" s="17"/>
      <c r="D890" s="48"/>
      <c r="E890" s="48"/>
      <c r="F890" s="16"/>
      <c r="G890" s="16"/>
      <c r="H890" s="16"/>
      <c r="I890" s="16"/>
      <c r="J890" s="16"/>
      <c r="K890" s="16"/>
      <c r="L890" s="16"/>
      <c r="M890" s="16"/>
      <c r="N890" s="16"/>
      <c r="O890" s="16"/>
      <c r="P890" s="16"/>
      <c r="Q890" s="16"/>
      <c r="R890" s="16"/>
      <c r="S890" s="16"/>
      <c r="T890" s="16"/>
      <c r="U890" s="16"/>
      <c r="V890" s="16"/>
      <c r="W890" s="16"/>
      <c r="X890" s="16"/>
    </row>
    <row r="891">
      <c r="A891" s="17"/>
      <c r="B891" s="17"/>
      <c r="C891" s="17"/>
      <c r="D891" s="48"/>
      <c r="E891" s="48"/>
      <c r="F891" s="16"/>
      <c r="G891" s="16"/>
      <c r="H891" s="16"/>
      <c r="I891" s="16"/>
      <c r="J891" s="16"/>
      <c r="K891" s="16"/>
      <c r="L891" s="16"/>
      <c r="M891" s="16"/>
      <c r="N891" s="16"/>
      <c r="O891" s="16"/>
      <c r="P891" s="16"/>
      <c r="Q891" s="16"/>
      <c r="R891" s="16"/>
      <c r="S891" s="16"/>
      <c r="T891" s="16"/>
      <c r="U891" s="16"/>
      <c r="V891" s="16"/>
      <c r="W891" s="16"/>
      <c r="X891" s="16"/>
    </row>
    <row r="892">
      <c r="A892" s="17"/>
      <c r="B892" s="17"/>
      <c r="C892" s="17"/>
      <c r="D892" s="48"/>
      <c r="E892" s="48"/>
      <c r="F892" s="16"/>
      <c r="G892" s="16"/>
      <c r="H892" s="16"/>
      <c r="I892" s="16"/>
      <c r="J892" s="16"/>
      <c r="K892" s="16"/>
      <c r="L892" s="16"/>
      <c r="M892" s="16"/>
      <c r="N892" s="16"/>
      <c r="O892" s="16"/>
      <c r="P892" s="16"/>
      <c r="Q892" s="16"/>
      <c r="R892" s="16"/>
      <c r="S892" s="16"/>
      <c r="T892" s="16"/>
      <c r="U892" s="16"/>
      <c r="V892" s="16"/>
      <c r="W892" s="16"/>
      <c r="X892" s="16"/>
    </row>
    <row r="893">
      <c r="A893" s="17"/>
      <c r="B893" s="17"/>
      <c r="C893" s="17"/>
      <c r="D893" s="48"/>
      <c r="E893" s="48"/>
      <c r="F893" s="16"/>
      <c r="G893" s="16"/>
      <c r="H893" s="16"/>
      <c r="I893" s="16"/>
      <c r="J893" s="16"/>
      <c r="K893" s="16"/>
      <c r="L893" s="16"/>
      <c r="M893" s="16"/>
      <c r="N893" s="16"/>
      <c r="O893" s="16"/>
      <c r="P893" s="16"/>
      <c r="Q893" s="16"/>
      <c r="R893" s="16"/>
      <c r="S893" s="16"/>
      <c r="T893" s="16"/>
      <c r="U893" s="16"/>
      <c r="V893" s="16"/>
      <c r="W893" s="16"/>
      <c r="X893" s="16"/>
    </row>
    <row r="894">
      <c r="A894" s="17"/>
      <c r="B894" s="17"/>
      <c r="C894" s="17"/>
      <c r="D894" s="48"/>
      <c r="E894" s="48"/>
      <c r="F894" s="16"/>
      <c r="G894" s="16"/>
      <c r="H894" s="16"/>
      <c r="I894" s="16"/>
      <c r="J894" s="16"/>
      <c r="K894" s="16"/>
      <c r="L894" s="16"/>
      <c r="M894" s="16"/>
      <c r="N894" s="16"/>
      <c r="O894" s="16"/>
      <c r="P894" s="16"/>
      <c r="Q894" s="16"/>
      <c r="R894" s="16"/>
      <c r="S894" s="16"/>
      <c r="T894" s="16"/>
      <c r="U894" s="16"/>
      <c r="V894" s="16"/>
      <c r="W894" s="16"/>
      <c r="X894" s="16"/>
    </row>
    <row r="895">
      <c r="A895" s="17"/>
      <c r="B895" s="17"/>
      <c r="C895" s="17"/>
      <c r="D895" s="48"/>
      <c r="E895" s="48"/>
      <c r="F895" s="16"/>
      <c r="G895" s="16"/>
      <c r="H895" s="16"/>
      <c r="I895" s="16"/>
      <c r="J895" s="16"/>
      <c r="K895" s="16"/>
      <c r="L895" s="16"/>
      <c r="M895" s="16"/>
      <c r="N895" s="16"/>
      <c r="O895" s="16"/>
      <c r="P895" s="16"/>
      <c r="Q895" s="16"/>
      <c r="R895" s="16"/>
      <c r="S895" s="16"/>
      <c r="T895" s="16"/>
      <c r="U895" s="16"/>
      <c r="V895" s="16"/>
      <c r="W895" s="16"/>
      <c r="X895" s="16"/>
    </row>
    <row r="896">
      <c r="A896" s="17"/>
      <c r="B896" s="17"/>
      <c r="C896" s="17"/>
      <c r="D896" s="48"/>
      <c r="E896" s="48"/>
      <c r="F896" s="16"/>
      <c r="G896" s="16"/>
      <c r="H896" s="16"/>
      <c r="I896" s="16"/>
      <c r="J896" s="16"/>
      <c r="K896" s="16"/>
      <c r="L896" s="16"/>
      <c r="M896" s="16"/>
      <c r="N896" s="16"/>
      <c r="O896" s="16"/>
      <c r="P896" s="16"/>
      <c r="Q896" s="16"/>
      <c r="R896" s="16"/>
      <c r="S896" s="16"/>
      <c r="T896" s="16"/>
      <c r="U896" s="16"/>
      <c r="V896" s="16"/>
      <c r="W896" s="16"/>
      <c r="X896" s="16"/>
    </row>
    <row r="897">
      <c r="A897" s="17"/>
      <c r="B897" s="17"/>
      <c r="C897" s="17"/>
      <c r="D897" s="48"/>
      <c r="E897" s="48"/>
      <c r="F897" s="16"/>
      <c r="G897" s="16"/>
      <c r="H897" s="16"/>
      <c r="I897" s="16"/>
      <c r="J897" s="16"/>
      <c r="K897" s="16"/>
      <c r="L897" s="16"/>
      <c r="M897" s="16"/>
      <c r="N897" s="16"/>
      <c r="O897" s="16"/>
      <c r="P897" s="16"/>
      <c r="Q897" s="16"/>
      <c r="R897" s="16"/>
      <c r="S897" s="16"/>
      <c r="T897" s="16"/>
      <c r="U897" s="16"/>
      <c r="V897" s="16"/>
      <c r="W897" s="16"/>
      <c r="X897" s="16"/>
    </row>
    <row r="898">
      <c r="A898" s="17"/>
      <c r="B898" s="17"/>
      <c r="C898" s="17"/>
      <c r="D898" s="48"/>
      <c r="E898" s="48"/>
      <c r="F898" s="16"/>
      <c r="G898" s="16"/>
      <c r="H898" s="16"/>
      <c r="I898" s="16"/>
      <c r="J898" s="16"/>
      <c r="K898" s="16"/>
      <c r="L898" s="16"/>
      <c r="M898" s="16"/>
      <c r="N898" s="16"/>
      <c r="O898" s="16"/>
      <c r="P898" s="16"/>
      <c r="Q898" s="16"/>
      <c r="R898" s="16"/>
      <c r="S898" s="16"/>
      <c r="T898" s="16"/>
      <c r="U898" s="16"/>
      <c r="V898" s="16"/>
      <c r="W898" s="16"/>
      <c r="X898" s="16"/>
    </row>
    <row r="899">
      <c r="A899" s="17"/>
      <c r="B899" s="17"/>
      <c r="C899" s="17"/>
      <c r="D899" s="48"/>
      <c r="E899" s="48"/>
      <c r="F899" s="16"/>
      <c r="G899" s="16"/>
      <c r="H899" s="16"/>
      <c r="I899" s="16"/>
      <c r="J899" s="16"/>
      <c r="K899" s="16"/>
      <c r="L899" s="16"/>
      <c r="M899" s="16"/>
      <c r="N899" s="16"/>
      <c r="O899" s="16"/>
      <c r="P899" s="16"/>
      <c r="Q899" s="16"/>
      <c r="R899" s="16"/>
      <c r="S899" s="16"/>
      <c r="T899" s="16"/>
      <c r="U899" s="16"/>
      <c r="V899" s="16"/>
      <c r="W899" s="16"/>
      <c r="X899" s="16"/>
    </row>
    <row r="900">
      <c r="A900" s="17"/>
      <c r="B900" s="17"/>
      <c r="C900" s="17"/>
      <c r="D900" s="48"/>
      <c r="E900" s="48"/>
      <c r="F900" s="16"/>
      <c r="G900" s="16"/>
      <c r="H900" s="16"/>
      <c r="I900" s="16"/>
      <c r="J900" s="16"/>
      <c r="K900" s="16"/>
      <c r="L900" s="16"/>
      <c r="M900" s="16"/>
      <c r="N900" s="16"/>
      <c r="O900" s="16"/>
      <c r="P900" s="16"/>
      <c r="Q900" s="16"/>
      <c r="R900" s="16"/>
      <c r="S900" s="16"/>
      <c r="T900" s="16"/>
      <c r="U900" s="16"/>
      <c r="V900" s="16"/>
      <c r="W900" s="16"/>
      <c r="X900" s="16"/>
    </row>
    <row r="901">
      <c r="A901" s="17"/>
      <c r="B901" s="17"/>
      <c r="C901" s="17"/>
      <c r="D901" s="48"/>
      <c r="E901" s="48"/>
      <c r="F901" s="16"/>
      <c r="G901" s="16"/>
      <c r="H901" s="16"/>
      <c r="I901" s="16"/>
      <c r="J901" s="16"/>
      <c r="K901" s="16"/>
      <c r="L901" s="16"/>
      <c r="M901" s="16"/>
      <c r="N901" s="16"/>
      <c r="O901" s="16"/>
      <c r="P901" s="16"/>
      <c r="Q901" s="16"/>
      <c r="R901" s="16"/>
      <c r="S901" s="16"/>
      <c r="T901" s="16"/>
      <c r="U901" s="16"/>
      <c r="V901" s="16"/>
      <c r="W901" s="16"/>
      <c r="X901" s="16"/>
    </row>
    <row r="902">
      <c r="A902" s="17"/>
      <c r="B902" s="17"/>
      <c r="C902" s="17"/>
      <c r="D902" s="48"/>
      <c r="E902" s="48"/>
      <c r="F902" s="16"/>
      <c r="G902" s="16"/>
      <c r="H902" s="16"/>
      <c r="I902" s="16"/>
      <c r="J902" s="16"/>
      <c r="K902" s="16"/>
      <c r="L902" s="16"/>
      <c r="M902" s="16"/>
      <c r="N902" s="16"/>
      <c r="O902" s="16"/>
      <c r="P902" s="16"/>
      <c r="Q902" s="16"/>
      <c r="R902" s="16"/>
      <c r="S902" s="16"/>
      <c r="T902" s="16"/>
      <c r="U902" s="16"/>
      <c r="V902" s="16"/>
      <c r="W902" s="16"/>
      <c r="X902" s="16"/>
    </row>
    <row r="903">
      <c r="A903" s="17"/>
      <c r="B903" s="17"/>
      <c r="C903" s="17"/>
      <c r="D903" s="48"/>
      <c r="E903" s="48"/>
      <c r="F903" s="16"/>
      <c r="G903" s="16"/>
      <c r="H903" s="16"/>
      <c r="I903" s="16"/>
      <c r="J903" s="16"/>
      <c r="K903" s="16"/>
      <c r="L903" s="16"/>
      <c r="M903" s="16"/>
      <c r="N903" s="16"/>
      <c r="O903" s="16"/>
      <c r="P903" s="16"/>
      <c r="Q903" s="16"/>
      <c r="R903" s="16"/>
      <c r="S903" s="16"/>
      <c r="T903" s="16"/>
      <c r="U903" s="16"/>
      <c r="V903" s="16"/>
      <c r="W903" s="16"/>
      <c r="X903" s="16"/>
    </row>
    <row r="904">
      <c r="A904" s="17"/>
      <c r="B904" s="17"/>
      <c r="C904" s="17"/>
      <c r="D904" s="48"/>
      <c r="E904" s="48"/>
      <c r="F904" s="16"/>
      <c r="G904" s="16"/>
      <c r="H904" s="16"/>
      <c r="I904" s="16"/>
      <c r="J904" s="16"/>
      <c r="K904" s="16"/>
      <c r="L904" s="16"/>
      <c r="M904" s="16"/>
      <c r="N904" s="16"/>
      <c r="O904" s="16"/>
      <c r="P904" s="16"/>
      <c r="Q904" s="16"/>
      <c r="R904" s="16"/>
      <c r="S904" s="16"/>
      <c r="T904" s="16"/>
      <c r="U904" s="16"/>
      <c r="V904" s="16"/>
      <c r="W904" s="16"/>
      <c r="X904" s="16"/>
    </row>
    <row r="905">
      <c r="A905" s="17"/>
      <c r="B905" s="17"/>
      <c r="C905" s="17"/>
      <c r="D905" s="48"/>
      <c r="E905" s="48"/>
      <c r="F905" s="16"/>
      <c r="G905" s="16"/>
      <c r="H905" s="16"/>
      <c r="I905" s="16"/>
      <c r="J905" s="16"/>
      <c r="K905" s="16"/>
      <c r="L905" s="16"/>
      <c r="M905" s="16"/>
      <c r="N905" s="16"/>
      <c r="O905" s="16"/>
      <c r="P905" s="16"/>
      <c r="Q905" s="16"/>
      <c r="R905" s="16"/>
      <c r="S905" s="16"/>
      <c r="T905" s="16"/>
      <c r="U905" s="16"/>
      <c r="V905" s="16"/>
      <c r="W905" s="16"/>
      <c r="X905" s="16"/>
    </row>
    <row r="906">
      <c r="A906" s="17"/>
      <c r="B906" s="17"/>
      <c r="C906" s="17"/>
      <c r="D906" s="48"/>
      <c r="E906" s="48"/>
      <c r="F906" s="16"/>
      <c r="G906" s="16"/>
      <c r="H906" s="16"/>
      <c r="I906" s="16"/>
      <c r="J906" s="16"/>
      <c r="K906" s="16"/>
      <c r="L906" s="16"/>
      <c r="M906" s="16"/>
      <c r="N906" s="16"/>
      <c r="O906" s="16"/>
      <c r="P906" s="16"/>
      <c r="Q906" s="16"/>
      <c r="R906" s="16"/>
      <c r="S906" s="16"/>
      <c r="T906" s="16"/>
      <c r="U906" s="16"/>
      <c r="V906" s="16"/>
      <c r="W906" s="16"/>
      <c r="X906" s="16"/>
    </row>
    <row r="907">
      <c r="A907" s="17"/>
      <c r="B907" s="17"/>
      <c r="C907" s="17"/>
      <c r="D907" s="48"/>
      <c r="E907" s="48"/>
      <c r="F907" s="16"/>
      <c r="G907" s="16"/>
      <c r="H907" s="16"/>
      <c r="I907" s="16"/>
      <c r="J907" s="16"/>
      <c r="K907" s="16"/>
      <c r="L907" s="16"/>
      <c r="M907" s="16"/>
      <c r="N907" s="16"/>
      <c r="O907" s="16"/>
      <c r="P907" s="16"/>
      <c r="Q907" s="16"/>
      <c r="R907" s="16"/>
      <c r="S907" s="16"/>
      <c r="T907" s="16"/>
      <c r="U907" s="16"/>
      <c r="V907" s="16"/>
      <c r="W907" s="16"/>
      <c r="X907" s="16"/>
    </row>
    <row r="908">
      <c r="A908" s="17"/>
      <c r="B908" s="17"/>
      <c r="C908" s="17"/>
      <c r="D908" s="48"/>
      <c r="E908" s="48"/>
      <c r="F908" s="16"/>
      <c r="G908" s="16"/>
      <c r="H908" s="16"/>
      <c r="I908" s="16"/>
      <c r="J908" s="16"/>
      <c r="K908" s="16"/>
      <c r="L908" s="16"/>
      <c r="M908" s="16"/>
      <c r="N908" s="16"/>
      <c r="O908" s="16"/>
      <c r="P908" s="16"/>
      <c r="Q908" s="16"/>
      <c r="R908" s="16"/>
      <c r="S908" s="16"/>
      <c r="T908" s="16"/>
      <c r="U908" s="16"/>
      <c r="V908" s="16"/>
      <c r="W908" s="16"/>
      <c r="X908" s="16"/>
    </row>
    <row r="909">
      <c r="A909" s="17"/>
      <c r="B909" s="17"/>
      <c r="C909" s="17"/>
      <c r="D909" s="48"/>
      <c r="E909" s="48"/>
      <c r="F909" s="16"/>
      <c r="G909" s="16"/>
      <c r="H909" s="16"/>
      <c r="I909" s="16"/>
      <c r="J909" s="16"/>
      <c r="K909" s="16"/>
      <c r="L909" s="16"/>
      <c r="M909" s="16"/>
      <c r="N909" s="16"/>
      <c r="O909" s="16"/>
      <c r="P909" s="16"/>
      <c r="Q909" s="16"/>
      <c r="R909" s="16"/>
      <c r="S909" s="16"/>
      <c r="T909" s="16"/>
      <c r="U909" s="16"/>
      <c r="V909" s="16"/>
      <c r="W909" s="16"/>
      <c r="X909" s="16"/>
    </row>
    <row r="910">
      <c r="A910" s="17"/>
      <c r="B910" s="17"/>
      <c r="C910" s="17"/>
      <c r="D910" s="48"/>
      <c r="E910" s="48"/>
      <c r="F910" s="16"/>
      <c r="G910" s="16"/>
      <c r="H910" s="16"/>
      <c r="I910" s="16"/>
      <c r="J910" s="16"/>
      <c r="K910" s="16"/>
      <c r="L910" s="16"/>
      <c r="M910" s="16"/>
      <c r="N910" s="16"/>
      <c r="O910" s="16"/>
      <c r="P910" s="16"/>
      <c r="Q910" s="16"/>
      <c r="R910" s="16"/>
      <c r="S910" s="16"/>
      <c r="T910" s="16"/>
      <c r="U910" s="16"/>
      <c r="V910" s="16"/>
      <c r="W910" s="16"/>
      <c r="X910" s="16"/>
    </row>
    <row r="911">
      <c r="A911" s="17"/>
      <c r="B911" s="17"/>
      <c r="C911" s="17"/>
      <c r="D911" s="48"/>
      <c r="E911" s="48"/>
      <c r="F911" s="16"/>
      <c r="G911" s="16"/>
      <c r="H911" s="16"/>
      <c r="I911" s="16"/>
      <c r="J911" s="16"/>
      <c r="K911" s="16"/>
      <c r="L911" s="16"/>
      <c r="M911" s="16"/>
      <c r="N911" s="16"/>
      <c r="O911" s="16"/>
      <c r="P911" s="16"/>
      <c r="Q911" s="16"/>
      <c r="R911" s="16"/>
      <c r="S911" s="16"/>
      <c r="T911" s="16"/>
      <c r="U911" s="16"/>
      <c r="V911" s="16"/>
      <c r="W911" s="16"/>
      <c r="X911" s="16"/>
    </row>
    <row r="912">
      <c r="A912" s="17"/>
      <c r="B912" s="17"/>
      <c r="C912" s="17"/>
      <c r="D912" s="48"/>
      <c r="E912" s="48"/>
      <c r="F912" s="16"/>
      <c r="G912" s="16"/>
      <c r="H912" s="16"/>
      <c r="I912" s="16"/>
      <c r="J912" s="16"/>
      <c r="K912" s="16"/>
      <c r="L912" s="16"/>
      <c r="M912" s="16"/>
      <c r="N912" s="16"/>
      <c r="O912" s="16"/>
      <c r="P912" s="16"/>
      <c r="Q912" s="16"/>
      <c r="R912" s="16"/>
      <c r="S912" s="16"/>
      <c r="T912" s="16"/>
      <c r="U912" s="16"/>
      <c r="V912" s="16"/>
      <c r="W912" s="16"/>
      <c r="X912" s="16"/>
    </row>
    <row r="913">
      <c r="A913" s="17"/>
      <c r="B913" s="17"/>
      <c r="C913" s="17"/>
      <c r="D913" s="48"/>
      <c r="E913" s="48"/>
      <c r="F913" s="16"/>
      <c r="G913" s="16"/>
      <c r="H913" s="16"/>
      <c r="I913" s="16"/>
      <c r="J913" s="16"/>
      <c r="K913" s="16"/>
      <c r="L913" s="16"/>
      <c r="M913" s="16"/>
      <c r="N913" s="16"/>
      <c r="O913" s="16"/>
      <c r="P913" s="16"/>
      <c r="Q913" s="16"/>
      <c r="R913" s="16"/>
      <c r="S913" s="16"/>
      <c r="T913" s="16"/>
      <c r="U913" s="16"/>
      <c r="V913" s="16"/>
      <c r="W913" s="16"/>
      <c r="X913" s="16"/>
    </row>
    <row r="914">
      <c r="A914" s="17"/>
      <c r="B914" s="17"/>
      <c r="C914" s="17"/>
      <c r="D914" s="48"/>
      <c r="E914" s="48"/>
      <c r="F914" s="16"/>
      <c r="G914" s="16"/>
      <c r="H914" s="16"/>
      <c r="I914" s="16"/>
      <c r="J914" s="16"/>
      <c r="K914" s="16"/>
      <c r="L914" s="16"/>
      <c r="M914" s="16"/>
      <c r="N914" s="16"/>
      <c r="O914" s="16"/>
      <c r="P914" s="16"/>
      <c r="Q914" s="16"/>
      <c r="R914" s="16"/>
      <c r="S914" s="16"/>
      <c r="T914" s="16"/>
      <c r="U914" s="16"/>
      <c r="V914" s="16"/>
      <c r="W914" s="16"/>
      <c r="X914" s="16"/>
    </row>
    <row r="915">
      <c r="A915" s="17"/>
      <c r="B915" s="17"/>
      <c r="C915" s="17"/>
      <c r="D915" s="48"/>
      <c r="E915" s="48"/>
      <c r="F915" s="16"/>
      <c r="G915" s="16"/>
      <c r="H915" s="16"/>
      <c r="I915" s="16"/>
      <c r="J915" s="16"/>
      <c r="K915" s="16"/>
      <c r="L915" s="16"/>
      <c r="M915" s="16"/>
      <c r="N915" s="16"/>
      <c r="O915" s="16"/>
      <c r="P915" s="16"/>
      <c r="Q915" s="16"/>
      <c r="R915" s="16"/>
      <c r="S915" s="16"/>
      <c r="T915" s="16"/>
      <c r="U915" s="16"/>
      <c r="V915" s="16"/>
      <c r="W915" s="16"/>
      <c r="X915" s="16"/>
    </row>
    <row r="916">
      <c r="A916" s="17"/>
      <c r="B916" s="17"/>
      <c r="C916" s="17"/>
      <c r="D916" s="48"/>
      <c r="E916" s="48"/>
      <c r="F916" s="16"/>
      <c r="G916" s="16"/>
      <c r="H916" s="16"/>
      <c r="I916" s="16"/>
      <c r="J916" s="16"/>
      <c r="K916" s="16"/>
      <c r="L916" s="16"/>
      <c r="M916" s="16"/>
      <c r="N916" s="16"/>
      <c r="O916" s="16"/>
      <c r="P916" s="16"/>
      <c r="Q916" s="16"/>
      <c r="R916" s="16"/>
      <c r="S916" s="16"/>
      <c r="T916" s="16"/>
      <c r="U916" s="16"/>
      <c r="V916" s="16"/>
      <c r="W916" s="16"/>
      <c r="X916" s="16"/>
    </row>
    <row r="917">
      <c r="A917" s="17"/>
      <c r="B917" s="17"/>
      <c r="C917" s="17"/>
      <c r="D917" s="48"/>
      <c r="E917" s="48"/>
      <c r="F917" s="16"/>
      <c r="G917" s="16"/>
      <c r="H917" s="16"/>
      <c r="I917" s="16"/>
      <c r="J917" s="16"/>
      <c r="K917" s="16"/>
      <c r="L917" s="16"/>
      <c r="M917" s="16"/>
      <c r="N917" s="16"/>
      <c r="O917" s="16"/>
      <c r="P917" s="16"/>
      <c r="Q917" s="16"/>
      <c r="R917" s="16"/>
      <c r="S917" s="16"/>
      <c r="T917" s="16"/>
      <c r="U917" s="16"/>
      <c r="V917" s="16"/>
      <c r="W917" s="16"/>
      <c r="X917" s="16"/>
    </row>
    <row r="918">
      <c r="A918" s="17"/>
      <c r="B918" s="17"/>
      <c r="C918" s="17"/>
      <c r="D918" s="48"/>
      <c r="E918" s="48"/>
      <c r="F918" s="16"/>
      <c r="G918" s="16"/>
      <c r="H918" s="16"/>
      <c r="I918" s="16"/>
      <c r="J918" s="16"/>
      <c r="K918" s="16"/>
      <c r="L918" s="16"/>
      <c r="M918" s="16"/>
      <c r="N918" s="16"/>
      <c r="O918" s="16"/>
      <c r="P918" s="16"/>
      <c r="Q918" s="16"/>
      <c r="R918" s="16"/>
      <c r="S918" s="16"/>
      <c r="T918" s="16"/>
      <c r="U918" s="16"/>
      <c r="V918" s="16"/>
      <c r="W918" s="16"/>
      <c r="X918" s="16"/>
    </row>
    <row r="919">
      <c r="A919" s="17"/>
      <c r="B919" s="17"/>
      <c r="C919" s="17"/>
      <c r="D919" s="48"/>
      <c r="E919" s="48"/>
      <c r="F919" s="16"/>
      <c r="G919" s="16"/>
      <c r="H919" s="16"/>
      <c r="I919" s="16"/>
      <c r="J919" s="16"/>
      <c r="K919" s="16"/>
      <c r="L919" s="16"/>
      <c r="M919" s="16"/>
      <c r="N919" s="16"/>
      <c r="O919" s="16"/>
      <c r="P919" s="16"/>
      <c r="Q919" s="16"/>
      <c r="R919" s="16"/>
      <c r="S919" s="16"/>
      <c r="T919" s="16"/>
      <c r="U919" s="16"/>
      <c r="V919" s="16"/>
      <c r="W919" s="16"/>
      <c r="X919" s="16"/>
    </row>
    <row r="920">
      <c r="A920" s="17"/>
      <c r="B920" s="17"/>
      <c r="C920" s="17"/>
      <c r="D920" s="48"/>
      <c r="E920" s="48"/>
      <c r="F920" s="16"/>
      <c r="G920" s="16"/>
      <c r="H920" s="16"/>
      <c r="I920" s="16"/>
      <c r="J920" s="16"/>
      <c r="K920" s="16"/>
      <c r="L920" s="16"/>
      <c r="M920" s="16"/>
      <c r="N920" s="16"/>
      <c r="O920" s="16"/>
      <c r="P920" s="16"/>
      <c r="Q920" s="16"/>
      <c r="R920" s="16"/>
      <c r="S920" s="16"/>
      <c r="T920" s="16"/>
      <c r="U920" s="16"/>
      <c r="V920" s="16"/>
      <c r="W920" s="16"/>
      <c r="X920" s="16"/>
    </row>
    <row r="921">
      <c r="A921" s="17"/>
      <c r="B921" s="17"/>
      <c r="C921" s="17"/>
      <c r="D921" s="48"/>
      <c r="E921" s="48"/>
      <c r="F921" s="16"/>
      <c r="G921" s="16"/>
      <c r="H921" s="16"/>
      <c r="I921" s="16"/>
      <c r="J921" s="16"/>
      <c r="K921" s="16"/>
      <c r="L921" s="16"/>
      <c r="M921" s="16"/>
      <c r="N921" s="16"/>
      <c r="O921" s="16"/>
      <c r="P921" s="16"/>
      <c r="Q921" s="16"/>
      <c r="R921" s="16"/>
      <c r="S921" s="16"/>
      <c r="T921" s="16"/>
      <c r="U921" s="16"/>
      <c r="V921" s="16"/>
      <c r="W921" s="16"/>
      <c r="X921" s="16"/>
    </row>
    <row r="922">
      <c r="A922" s="17"/>
      <c r="B922" s="17"/>
      <c r="C922" s="17"/>
      <c r="D922" s="48"/>
      <c r="E922" s="48"/>
      <c r="F922" s="16"/>
      <c r="G922" s="16"/>
      <c r="H922" s="16"/>
      <c r="I922" s="16"/>
      <c r="J922" s="16"/>
      <c r="K922" s="16"/>
      <c r="L922" s="16"/>
      <c r="M922" s="16"/>
      <c r="N922" s="16"/>
      <c r="O922" s="16"/>
      <c r="P922" s="16"/>
      <c r="Q922" s="16"/>
      <c r="R922" s="16"/>
      <c r="S922" s="16"/>
      <c r="T922" s="16"/>
      <c r="U922" s="16"/>
      <c r="V922" s="16"/>
      <c r="W922" s="16"/>
      <c r="X922" s="16"/>
    </row>
    <row r="923">
      <c r="A923" s="17"/>
      <c r="B923" s="17"/>
      <c r="C923" s="17"/>
      <c r="D923" s="48"/>
      <c r="E923" s="48"/>
      <c r="F923" s="16"/>
      <c r="G923" s="16"/>
      <c r="H923" s="16"/>
      <c r="I923" s="16"/>
      <c r="J923" s="16"/>
      <c r="K923" s="16"/>
      <c r="L923" s="16"/>
      <c r="M923" s="16"/>
      <c r="N923" s="16"/>
      <c r="O923" s="16"/>
      <c r="P923" s="16"/>
      <c r="Q923" s="16"/>
      <c r="R923" s="16"/>
      <c r="S923" s="16"/>
      <c r="T923" s="16"/>
      <c r="U923" s="16"/>
      <c r="V923" s="16"/>
      <c r="W923" s="16"/>
      <c r="X923" s="16"/>
    </row>
    <row r="924">
      <c r="A924" s="17"/>
      <c r="B924" s="17"/>
      <c r="C924" s="17"/>
      <c r="D924" s="48"/>
      <c r="E924" s="48"/>
      <c r="F924" s="16"/>
      <c r="G924" s="16"/>
      <c r="H924" s="16"/>
      <c r="I924" s="16"/>
      <c r="J924" s="16"/>
      <c r="K924" s="16"/>
      <c r="L924" s="16"/>
      <c r="M924" s="16"/>
      <c r="N924" s="16"/>
      <c r="O924" s="16"/>
      <c r="P924" s="16"/>
      <c r="Q924" s="16"/>
      <c r="R924" s="16"/>
      <c r="S924" s="16"/>
      <c r="T924" s="16"/>
      <c r="U924" s="16"/>
      <c r="V924" s="16"/>
      <c r="W924" s="16"/>
      <c r="X924" s="16"/>
    </row>
    <row r="925">
      <c r="A925" s="17"/>
      <c r="B925" s="17"/>
      <c r="C925" s="17"/>
      <c r="D925" s="48"/>
      <c r="E925" s="48"/>
      <c r="F925" s="16"/>
      <c r="G925" s="16"/>
      <c r="H925" s="16"/>
      <c r="I925" s="16"/>
      <c r="J925" s="16"/>
      <c r="K925" s="16"/>
      <c r="L925" s="16"/>
      <c r="M925" s="16"/>
      <c r="N925" s="16"/>
      <c r="O925" s="16"/>
      <c r="P925" s="16"/>
      <c r="Q925" s="16"/>
      <c r="R925" s="16"/>
      <c r="S925" s="16"/>
      <c r="T925" s="16"/>
      <c r="U925" s="16"/>
      <c r="V925" s="16"/>
      <c r="W925" s="16"/>
      <c r="X925" s="16"/>
    </row>
    <row r="926">
      <c r="A926" s="17"/>
      <c r="B926" s="17"/>
      <c r="C926" s="17"/>
      <c r="D926" s="48"/>
      <c r="E926" s="48"/>
      <c r="F926" s="16"/>
      <c r="G926" s="16"/>
      <c r="H926" s="16"/>
      <c r="I926" s="16"/>
      <c r="J926" s="16"/>
      <c r="K926" s="16"/>
      <c r="L926" s="16"/>
      <c r="M926" s="16"/>
      <c r="N926" s="16"/>
      <c r="O926" s="16"/>
      <c r="P926" s="16"/>
      <c r="Q926" s="16"/>
      <c r="R926" s="16"/>
      <c r="S926" s="16"/>
      <c r="T926" s="16"/>
      <c r="U926" s="16"/>
      <c r="V926" s="16"/>
      <c r="W926" s="16"/>
      <c r="X926" s="16"/>
    </row>
    <row r="927">
      <c r="A927" s="17"/>
      <c r="B927" s="17"/>
      <c r="C927" s="17"/>
      <c r="D927" s="48"/>
      <c r="E927" s="48"/>
      <c r="F927" s="16"/>
      <c r="G927" s="16"/>
      <c r="H927" s="16"/>
      <c r="I927" s="16"/>
      <c r="J927" s="16"/>
      <c r="K927" s="16"/>
      <c r="L927" s="16"/>
      <c r="M927" s="16"/>
      <c r="N927" s="16"/>
      <c r="O927" s="16"/>
      <c r="P927" s="16"/>
      <c r="Q927" s="16"/>
      <c r="R927" s="16"/>
      <c r="S927" s="16"/>
      <c r="T927" s="16"/>
      <c r="U927" s="16"/>
      <c r="V927" s="16"/>
      <c r="W927" s="16"/>
      <c r="X927" s="16"/>
    </row>
    <row r="928">
      <c r="A928" s="17"/>
      <c r="B928" s="17"/>
      <c r="C928" s="17"/>
      <c r="D928" s="48"/>
      <c r="E928" s="48"/>
      <c r="F928" s="16"/>
      <c r="G928" s="16"/>
      <c r="H928" s="16"/>
      <c r="I928" s="16"/>
      <c r="J928" s="16"/>
      <c r="K928" s="16"/>
      <c r="L928" s="16"/>
      <c r="M928" s="16"/>
      <c r="N928" s="16"/>
      <c r="O928" s="16"/>
      <c r="P928" s="16"/>
      <c r="Q928" s="16"/>
      <c r="R928" s="16"/>
      <c r="S928" s="16"/>
      <c r="T928" s="16"/>
      <c r="U928" s="16"/>
      <c r="V928" s="16"/>
      <c r="W928" s="16"/>
      <c r="X928" s="16"/>
    </row>
    <row r="929">
      <c r="A929" s="17"/>
      <c r="B929" s="17"/>
      <c r="C929" s="17"/>
      <c r="D929" s="48"/>
      <c r="E929" s="48"/>
      <c r="F929" s="16"/>
      <c r="G929" s="16"/>
      <c r="H929" s="16"/>
      <c r="I929" s="16"/>
      <c r="J929" s="16"/>
      <c r="K929" s="16"/>
      <c r="L929" s="16"/>
      <c r="M929" s="16"/>
      <c r="N929" s="16"/>
      <c r="O929" s="16"/>
      <c r="P929" s="16"/>
      <c r="Q929" s="16"/>
      <c r="R929" s="16"/>
      <c r="S929" s="16"/>
      <c r="T929" s="16"/>
      <c r="U929" s="16"/>
      <c r="V929" s="16"/>
      <c r="W929" s="16"/>
      <c r="X929" s="16"/>
    </row>
    <row r="930">
      <c r="A930" s="17"/>
      <c r="B930" s="17"/>
      <c r="C930" s="17"/>
      <c r="D930" s="48"/>
      <c r="E930" s="48"/>
      <c r="F930" s="16"/>
      <c r="G930" s="16"/>
      <c r="H930" s="16"/>
      <c r="I930" s="16"/>
      <c r="J930" s="16"/>
      <c r="K930" s="16"/>
      <c r="L930" s="16"/>
      <c r="M930" s="16"/>
      <c r="N930" s="16"/>
      <c r="O930" s="16"/>
      <c r="P930" s="16"/>
      <c r="Q930" s="16"/>
      <c r="R930" s="16"/>
      <c r="S930" s="16"/>
      <c r="T930" s="16"/>
      <c r="U930" s="16"/>
      <c r="V930" s="16"/>
      <c r="W930" s="16"/>
      <c r="X930" s="16"/>
    </row>
    <row r="931">
      <c r="A931" s="17"/>
      <c r="B931" s="17"/>
      <c r="C931" s="17"/>
      <c r="D931" s="48"/>
      <c r="E931" s="48"/>
      <c r="F931" s="16"/>
      <c r="G931" s="16"/>
      <c r="H931" s="16"/>
      <c r="I931" s="16"/>
      <c r="J931" s="16"/>
      <c r="K931" s="16"/>
      <c r="L931" s="16"/>
      <c r="M931" s="16"/>
      <c r="N931" s="16"/>
      <c r="O931" s="16"/>
      <c r="P931" s="16"/>
      <c r="Q931" s="16"/>
      <c r="R931" s="16"/>
      <c r="S931" s="16"/>
      <c r="T931" s="16"/>
      <c r="U931" s="16"/>
      <c r="V931" s="16"/>
      <c r="W931" s="16"/>
      <c r="X931" s="16"/>
    </row>
    <row r="932">
      <c r="A932" s="17"/>
      <c r="B932" s="17"/>
      <c r="C932" s="17"/>
      <c r="D932" s="48"/>
      <c r="E932" s="48"/>
      <c r="F932" s="16"/>
      <c r="G932" s="16"/>
      <c r="H932" s="16"/>
      <c r="I932" s="16"/>
      <c r="J932" s="16"/>
      <c r="K932" s="16"/>
      <c r="L932" s="16"/>
      <c r="M932" s="16"/>
      <c r="N932" s="16"/>
      <c r="O932" s="16"/>
      <c r="P932" s="16"/>
      <c r="Q932" s="16"/>
      <c r="R932" s="16"/>
      <c r="S932" s="16"/>
      <c r="T932" s="16"/>
      <c r="U932" s="16"/>
      <c r="V932" s="16"/>
      <c r="W932" s="16"/>
      <c r="X932" s="16"/>
    </row>
    <row r="933">
      <c r="A933" s="17"/>
      <c r="B933" s="17"/>
      <c r="C933" s="17"/>
      <c r="D933" s="48"/>
      <c r="E933" s="48"/>
      <c r="F933" s="16"/>
      <c r="G933" s="16"/>
      <c r="H933" s="16"/>
      <c r="I933" s="16"/>
      <c r="J933" s="16"/>
      <c r="K933" s="16"/>
      <c r="L933" s="16"/>
      <c r="M933" s="16"/>
      <c r="N933" s="16"/>
      <c r="O933" s="16"/>
      <c r="P933" s="16"/>
      <c r="Q933" s="16"/>
      <c r="R933" s="16"/>
      <c r="S933" s="16"/>
      <c r="T933" s="16"/>
      <c r="U933" s="16"/>
      <c r="V933" s="16"/>
      <c r="W933" s="16"/>
      <c r="X933" s="16"/>
    </row>
    <row r="934">
      <c r="A934" s="17"/>
      <c r="B934" s="17"/>
      <c r="C934" s="17"/>
      <c r="D934" s="48"/>
      <c r="E934" s="48"/>
      <c r="F934" s="16"/>
      <c r="G934" s="16"/>
      <c r="H934" s="16"/>
      <c r="I934" s="16"/>
      <c r="J934" s="16"/>
      <c r="K934" s="16"/>
      <c r="L934" s="16"/>
      <c r="M934" s="16"/>
      <c r="N934" s="16"/>
      <c r="O934" s="16"/>
      <c r="P934" s="16"/>
      <c r="Q934" s="16"/>
      <c r="R934" s="16"/>
      <c r="S934" s="16"/>
      <c r="T934" s="16"/>
      <c r="U934" s="16"/>
      <c r="V934" s="16"/>
      <c r="W934" s="16"/>
      <c r="X934" s="16"/>
    </row>
    <row r="935">
      <c r="A935" s="17"/>
      <c r="B935" s="17"/>
      <c r="C935" s="17"/>
      <c r="D935" s="48"/>
      <c r="E935" s="48"/>
      <c r="F935" s="16"/>
      <c r="G935" s="16"/>
      <c r="H935" s="16"/>
      <c r="I935" s="16"/>
      <c r="J935" s="16"/>
      <c r="K935" s="16"/>
      <c r="L935" s="16"/>
      <c r="M935" s="16"/>
      <c r="N935" s="16"/>
      <c r="O935" s="16"/>
      <c r="P935" s="16"/>
      <c r="Q935" s="16"/>
      <c r="R935" s="16"/>
      <c r="S935" s="16"/>
      <c r="T935" s="16"/>
      <c r="U935" s="16"/>
      <c r="V935" s="16"/>
      <c r="W935" s="16"/>
      <c r="X935" s="16"/>
    </row>
    <row r="936">
      <c r="A936" s="17"/>
      <c r="B936" s="17"/>
      <c r="C936" s="17"/>
      <c r="D936" s="48"/>
      <c r="E936" s="48"/>
      <c r="F936" s="16"/>
      <c r="G936" s="16"/>
      <c r="H936" s="16"/>
      <c r="I936" s="16"/>
      <c r="J936" s="16"/>
      <c r="K936" s="16"/>
      <c r="L936" s="16"/>
      <c r="M936" s="16"/>
      <c r="N936" s="16"/>
      <c r="O936" s="16"/>
      <c r="P936" s="16"/>
      <c r="Q936" s="16"/>
      <c r="R936" s="16"/>
      <c r="S936" s="16"/>
      <c r="T936" s="16"/>
      <c r="U936" s="16"/>
      <c r="V936" s="16"/>
      <c r="W936" s="16"/>
      <c r="X936" s="16"/>
    </row>
    <row r="937">
      <c r="A937" s="17"/>
      <c r="B937" s="17"/>
      <c r="C937" s="17"/>
      <c r="D937" s="48"/>
      <c r="E937" s="48"/>
      <c r="F937" s="16"/>
      <c r="G937" s="16"/>
      <c r="H937" s="16"/>
      <c r="I937" s="16"/>
      <c r="J937" s="16"/>
      <c r="K937" s="16"/>
      <c r="L937" s="16"/>
      <c r="M937" s="16"/>
      <c r="N937" s="16"/>
      <c r="O937" s="16"/>
      <c r="P937" s="16"/>
      <c r="Q937" s="16"/>
      <c r="R937" s="16"/>
      <c r="S937" s="16"/>
      <c r="T937" s="16"/>
      <c r="U937" s="16"/>
      <c r="V937" s="16"/>
      <c r="W937" s="16"/>
      <c r="X937" s="16"/>
    </row>
    <row r="938">
      <c r="A938" s="17"/>
      <c r="B938" s="17"/>
      <c r="C938" s="17"/>
      <c r="D938" s="48"/>
      <c r="E938" s="48"/>
      <c r="F938" s="16"/>
      <c r="G938" s="16"/>
      <c r="H938" s="16"/>
      <c r="I938" s="16"/>
      <c r="J938" s="16"/>
      <c r="K938" s="16"/>
      <c r="L938" s="16"/>
      <c r="M938" s="16"/>
      <c r="N938" s="16"/>
      <c r="O938" s="16"/>
      <c r="P938" s="16"/>
      <c r="Q938" s="16"/>
      <c r="R938" s="16"/>
      <c r="S938" s="16"/>
      <c r="T938" s="16"/>
      <c r="U938" s="16"/>
      <c r="V938" s="16"/>
      <c r="W938" s="16"/>
      <c r="X938" s="16"/>
    </row>
    <row r="939">
      <c r="A939" s="17"/>
      <c r="B939" s="17"/>
      <c r="C939" s="17"/>
      <c r="D939" s="48"/>
      <c r="E939" s="48"/>
      <c r="F939" s="16"/>
      <c r="G939" s="16"/>
      <c r="H939" s="16"/>
      <c r="I939" s="16"/>
      <c r="J939" s="16"/>
      <c r="K939" s="16"/>
      <c r="L939" s="16"/>
      <c r="M939" s="16"/>
      <c r="N939" s="16"/>
      <c r="O939" s="16"/>
      <c r="P939" s="16"/>
      <c r="Q939" s="16"/>
      <c r="R939" s="16"/>
      <c r="S939" s="16"/>
      <c r="T939" s="16"/>
      <c r="U939" s="16"/>
      <c r="V939" s="16"/>
      <c r="W939" s="16"/>
      <c r="X939" s="16"/>
    </row>
    <row r="940">
      <c r="A940" s="17"/>
      <c r="B940" s="17"/>
      <c r="C940" s="17"/>
      <c r="D940" s="48"/>
      <c r="E940" s="48"/>
      <c r="F940" s="16"/>
      <c r="G940" s="16"/>
      <c r="H940" s="16"/>
      <c r="I940" s="16"/>
      <c r="J940" s="16"/>
      <c r="K940" s="16"/>
      <c r="L940" s="16"/>
      <c r="M940" s="16"/>
      <c r="N940" s="16"/>
      <c r="O940" s="16"/>
      <c r="P940" s="16"/>
      <c r="Q940" s="16"/>
      <c r="R940" s="16"/>
      <c r="S940" s="16"/>
      <c r="T940" s="16"/>
      <c r="U940" s="16"/>
      <c r="V940" s="16"/>
      <c r="W940" s="16"/>
      <c r="X940" s="16"/>
    </row>
    <row r="941">
      <c r="A941" s="17"/>
      <c r="B941" s="17"/>
      <c r="C941" s="17"/>
      <c r="D941" s="48"/>
      <c r="E941" s="48"/>
      <c r="F941" s="16"/>
      <c r="G941" s="16"/>
      <c r="H941" s="16"/>
      <c r="I941" s="16"/>
      <c r="J941" s="16"/>
      <c r="K941" s="16"/>
      <c r="L941" s="16"/>
      <c r="M941" s="16"/>
      <c r="N941" s="16"/>
      <c r="O941" s="16"/>
      <c r="P941" s="16"/>
      <c r="Q941" s="16"/>
      <c r="R941" s="16"/>
      <c r="S941" s="16"/>
      <c r="T941" s="16"/>
      <c r="U941" s="16"/>
      <c r="V941" s="16"/>
      <c r="W941" s="16"/>
      <c r="X941" s="16"/>
    </row>
    <row r="942">
      <c r="A942" s="17"/>
      <c r="B942" s="17"/>
      <c r="C942" s="17"/>
      <c r="D942" s="48"/>
      <c r="E942" s="48"/>
      <c r="F942" s="16"/>
      <c r="G942" s="16"/>
      <c r="H942" s="16"/>
      <c r="I942" s="16"/>
      <c r="J942" s="16"/>
      <c r="K942" s="16"/>
      <c r="L942" s="16"/>
      <c r="M942" s="16"/>
      <c r="N942" s="16"/>
      <c r="O942" s="16"/>
      <c r="P942" s="16"/>
      <c r="Q942" s="16"/>
      <c r="R942" s="16"/>
      <c r="S942" s="16"/>
      <c r="T942" s="16"/>
      <c r="U942" s="16"/>
      <c r="V942" s="16"/>
      <c r="W942" s="16"/>
      <c r="X942" s="16"/>
    </row>
    <row r="943">
      <c r="A943" s="17"/>
      <c r="B943" s="17"/>
      <c r="C943" s="17"/>
      <c r="D943" s="48"/>
      <c r="E943" s="48"/>
      <c r="F943" s="16"/>
      <c r="G943" s="16"/>
      <c r="H943" s="16"/>
      <c r="I943" s="16"/>
      <c r="J943" s="16"/>
      <c r="K943" s="16"/>
      <c r="L943" s="16"/>
      <c r="M943" s="16"/>
      <c r="N943" s="16"/>
      <c r="O943" s="16"/>
      <c r="P943" s="16"/>
      <c r="Q943" s="16"/>
      <c r="R943" s="16"/>
      <c r="S943" s="16"/>
      <c r="T943" s="16"/>
      <c r="U943" s="16"/>
      <c r="V943" s="16"/>
      <c r="W943" s="16"/>
      <c r="X943" s="16"/>
    </row>
    <row r="944">
      <c r="A944" s="17"/>
      <c r="B944" s="17"/>
      <c r="C944" s="17"/>
      <c r="D944" s="48"/>
      <c r="E944" s="48"/>
      <c r="F944" s="16"/>
      <c r="G944" s="16"/>
      <c r="H944" s="16"/>
      <c r="I944" s="16"/>
      <c r="J944" s="16"/>
      <c r="K944" s="16"/>
      <c r="L944" s="16"/>
      <c r="M944" s="16"/>
      <c r="N944" s="16"/>
      <c r="O944" s="16"/>
      <c r="P944" s="16"/>
      <c r="Q944" s="16"/>
      <c r="R944" s="16"/>
      <c r="S944" s="16"/>
      <c r="T944" s="16"/>
      <c r="U944" s="16"/>
      <c r="V944" s="16"/>
      <c r="W944" s="16"/>
      <c r="X944" s="16"/>
    </row>
    <row r="945">
      <c r="A945" s="17"/>
      <c r="B945" s="17"/>
      <c r="C945" s="17"/>
      <c r="D945" s="48"/>
      <c r="E945" s="48"/>
      <c r="F945" s="16"/>
      <c r="G945" s="16"/>
      <c r="H945" s="16"/>
      <c r="I945" s="16"/>
      <c r="J945" s="16"/>
      <c r="K945" s="16"/>
      <c r="L945" s="16"/>
      <c r="M945" s="16"/>
      <c r="N945" s="16"/>
      <c r="O945" s="16"/>
      <c r="P945" s="16"/>
      <c r="Q945" s="16"/>
      <c r="R945" s="16"/>
      <c r="S945" s="16"/>
      <c r="T945" s="16"/>
      <c r="U945" s="16"/>
      <c r="V945" s="16"/>
      <c r="W945" s="16"/>
      <c r="X945" s="16"/>
    </row>
    <row r="946">
      <c r="A946" s="17"/>
      <c r="B946" s="17"/>
      <c r="C946" s="17"/>
      <c r="D946" s="48"/>
      <c r="E946" s="48"/>
      <c r="F946" s="16"/>
      <c r="G946" s="16"/>
      <c r="H946" s="16"/>
      <c r="I946" s="16"/>
      <c r="J946" s="16"/>
      <c r="K946" s="16"/>
      <c r="L946" s="16"/>
      <c r="M946" s="16"/>
      <c r="N946" s="16"/>
      <c r="O946" s="16"/>
      <c r="P946" s="16"/>
      <c r="Q946" s="16"/>
      <c r="R946" s="16"/>
      <c r="S946" s="16"/>
      <c r="T946" s="16"/>
      <c r="U946" s="16"/>
      <c r="V946" s="16"/>
      <c r="W946" s="16"/>
      <c r="X946" s="16"/>
    </row>
    <row r="947">
      <c r="A947" s="17"/>
      <c r="B947" s="17"/>
      <c r="C947" s="17"/>
      <c r="D947" s="48"/>
      <c r="E947" s="48"/>
      <c r="F947" s="16"/>
      <c r="G947" s="16"/>
      <c r="H947" s="16"/>
      <c r="I947" s="16"/>
      <c r="J947" s="16"/>
      <c r="K947" s="16"/>
      <c r="L947" s="16"/>
      <c r="M947" s="16"/>
      <c r="N947" s="16"/>
      <c r="O947" s="16"/>
      <c r="P947" s="16"/>
      <c r="Q947" s="16"/>
      <c r="R947" s="16"/>
      <c r="S947" s="16"/>
      <c r="T947" s="16"/>
      <c r="U947" s="16"/>
      <c r="V947" s="16"/>
      <c r="W947" s="16"/>
      <c r="X947" s="16"/>
    </row>
    <row r="948">
      <c r="A948" s="17"/>
      <c r="B948" s="17"/>
      <c r="C948" s="17"/>
      <c r="D948" s="48"/>
      <c r="E948" s="48"/>
      <c r="F948" s="16"/>
      <c r="G948" s="16"/>
      <c r="H948" s="16"/>
      <c r="I948" s="16"/>
      <c r="J948" s="16"/>
      <c r="K948" s="16"/>
      <c r="L948" s="16"/>
      <c r="M948" s="16"/>
      <c r="N948" s="16"/>
      <c r="O948" s="16"/>
      <c r="P948" s="16"/>
      <c r="Q948" s="16"/>
      <c r="R948" s="16"/>
      <c r="S948" s="16"/>
      <c r="T948" s="16"/>
      <c r="U948" s="16"/>
      <c r="V948" s="16"/>
      <c r="W948" s="16"/>
      <c r="X948" s="16"/>
    </row>
    <row r="949">
      <c r="A949" s="17"/>
      <c r="B949" s="17"/>
      <c r="C949" s="17"/>
      <c r="D949" s="48"/>
      <c r="E949" s="48"/>
      <c r="F949" s="16"/>
      <c r="G949" s="16"/>
      <c r="H949" s="16"/>
      <c r="I949" s="16"/>
      <c r="J949" s="16"/>
      <c r="K949" s="16"/>
      <c r="L949" s="16"/>
      <c r="M949" s="16"/>
      <c r="N949" s="16"/>
      <c r="O949" s="16"/>
      <c r="P949" s="16"/>
      <c r="Q949" s="16"/>
      <c r="R949" s="16"/>
      <c r="S949" s="16"/>
      <c r="T949" s="16"/>
      <c r="U949" s="16"/>
      <c r="V949" s="16"/>
      <c r="W949" s="16"/>
      <c r="X949" s="16"/>
    </row>
    <row r="950">
      <c r="A950" s="17"/>
      <c r="B950" s="17"/>
      <c r="C950" s="17"/>
      <c r="D950" s="48"/>
      <c r="E950" s="48"/>
      <c r="F950" s="16"/>
      <c r="G950" s="16"/>
      <c r="H950" s="16"/>
      <c r="I950" s="16"/>
      <c r="J950" s="16"/>
      <c r="K950" s="16"/>
      <c r="L950" s="16"/>
      <c r="M950" s="16"/>
      <c r="N950" s="16"/>
      <c r="O950" s="16"/>
      <c r="P950" s="16"/>
      <c r="Q950" s="16"/>
      <c r="R950" s="16"/>
      <c r="S950" s="16"/>
      <c r="T950" s="16"/>
      <c r="U950" s="16"/>
      <c r="V950" s="16"/>
      <c r="W950" s="16"/>
      <c r="X950" s="16"/>
    </row>
    <row r="951">
      <c r="A951" s="17"/>
      <c r="B951" s="17"/>
      <c r="C951" s="17"/>
      <c r="D951" s="48"/>
      <c r="E951" s="48"/>
      <c r="F951" s="16"/>
      <c r="G951" s="16"/>
      <c r="H951" s="16"/>
      <c r="I951" s="16"/>
      <c r="J951" s="16"/>
      <c r="K951" s="16"/>
      <c r="L951" s="16"/>
      <c r="M951" s="16"/>
      <c r="N951" s="16"/>
      <c r="O951" s="16"/>
      <c r="P951" s="16"/>
      <c r="Q951" s="16"/>
      <c r="R951" s="16"/>
      <c r="S951" s="16"/>
      <c r="T951" s="16"/>
      <c r="U951" s="16"/>
      <c r="V951" s="16"/>
      <c r="W951" s="16"/>
      <c r="X951" s="16"/>
    </row>
    <row r="952">
      <c r="A952" s="17"/>
      <c r="B952" s="17"/>
      <c r="C952" s="17"/>
      <c r="D952" s="48"/>
      <c r="E952" s="48"/>
      <c r="F952" s="16"/>
      <c r="G952" s="16"/>
      <c r="H952" s="16"/>
      <c r="I952" s="16"/>
      <c r="J952" s="16"/>
      <c r="K952" s="16"/>
      <c r="L952" s="16"/>
      <c r="M952" s="16"/>
      <c r="N952" s="16"/>
      <c r="O952" s="16"/>
      <c r="P952" s="16"/>
      <c r="Q952" s="16"/>
      <c r="R952" s="16"/>
      <c r="S952" s="16"/>
      <c r="T952" s="16"/>
      <c r="U952" s="16"/>
      <c r="V952" s="16"/>
      <c r="W952" s="16"/>
      <c r="X952" s="16"/>
    </row>
    <row r="953">
      <c r="A953" s="17"/>
      <c r="B953" s="17"/>
      <c r="C953" s="17"/>
      <c r="D953" s="48"/>
      <c r="E953" s="48"/>
      <c r="F953" s="16"/>
      <c r="G953" s="16"/>
      <c r="H953" s="16"/>
      <c r="I953" s="16"/>
      <c r="J953" s="16"/>
      <c r="K953" s="16"/>
      <c r="L953" s="16"/>
      <c r="M953" s="16"/>
      <c r="N953" s="16"/>
      <c r="O953" s="16"/>
      <c r="P953" s="16"/>
      <c r="Q953" s="16"/>
      <c r="R953" s="16"/>
      <c r="S953" s="16"/>
      <c r="T953" s="16"/>
      <c r="U953" s="16"/>
      <c r="V953" s="16"/>
      <c r="W953" s="16"/>
      <c r="X953" s="16"/>
    </row>
    <row r="954">
      <c r="A954" s="17"/>
      <c r="B954" s="17"/>
      <c r="C954" s="17"/>
      <c r="D954" s="48"/>
      <c r="E954" s="48"/>
      <c r="F954" s="16"/>
      <c r="G954" s="16"/>
      <c r="H954" s="16"/>
      <c r="I954" s="16"/>
      <c r="J954" s="16"/>
      <c r="K954" s="16"/>
      <c r="L954" s="16"/>
      <c r="M954" s="16"/>
      <c r="N954" s="16"/>
      <c r="O954" s="16"/>
      <c r="P954" s="16"/>
      <c r="Q954" s="16"/>
      <c r="R954" s="16"/>
      <c r="S954" s="16"/>
      <c r="T954" s="16"/>
      <c r="U954" s="16"/>
      <c r="V954" s="16"/>
      <c r="W954" s="16"/>
      <c r="X954" s="16"/>
    </row>
    <row r="955">
      <c r="A955" s="17"/>
      <c r="B955" s="17"/>
      <c r="C955" s="17"/>
      <c r="D955" s="48"/>
      <c r="E955" s="48"/>
      <c r="F955" s="16"/>
      <c r="G955" s="16"/>
      <c r="H955" s="16"/>
      <c r="I955" s="16"/>
      <c r="J955" s="16"/>
      <c r="K955" s="16"/>
      <c r="L955" s="16"/>
      <c r="M955" s="16"/>
      <c r="N955" s="16"/>
      <c r="O955" s="16"/>
      <c r="P955" s="16"/>
      <c r="Q955" s="16"/>
      <c r="R955" s="16"/>
      <c r="S955" s="16"/>
      <c r="T955" s="16"/>
      <c r="U955" s="16"/>
      <c r="V955" s="16"/>
      <c r="W955" s="16"/>
      <c r="X955" s="16"/>
    </row>
    <row r="956">
      <c r="A956" s="17"/>
      <c r="B956" s="17"/>
      <c r="C956" s="17"/>
      <c r="D956" s="48"/>
      <c r="E956" s="48"/>
      <c r="F956" s="16"/>
      <c r="G956" s="16"/>
      <c r="H956" s="16"/>
      <c r="I956" s="16"/>
      <c r="J956" s="16"/>
      <c r="K956" s="16"/>
      <c r="L956" s="16"/>
      <c r="M956" s="16"/>
      <c r="N956" s="16"/>
      <c r="O956" s="16"/>
      <c r="P956" s="16"/>
      <c r="Q956" s="16"/>
      <c r="R956" s="16"/>
      <c r="S956" s="16"/>
      <c r="T956" s="16"/>
      <c r="U956" s="16"/>
      <c r="V956" s="16"/>
      <c r="W956" s="16"/>
      <c r="X956" s="16"/>
    </row>
    <row r="957">
      <c r="A957" s="17"/>
      <c r="B957" s="17"/>
      <c r="C957" s="17"/>
      <c r="D957" s="48"/>
      <c r="E957" s="48"/>
      <c r="F957" s="16"/>
      <c r="G957" s="16"/>
      <c r="H957" s="16"/>
      <c r="I957" s="16"/>
      <c r="J957" s="16"/>
      <c r="K957" s="16"/>
      <c r="L957" s="16"/>
      <c r="M957" s="16"/>
      <c r="N957" s="16"/>
      <c r="O957" s="16"/>
      <c r="P957" s="16"/>
      <c r="Q957" s="16"/>
      <c r="R957" s="16"/>
      <c r="S957" s="16"/>
      <c r="T957" s="16"/>
      <c r="U957" s="16"/>
      <c r="V957" s="16"/>
      <c r="W957" s="16"/>
      <c r="X957" s="16"/>
    </row>
    <row r="958">
      <c r="A958" s="17"/>
      <c r="B958" s="17"/>
      <c r="C958" s="17"/>
      <c r="D958" s="48"/>
      <c r="E958" s="48"/>
      <c r="F958" s="16"/>
      <c r="G958" s="16"/>
      <c r="H958" s="16"/>
      <c r="I958" s="16"/>
      <c r="J958" s="16"/>
      <c r="K958" s="16"/>
      <c r="L958" s="16"/>
      <c r="M958" s="16"/>
      <c r="N958" s="16"/>
      <c r="O958" s="16"/>
      <c r="P958" s="16"/>
      <c r="Q958" s="16"/>
      <c r="R958" s="16"/>
      <c r="S958" s="16"/>
      <c r="T958" s="16"/>
      <c r="U958" s="16"/>
      <c r="V958" s="16"/>
      <c r="W958" s="16"/>
      <c r="X958" s="16"/>
    </row>
    <row r="959">
      <c r="A959" s="17"/>
      <c r="B959" s="17"/>
      <c r="C959" s="17"/>
      <c r="D959" s="48"/>
      <c r="E959" s="48"/>
      <c r="F959" s="16"/>
      <c r="G959" s="16"/>
      <c r="H959" s="16"/>
      <c r="I959" s="16"/>
      <c r="J959" s="16"/>
      <c r="K959" s="16"/>
      <c r="L959" s="16"/>
      <c r="M959" s="16"/>
      <c r="N959" s="16"/>
      <c r="O959" s="16"/>
      <c r="P959" s="16"/>
      <c r="Q959" s="16"/>
      <c r="R959" s="16"/>
      <c r="S959" s="16"/>
      <c r="T959" s="16"/>
      <c r="U959" s="16"/>
      <c r="V959" s="16"/>
      <c r="W959" s="16"/>
      <c r="X959" s="16"/>
    </row>
    <row r="960">
      <c r="A960" s="17"/>
      <c r="B960" s="17"/>
      <c r="C960" s="17"/>
      <c r="D960" s="48"/>
      <c r="E960" s="48"/>
      <c r="F960" s="16"/>
      <c r="G960" s="16"/>
      <c r="H960" s="16"/>
      <c r="I960" s="16"/>
      <c r="J960" s="16"/>
      <c r="K960" s="16"/>
      <c r="L960" s="16"/>
      <c r="M960" s="16"/>
      <c r="N960" s="16"/>
      <c r="O960" s="16"/>
      <c r="P960" s="16"/>
      <c r="Q960" s="16"/>
      <c r="R960" s="16"/>
      <c r="S960" s="16"/>
      <c r="T960" s="16"/>
      <c r="U960" s="16"/>
      <c r="V960" s="16"/>
      <c r="W960" s="16"/>
      <c r="X960" s="16"/>
    </row>
    <row r="961">
      <c r="A961" s="17"/>
      <c r="B961" s="17"/>
      <c r="C961" s="17"/>
      <c r="D961" s="48"/>
      <c r="E961" s="48"/>
      <c r="F961" s="16"/>
      <c r="G961" s="16"/>
      <c r="H961" s="16"/>
      <c r="I961" s="16"/>
      <c r="J961" s="16"/>
      <c r="K961" s="16"/>
      <c r="L961" s="16"/>
      <c r="M961" s="16"/>
      <c r="N961" s="16"/>
      <c r="O961" s="16"/>
      <c r="P961" s="16"/>
      <c r="Q961" s="16"/>
      <c r="R961" s="16"/>
      <c r="S961" s="16"/>
      <c r="T961" s="16"/>
      <c r="U961" s="16"/>
      <c r="V961" s="16"/>
      <c r="W961" s="16"/>
      <c r="X961" s="16"/>
    </row>
    <row r="962">
      <c r="A962" s="17"/>
      <c r="B962" s="17"/>
      <c r="C962" s="17"/>
      <c r="D962" s="48"/>
      <c r="E962" s="48"/>
      <c r="F962" s="16"/>
      <c r="G962" s="16"/>
      <c r="H962" s="16"/>
      <c r="I962" s="16"/>
      <c r="J962" s="16"/>
      <c r="K962" s="16"/>
      <c r="L962" s="16"/>
      <c r="M962" s="16"/>
      <c r="N962" s="16"/>
      <c r="O962" s="16"/>
      <c r="P962" s="16"/>
      <c r="Q962" s="16"/>
      <c r="R962" s="16"/>
      <c r="S962" s="16"/>
      <c r="T962" s="16"/>
      <c r="U962" s="16"/>
      <c r="V962" s="16"/>
      <c r="W962" s="16"/>
      <c r="X962" s="16"/>
    </row>
    <row r="963">
      <c r="A963" s="17"/>
      <c r="B963" s="17"/>
      <c r="C963" s="17"/>
      <c r="D963" s="48"/>
      <c r="E963" s="48"/>
      <c r="F963" s="16"/>
      <c r="G963" s="16"/>
      <c r="H963" s="16"/>
      <c r="I963" s="16"/>
      <c r="J963" s="16"/>
      <c r="K963" s="16"/>
      <c r="L963" s="16"/>
      <c r="M963" s="16"/>
      <c r="N963" s="16"/>
      <c r="O963" s="16"/>
      <c r="P963" s="16"/>
      <c r="Q963" s="16"/>
      <c r="R963" s="16"/>
      <c r="S963" s="16"/>
      <c r="T963" s="16"/>
      <c r="U963" s="16"/>
      <c r="V963" s="16"/>
      <c r="W963" s="16"/>
      <c r="X963" s="16"/>
    </row>
    <row r="964">
      <c r="A964" s="17"/>
      <c r="B964" s="17"/>
      <c r="C964" s="17"/>
      <c r="D964" s="48"/>
      <c r="E964" s="48"/>
      <c r="F964" s="16"/>
      <c r="G964" s="16"/>
      <c r="H964" s="16"/>
      <c r="I964" s="16"/>
      <c r="J964" s="16"/>
      <c r="K964" s="16"/>
      <c r="L964" s="16"/>
      <c r="M964" s="16"/>
      <c r="N964" s="16"/>
      <c r="O964" s="16"/>
      <c r="P964" s="16"/>
      <c r="Q964" s="16"/>
      <c r="R964" s="16"/>
      <c r="S964" s="16"/>
      <c r="T964" s="16"/>
      <c r="U964" s="16"/>
      <c r="V964" s="16"/>
      <c r="W964" s="16"/>
      <c r="X964" s="16"/>
    </row>
    <row r="965">
      <c r="A965" s="17"/>
      <c r="B965" s="17"/>
      <c r="C965" s="17"/>
      <c r="D965" s="48"/>
      <c r="E965" s="48"/>
      <c r="F965" s="16"/>
      <c r="G965" s="16"/>
      <c r="H965" s="16"/>
      <c r="I965" s="16"/>
      <c r="J965" s="16"/>
      <c r="K965" s="16"/>
      <c r="L965" s="16"/>
      <c r="M965" s="16"/>
      <c r="N965" s="16"/>
      <c r="O965" s="16"/>
      <c r="P965" s="16"/>
      <c r="Q965" s="16"/>
      <c r="R965" s="16"/>
      <c r="S965" s="16"/>
      <c r="T965" s="16"/>
      <c r="U965" s="16"/>
      <c r="V965" s="16"/>
      <c r="W965" s="16"/>
      <c r="X965" s="16"/>
    </row>
    <row r="966">
      <c r="A966" s="17"/>
      <c r="B966" s="17"/>
      <c r="C966" s="17"/>
      <c r="D966" s="48"/>
      <c r="E966" s="48"/>
      <c r="F966" s="16"/>
      <c r="G966" s="16"/>
      <c r="H966" s="16"/>
      <c r="I966" s="16"/>
      <c r="J966" s="16"/>
      <c r="K966" s="16"/>
      <c r="L966" s="16"/>
      <c r="M966" s="16"/>
      <c r="N966" s="16"/>
      <c r="O966" s="16"/>
      <c r="P966" s="16"/>
      <c r="Q966" s="16"/>
      <c r="R966" s="16"/>
      <c r="S966" s="16"/>
      <c r="T966" s="16"/>
      <c r="U966" s="16"/>
      <c r="V966" s="16"/>
      <c r="W966" s="16"/>
      <c r="X966" s="16"/>
    </row>
    <row r="967">
      <c r="A967" s="17"/>
      <c r="B967" s="17"/>
      <c r="C967" s="17"/>
      <c r="D967" s="48"/>
      <c r="E967" s="48"/>
      <c r="F967" s="16"/>
      <c r="G967" s="16"/>
      <c r="H967" s="16"/>
      <c r="I967" s="16"/>
      <c r="J967" s="16"/>
      <c r="K967" s="16"/>
      <c r="L967" s="16"/>
      <c r="M967" s="16"/>
      <c r="N967" s="16"/>
      <c r="O967" s="16"/>
      <c r="P967" s="16"/>
      <c r="Q967" s="16"/>
      <c r="R967" s="16"/>
      <c r="S967" s="16"/>
      <c r="T967" s="16"/>
      <c r="U967" s="16"/>
      <c r="V967" s="16"/>
      <c r="W967" s="16"/>
      <c r="X967" s="16"/>
    </row>
    <row r="968">
      <c r="A968" s="17"/>
      <c r="B968" s="17"/>
      <c r="C968" s="17"/>
      <c r="D968" s="48"/>
      <c r="E968" s="48"/>
      <c r="F968" s="16"/>
      <c r="G968" s="16"/>
      <c r="H968" s="16"/>
      <c r="I968" s="16"/>
      <c r="J968" s="16"/>
      <c r="K968" s="16"/>
      <c r="L968" s="16"/>
      <c r="M968" s="16"/>
      <c r="N968" s="16"/>
      <c r="O968" s="16"/>
      <c r="P968" s="16"/>
      <c r="Q968" s="16"/>
      <c r="R968" s="16"/>
      <c r="S968" s="16"/>
      <c r="T968" s="16"/>
      <c r="U968" s="16"/>
      <c r="V968" s="16"/>
      <c r="W968" s="16"/>
      <c r="X968" s="16"/>
    </row>
    <row r="969">
      <c r="A969" s="17"/>
      <c r="B969" s="17"/>
      <c r="C969" s="17"/>
      <c r="D969" s="48"/>
      <c r="E969" s="48"/>
      <c r="F969" s="16"/>
      <c r="G969" s="16"/>
      <c r="H969" s="16"/>
      <c r="I969" s="16"/>
      <c r="J969" s="16"/>
      <c r="K969" s="16"/>
      <c r="L969" s="16"/>
      <c r="M969" s="16"/>
      <c r="N969" s="16"/>
      <c r="O969" s="16"/>
      <c r="P969" s="16"/>
      <c r="Q969" s="16"/>
      <c r="R969" s="16"/>
      <c r="S969" s="16"/>
      <c r="T969" s="16"/>
      <c r="U969" s="16"/>
      <c r="V969" s="16"/>
      <c r="W969" s="16"/>
      <c r="X969" s="16"/>
    </row>
    <row r="970">
      <c r="A970" s="17"/>
      <c r="B970" s="17"/>
      <c r="C970" s="17"/>
      <c r="D970" s="48"/>
      <c r="E970" s="48"/>
      <c r="F970" s="16"/>
      <c r="G970" s="16"/>
      <c r="H970" s="16"/>
      <c r="I970" s="16"/>
      <c r="J970" s="16"/>
      <c r="K970" s="16"/>
      <c r="L970" s="16"/>
      <c r="M970" s="16"/>
      <c r="N970" s="16"/>
      <c r="O970" s="16"/>
      <c r="P970" s="16"/>
      <c r="Q970" s="16"/>
      <c r="R970" s="16"/>
      <c r="S970" s="16"/>
      <c r="T970" s="16"/>
      <c r="U970" s="16"/>
      <c r="V970" s="16"/>
      <c r="W970" s="16"/>
      <c r="X970" s="16"/>
    </row>
    <row r="971">
      <c r="A971" s="17"/>
      <c r="B971" s="17"/>
      <c r="C971" s="17"/>
      <c r="D971" s="48"/>
      <c r="E971" s="48"/>
      <c r="F971" s="16"/>
      <c r="G971" s="16"/>
      <c r="H971" s="16"/>
      <c r="I971" s="16"/>
      <c r="J971" s="16"/>
      <c r="K971" s="16"/>
      <c r="L971" s="16"/>
      <c r="M971" s="16"/>
      <c r="N971" s="16"/>
      <c r="O971" s="16"/>
      <c r="P971" s="16"/>
      <c r="Q971" s="16"/>
      <c r="R971" s="16"/>
      <c r="S971" s="16"/>
      <c r="T971" s="16"/>
      <c r="U971" s="16"/>
      <c r="V971" s="16"/>
      <c r="W971" s="16"/>
      <c r="X971" s="16"/>
    </row>
    <row r="972">
      <c r="A972" s="17"/>
      <c r="B972" s="17"/>
      <c r="C972" s="17"/>
      <c r="D972" s="48"/>
      <c r="E972" s="48"/>
      <c r="F972" s="16"/>
      <c r="G972" s="16"/>
      <c r="H972" s="16"/>
      <c r="I972" s="16"/>
      <c r="J972" s="16"/>
      <c r="K972" s="16"/>
      <c r="L972" s="16"/>
      <c r="M972" s="16"/>
      <c r="N972" s="16"/>
      <c r="O972" s="16"/>
      <c r="P972" s="16"/>
      <c r="Q972" s="16"/>
      <c r="R972" s="16"/>
      <c r="S972" s="16"/>
      <c r="T972" s="16"/>
      <c r="U972" s="16"/>
      <c r="V972" s="16"/>
      <c r="W972" s="16"/>
      <c r="X972" s="16"/>
    </row>
    <row r="973">
      <c r="A973" s="17"/>
      <c r="B973" s="17"/>
      <c r="C973" s="17"/>
      <c r="D973" s="48"/>
      <c r="E973" s="48"/>
      <c r="F973" s="16"/>
      <c r="G973" s="16"/>
      <c r="H973" s="16"/>
      <c r="I973" s="16"/>
      <c r="J973" s="16"/>
      <c r="K973" s="16"/>
      <c r="L973" s="16"/>
      <c r="M973" s="16"/>
      <c r="N973" s="16"/>
      <c r="O973" s="16"/>
      <c r="P973" s="16"/>
      <c r="Q973" s="16"/>
      <c r="R973" s="16"/>
      <c r="S973" s="16"/>
      <c r="T973" s="16"/>
      <c r="U973" s="16"/>
      <c r="V973" s="16"/>
      <c r="W973" s="16"/>
      <c r="X973" s="16"/>
    </row>
    <row r="974">
      <c r="A974" s="17"/>
      <c r="B974" s="17"/>
      <c r="C974" s="17"/>
      <c r="D974" s="48"/>
      <c r="E974" s="48"/>
      <c r="F974" s="16"/>
      <c r="G974" s="16"/>
      <c r="H974" s="16"/>
      <c r="I974" s="16"/>
      <c r="J974" s="16"/>
      <c r="K974" s="16"/>
      <c r="L974" s="16"/>
      <c r="M974" s="16"/>
      <c r="N974" s="16"/>
      <c r="O974" s="16"/>
      <c r="P974" s="16"/>
      <c r="Q974" s="16"/>
      <c r="R974" s="16"/>
      <c r="S974" s="16"/>
      <c r="T974" s="16"/>
      <c r="U974" s="16"/>
      <c r="V974" s="16"/>
      <c r="W974" s="16"/>
      <c r="X974" s="16"/>
    </row>
    <row r="975">
      <c r="A975" s="17"/>
      <c r="B975" s="17"/>
      <c r="C975" s="17"/>
      <c r="D975" s="48"/>
      <c r="E975" s="48"/>
      <c r="F975" s="16"/>
      <c r="G975" s="16"/>
      <c r="H975" s="16"/>
      <c r="I975" s="16"/>
      <c r="J975" s="16"/>
      <c r="K975" s="16"/>
      <c r="L975" s="16"/>
      <c r="M975" s="16"/>
      <c r="N975" s="16"/>
      <c r="O975" s="16"/>
      <c r="P975" s="16"/>
      <c r="Q975" s="16"/>
      <c r="R975" s="16"/>
      <c r="S975" s="16"/>
      <c r="T975" s="16"/>
      <c r="U975" s="16"/>
      <c r="V975" s="16"/>
      <c r="W975" s="16"/>
      <c r="X975" s="16"/>
    </row>
    <row r="976">
      <c r="A976" s="17"/>
      <c r="B976" s="17"/>
      <c r="C976" s="17"/>
      <c r="D976" s="48"/>
      <c r="E976" s="48"/>
      <c r="F976" s="16"/>
      <c r="G976" s="16"/>
      <c r="H976" s="16"/>
      <c r="I976" s="16"/>
      <c r="J976" s="16"/>
      <c r="K976" s="16"/>
      <c r="L976" s="16"/>
      <c r="M976" s="16"/>
      <c r="N976" s="16"/>
      <c r="O976" s="16"/>
      <c r="P976" s="16"/>
      <c r="Q976" s="16"/>
      <c r="R976" s="16"/>
      <c r="S976" s="16"/>
      <c r="T976" s="16"/>
      <c r="U976" s="16"/>
      <c r="V976" s="16"/>
      <c r="W976" s="16"/>
      <c r="X976" s="16"/>
    </row>
    <row r="977">
      <c r="A977" s="17"/>
      <c r="B977" s="17"/>
      <c r="C977" s="17"/>
      <c r="D977" s="48"/>
      <c r="E977" s="48"/>
      <c r="F977" s="16"/>
      <c r="G977" s="16"/>
      <c r="H977" s="16"/>
      <c r="I977" s="16"/>
      <c r="J977" s="16"/>
      <c r="K977" s="16"/>
      <c r="L977" s="16"/>
      <c r="M977" s="16"/>
      <c r="N977" s="16"/>
      <c r="O977" s="16"/>
      <c r="P977" s="16"/>
      <c r="Q977" s="16"/>
      <c r="R977" s="16"/>
      <c r="S977" s="16"/>
      <c r="T977" s="16"/>
      <c r="U977" s="16"/>
      <c r="V977" s="16"/>
      <c r="W977" s="16"/>
      <c r="X977" s="16"/>
    </row>
    <row r="978">
      <c r="A978" s="17"/>
      <c r="B978" s="17"/>
      <c r="C978" s="17"/>
      <c r="D978" s="48"/>
      <c r="E978" s="48"/>
      <c r="F978" s="16"/>
      <c r="G978" s="16"/>
      <c r="H978" s="16"/>
      <c r="I978" s="16"/>
      <c r="J978" s="16"/>
      <c r="K978" s="16"/>
      <c r="L978" s="16"/>
      <c r="M978" s="16"/>
      <c r="N978" s="16"/>
      <c r="O978" s="16"/>
      <c r="P978" s="16"/>
      <c r="Q978" s="16"/>
      <c r="R978" s="16"/>
      <c r="S978" s="16"/>
      <c r="T978" s="16"/>
      <c r="U978" s="16"/>
      <c r="V978" s="16"/>
      <c r="W978" s="16"/>
      <c r="X978" s="16"/>
    </row>
    <row r="979">
      <c r="A979" s="17"/>
      <c r="B979" s="17"/>
      <c r="C979" s="17"/>
      <c r="D979" s="48"/>
      <c r="E979" s="48"/>
      <c r="F979" s="16"/>
      <c r="G979" s="16"/>
      <c r="H979" s="16"/>
      <c r="I979" s="16"/>
      <c r="J979" s="16"/>
      <c r="K979" s="16"/>
      <c r="L979" s="16"/>
      <c r="M979" s="16"/>
      <c r="N979" s="16"/>
      <c r="O979" s="16"/>
      <c r="P979" s="16"/>
      <c r="Q979" s="16"/>
      <c r="R979" s="16"/>
      <c r="S979" s="16"/>
      <c r="T979" s="16"/>
      <c r="U979" s="16"/>
      <c r="V979" s="16"/>
      <c r="W979" s="16"/>
      <c r="X979" s="16"/>
    </row>
    <row r="980">
      <c r="A980" s="17"/>
      <c r="B980" s="17"/>
      <c r="C980" s="17"/>
      <c r="D980" s="48"/>
      <c r="E980" s="48"/>
      <c r="F980" s="16"/>
      <c r="G980" s="16"/>
      <c r="H980" s="16"/>
      <c r="I980" s="16"/>
      <c r="J980" s="16"/>
      <c r="K980" s="16"/>
      <c r="L980" s="16"/>
      <c r="M980" s="16"/>
      <c r="N980" s="16"/>
      <c r="O980" s="16"/>
      <c r="P980" s="16"/>
      <c r="Q980" s="16"/>
      <c r="R980" s="16"/>
      <c r="S980" s="16"/>
      <c r="T980" s="16"/>
      <c r="U980" s="16"/>
      <c r="V980" s="16"/>
      <c r="W980" s="16"/>
      <c r="X980" s="16"/>
    </row>
    <row r="981">
      <c r="A981" s="17"/>
      <c r="B981" s="17"/>
      <c r="C981" s="17"/>
      <c r="D981" s="48"/>
      <c r="E981" s="48"/>
      <c r="F981" s="16"/>
      <c r="G981" s="16"/>
      <c r="H981" s="16"/>
      <c r="I981" s="16"/>
      <c r="J981" s="16"/>
      <c r="K981" s="16"/>
      <c r="L981" s="16"/>
      <c r="M981" s="16"/>
      <c r="N981" s="16"/>
      <c r="O981" s="16"/>
      <c r="P981" s="16"/>
      <c r="Q981" s="16"/>
      <c r="R981" s="16"/>
      <c r="S981" s="16"/>
      <c r="T981" s="16"/>
      <c r="U981" s="16"/>
      <c r="V981" s="16"/>
      <c r="W981" s="16"/>
      <c r="X981" s="16"/>
    </row>
    <row r="982">
      <c r="A982" s="17"/>
      <c r="B982" s="17"/>
      <c r="C982" s="17"/>
      <c r="D982" s="48"/>
      <c r="E982" s="48"/>
      <c r="F982" s="16"/>
      <c r="G982" s="16"/>
      <c r="H982" s="16"/>
      <c r="I982" s="16"/>
      <c r="J982" s="16"/>
      <c r="K982" s="16"/>
      <c r="L982" s="16"/>
      <c r="M982" s="16"/>
      <c r="N982" s="16"/>
      <c r="O982" s="16"/>
      <c r="P982" s="16"/>
      <c r="Q982" s="16"/>
      <c r="R982" s="16"/>
      <c r="S982" s="16"/>
      <c r="T982" s="16"/>
      <c r="U982" s="16"/>
      <c r="V982" s="16"/>
      <c r="W982" s="16"/>
      <c r="X982" s="16"/>
    </row>
    <row r="983">
      <c r="A983" s="17"/>
      <c r="B983" s="17"/>
      <c r="C983" s="17"/>
      <c r="D983" s="48"/>
      <c r="E983" s="48"/>
      <c r="F983" s="16"/>
      <c r="G983" s="16"/>
      <c r="H983" s="16"/>
      <c r="I983" s="16"/>
      <c r="J983" s="16"/>
      <c r="K983" s="16"/>
      <c r="L983" s="16"/>
      <c r="M983" s="16"/>
      <c r="N983" s="16"/>
      <c r="O983" s="16"/>
      <c r="P983" s="16"/>
      <c r="Q983" s="16"/>
      <c r="R983" s="16"/>
      <c r="S983" s="16"/>
      <c r="T983" s="16"/>
      <c r="U983" s="16"/>
      <c r="V983" s="16"/>
      <c r="W983" s="16"/>
      <c r="X983" s="16"/>
    </row>
    <row r="984">
      <c r="A984" s="17"/>
      <c r="B984" s="17"/>
      <c r="C984" s="17"/>
      <c r="D984" s="48"/>
      <c r="E984" s="48"/>
      <c r="F984" s="16"/>
      <c r="G984" s="16"/>
      <c r="H984" s="16"/>
      <c r="I984" s="16"/>
      <c r="J984" s="16"/>
      <c r="K984" s="16"/>
      <c r="L984" s="16"/>
      <c r="M984" s="16"/>
      <c r="N984" s="16"/>
      <c r="O984" s="16"/>
      <c r="P984" s="16"/>
      <c r="Q984" s="16"/>
      <c r="R984" s="16"/>
      <c r="S984" s="16"/>
      <c r="T984" s="16"/>
      <c r="U984" s="16"/>
      <c r="V984" s="16"/>
      <c r="W984" s="16"/>
      <c r="X984" s="16"/>
    </row>
    <row r="985">
      <c r="A985" s="17"/>
      <c r="B985" s="17"/>
      <c r="C985" s="17"/>
      <c r="D985" s="48"/>
      <c r="E985" s="48"/>
      <c r="F985" s="16"/>
      <c r="G985" s="16"/>
      <c r="H985" s="16"/>
      <c r="I985" s="16"/>
      <c r="J985" s="16"/>
      <c r="K985" s="16"/>
      <c r="L985" s="16"/>
      <c r="M985" s="16"/>
      <c r="N985" s="16"/>
      <c r="O985" s="16"/>
      <c r="P985" s="16"/>
      <c r="Q985" s="16"/>
      <c r="R985" s="16"/>
      <c r="S985" s="16"/>
      <c r="T985" s="16"/>
      <c r="U985" s="16"/>
      <c r="V985" s="16"/>
      <c r="W985" s="16"/>
      <c r="X985" s="16"/>
    </row>
    <row r="986">
      <c r="A986" s="17"/>
      <c r="B986" s="17"/>
      <c r="C986" s="17"/>
      <c r="D986" s="48"/>
      <c r="E986" s="48"/>
      <c r="F986" s="16"/>
      <c r="G986" s="16"/>
      <c r="H986" s="16"/>
      <c r="I986" s="16"/>
      <c r="J986" s="16"/>
      <c r="K986" s="16"/>
      <c r="L986" s="16"/>
      <c r="M986" s="16"/>
      <c r="N986" s="16"/>
      <c r="O986" s="16"/>
      <c r="P986" s="16"/>
      <c r="Q986" s="16"/>
      <c r="R986" s="16"/>
      <c r="S986" s="16"/>
      <c r="T986" s="16"/>
      <c r="U986" s="16"/>
      <c r="V986" s="16"/>
      <c r="W986" s="16"/>
      <c r="X986" s="16"/>
    </row>
    <row r="987">
      <c r="A987" s="17"/>
      <c r="B987" s="17"/>
      <c r="C987" s="17"/>
      <c r="D987" s="48"/>
      <c r="E987" s="48"/>
      <c r="F987" s="16"/>
      <c r="G987" s="16"/>
      <c r="H987" s="16"/>
      <c r="I987" s="16"/>
      <c r="J987" s="16"/>
      <c r="K987" s="16"/>
      <c r="L987" s="16"/>
      <c r="M987" s="16"/>
      <c r="N987" s="16"/>
      <c r="O987" s="16"/>
      <c r="P987" s="16"/>
      <c r="Q987" s="16"/>
      <c r="R987" s="16"/>
      <c r="S987" s="16"/>
      <c r="T987" s="16"/>
      <c r="U987" s="16"/>
      <c r="V987" s="16"/>
      <c r="W987" s="16"/>
      <c r="X987" s="16"/>
    </row>
    <row r="988">
      <c r="A988" s="17"/>
      <c r="B988" s="17"/>
      <c r="C988" s="17"/>
      <c r="D988" s="48"/>
      <c r="E988" s="48"/>
      <c r="F988" s="16"/>
      <c r="G988" s="16"/>
      <c r="H988" s="16"/>
      <c r="I988" s="16"/>
      <c r="J988" s="16"/>
      <c r="K988" s="16"/>
      <c r="L988" s="16"/>
      <c r="M988" s="16"/>
      <c r="N988" s="16"/>
      <c r="O988" s="16"/>
      <c r="P988" s="16"/>
      <c r="Q988" s="16"/>
      <c r="R988" s="16"/>
      <c r="S988" s="16"/>
      <c r="T988" s="16"/>
      <c r="U988" s="16"/>
      <c r="V988" s="16"/>
      <c r="W988" s="16"/>
      <c r="X988" s="16"/>
    </row>
    <row r="989">
      <c r="A989" s="17"/>
      <c r="B989" s="17"/>
      <c r="C989" s="17"/>
      <c r="D989" s="48"/>
      <c r="E989" s="48"/>
      <c r="F989" s="16"/>
      <c r="G989" s="16"/>
      <c r="H989" s="16"/>
      <c r="I989" s="16"/>
      <c r="J989" s="16"/>
      <c r="K989" s="16"/>
      <c r="L989" s="16"/>
      <c r="M989" s="16"/>
      <c r="N989" s="16"/>
      <c r="O989" s="16"/>
      <c r="P989" s="16"/>
      <c r="Q989" s="16"/>
      <c r="R989" s="16"/>
      <c r="S989" s="16"/>
      <c r="T989" s="16"/>
      <c r="U989" s="16"/>
      <c r="V989" s="16"/>
      <c r="W989" s="16"/>
      <c r="X989" s="16"/>
    </row>
    <row r="990">
      <c r="A990" s="17"/>
      <c r="B990" s="17"/>
      <c r="C990" s="17"/>
      <c r="D990" s="48"/>
      <c r="E990" s="48"/>
      <c r="F990" s="16"/>
      <c r="G990" s="16"/>
      <c r="H990" s="16"/>
      <c r="I990" s="16"/>
      <c r="J990" s="16"/>
      <c r="K990" s="16"/>
      <c r="L990" s="16"/>
      <c r="M990" s="16"/>
      <c r="N990" s="16"/>
      <c r="O990" s="16"/>
      <c r="P990" s="16"/>
      <c r="Q990" s="16"/>
      <c r="R990" s="16"/>
      <c r="S990" s="16"/>
      <c r="T990" s="16"/>
      <c r="U990" s="16"/>
      <c r="V990" s="16"/>
      <c r="W990" s="16"/>
      <c r="X990" s="16"/>
    </row>
    <row r="991">
      <c r="A991" s="17"/>
      <c r="B991" s="17"/>
      <c r="C991" s="17"/>
      <c r="D991" s="48"/>
      <c r="E991" s="48"/>
      <c r="F991" s="16"/>
      <c r="G991" s="16"/>
      <c r="H991" s="16"/>
      <c r="I991" s="16"/>
      <c r="J991" s="16"/>
      <c r="K991" s="16"/>
      <c r="L991" s="16"/>
      <c r="M991" s="16"/>
      <c r="N991" s="16"/>
      <c r="O991" s="16"/>
      <c r="P991" s="16"/>
      <c r="Q991" s="16"/>
      <c r="R991" s="16"/>
      <c r="S991" s="16"/>
      <c r="T991" s="16"/>
      <c r="U991" s="16"/>
      <c r="V991" s="16"/>
      <c r="W991" s="16"/>
      <c r="X991" s="16"/>
    </row>
    <row r="992">
      <c r="A992" s="17"/>
      <c r="B992" s="17"/>
      <c r="C992" s="17"/>
      <c r="D992" s="48"/>
      <c r="E992" s="48"/>
      <c r="F992" s="16"/>
      <c r="G992" s="16"/>
      <c r="H992" s="16"/>
      <c r="I992" s="16"/>
      <c r="J992" s="16"/>
      <c r="K992" s="16"/>
      <c r="L992" s="16"/>
      <c r="M992" s="16"/>
      <c r="N992" s="16"/>
      <c r="O992" s="16"/>
      <c r="P992" s="16"/>
      <c r="Q992" s="16"/>
      <c r="R992" s="16"/>
      <c r="S992" s="16"/>
      <c r="T992" s="16"/>
      <c r="U992" s="16"/>
      <c r="V992" s="16"/>
      <c r="W992" s="16"/>
      <c r="X992" s="16"/>
    </row>
    <row r="993">
      <c r="A993" s="17"/>
      <c r="B993" s="17"/>
      <c r="C993" s="17"/>
      <c r="D993" s="48"/>
      <c r="E993" s="48"/>
      <c r="F993" s="16"/>
      <c r="G993" s="16"/>
      <c r="H993" s="16"/>
      <c r="I993" s="16"/>
      <c r="J993" s="16"/>
      <c r="K993" s="16"/>
      <c r="L993" s="16"/>
      <c r="M993" s="16"/>
      <c r="N993" s="16"/>
      <c r="O993" s="16"/>
      <c r="P993" s="16"/>
      <c r="Q993" s="16"/>
      <c r="R993" s="16"/>
      <c r="S993" s="16"/>
      <c r="T993" s="16"/>
      <c r="U993" s="16"/>
      <c r="V993" s="16"/>
      <c r="W993" s="16"/>
      <c r="X993" s="16"/>
    </row>
    <row r="994">
      <c r="A994" s="17"/>
      <c r="B994" s="17"/>
      <c r="C994" s="17"/>
      <c r="D994" s="48"/>
      <c r="E994" s="48"/>
      <c r="F994" s="16"/>
      <c r="G994" s="16"/>
      <c r="H994" s="16"/>
      <c r="I994" s="16"/>
      <c r="J994" s="16"/>
      <c r="K994" s="16"/>
      <c r="L994" s="16"/>
      <c r="M994" s="16"/>
      <c r="N994" s="16"/>
      <c r="O994" s="16"/>
      <c r="P994" s="16"/>
      <c r="Q994" s="16"/>
      <c r="R994" s="16"/>
      <c r="S994" s="16"/>
      <c r="T994" s="16"/>
      <c r="U994" s="16"/>
      <c r="V994" s="16"/>
      <c r="W994" s="16"/>
      <c r="X994" s="16"/>
    </row>
    <row r="995">
      <c r="A995" s="17"/>
      <c r="B995" s="17"/>
      <c r="C995" s="17"/>
      <c r="D995" s="48"/>
      <c r="E995" s="48"/>
      <c r="F995" s="16"/>
      <c r="G995" s="16"/>
      <c r="H995" s="16"/>
      <c r="I995" s="16"/>
      <c r="J995" s="16"/>
      <c r="K995" s="16"/>
      <c r="L995" s="16"/>
      <c r="M995" s="16"/>
      <c r="N995" s="16"/>
      <c r="O995" s="16"/>
      <c r="P995" s="16"/>
      <c r="Q995" s="16"/>
      <c r="R995" s="16"/>
      <c r="S995" s="16"/>
      <c r="T995" s="16"/>
      <c r="U995" s="16"/>
      <c r="V995" s="16"/>
      <c r="W995" s="16"/>
      <c r="X995" s="16"/>
    </row>
    <row r="996">
      <c r="A996" s="17"/>
      <c r="B996" s="17"/>
      <c r="C996" s="17"/>
      <c r="D996" s="48"/>
      <c r="E996" s="48"/>
      <c r="F996" s="16"/>
      <c r="G996" s="16"/>
      <c r="H996" s="16"/>
      <c r="I996" s="16"/>
      <c r="J996" s="16"/>
      <c r="K996" s="16"/>
      <c r="L996" s="16"/>
      <c r="M996" s="16"/>
      <c r="N996" s="16"/>
      <c r="O996" s="16"/>
      <c r="P996" s="16"/>
      <c r="Q996" s="16"/>
      <c r="R996" s="16"/>
      <c r="S996" s="16"/>
      <c r="T996" s="16"/>
      <c r="U996" s="16"/>
      <c r="V996" s="16"/>
      <c r="W996" s="16"/>
      <c r="X996" s="16"/>
    </row>
  </sheetData>
  <drawing r:id="rId1"/>
</worksheet>
</file>